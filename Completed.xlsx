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irahp/Library/Mobile Documents/com~apple~CloudDocs/main documents/jobs/tech/data analyst/Xanaan tasks/"/>
    </mc:Choice>
  </mc:AlternateContent>
  <xr:revisionPtr revIDLastSave="0" documentId="13_ncr:1_{95EEBFFA-2026-8248-BFF7-46EF30BA3B04}" xr6:coauthVersionLast="47" xr6:coauthVersionMax="47" xr10:uidLastSave="{00000000-0000-0000-0000-000000000000}"/>
  <bookViews>
    <workbookView xWindow="0" yWindow="660" windowWidth="29400" windowHeight="18460" activeTab="4" xr2:uid="{48C82286-F92B-014D-85E2-9FB43412855C}"/>
  </bookViews>
  <sheets>
    <sheet name="Data Source 1_customer readings" sheetId="2" r:id="rId1"/>
    <sheet name="Customer Info" sheetId="3" r:id="rId2"/>
    <sheet name="2020" sheetId="4" r:id="rId3"/>
    <sheet name="double check" sheetId="6" r:id="rId4"/>
    <sheet name="Sheet2" sheetId="7" r:id="rId5"/>
    <sheet name="Sheet4" sheetId="5" r:id="rId6"/>
  </sheets>
  <definedNames>
    <definedName name="_xlnm._FilterDatabase" localSheetId="0" hidden="1">'Data Source 1_customer readings'!$A$1:$F$2401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01" i="7" l="1"/>
  <c r="F1202" i="6"/>
  <c r="E1202" i="6"/>
  <c r="F1202" i="7"/>
  <c r="E1202" i="7"/>
  <c r="F1203" i="5"/>
  <c r="E1203" i="5"/>
  <c r="F1203" i="4"/>
  <c r="E1203" i="4"/>
  <c r="A1207" i="5"/>
  <c r="A1206" i="4"/>
  <c r="H5" i="2"/>
  <c r="I5" i="2"/>
  <c r="J5" i="2"/>
  <c r="H32" i="2"/>
  <c r="I32" i="2"/>
  <c r="J32" i="2"/>
  <c r="H34" i="2"/>
  <c r="I34" i="2"/>
  <c r="J34" i="2"/>
  <c r="H42" i="2"/>
  <c r="I42" i="2"/>
  <c r="J42" i="2"/>
  <c r="H47" i="2"/>
  <c r="I47" i="2"/>
  <c r="J47" i="2"/>
  <c r="H51" i="2"/>
  <c r="I51" i="2"/>
  <c r="J51" i="2"/>
  <c r="H58" i="2"/>
  <c r="I58" i="2"/>
  <c r="J58" i="2"/>
  <c r="H66" i="2"/>
  <c r="I66" i="2"/>
  <c r="J66" i="2"/>
  <c r="H84" i="2"/>
  <c r="I84" i="2"/>
  <c r="J84" i="2"/>
  <c r="H87" i="2"/>
  <c r="I87" i="2"/>
  <c r="J87" i="2"/>
  <c r="H93" i="2"/>
  <c r="I93" i="2"/>
  <c r="J93" i="2"/>
  <c r="H106" i="2"/>
  <c r="I106" i="2"/>
  <c r="J106" i="2"/>
  <c r="H116" i="2"/>
  <c r="I116" i="2"/>
  <c r="J116" i="2"/>
  <c r="H123" i="2"/>
  <c r="I123" i="2"/>
  <c r="J123" i="2"/>
  <c r="H135" i="2"/>
  <c r="I135" i="2"/>
  <c r="J135" i="2"/>
  <c r="H148" i="2"/>
  <c r="I148" i="2"/>
  <c r="J148" i="2"/>
  <c r="H152" i="2"/>
  <c r="I152" i="2"/>
  <c r="J152" i="2"/>
  <c r="H162" i="2"/>
  <c r="I162" i="2"/>
  <c r="J162" i="2"/>
  <c r="H167" i="2"/>
  <c r="I167" i="2"/>
  <c r="J167" i="2"/>
  <c r="H189" i="2"/>
  <c r="I189" i="2"/>
  <c r="J189" i="2"/>
  <c r="H195" i="2"/>
  <c r="I195" i="2"/>
  <c r="J195" i="2"/>
  <c r="H208" i="2"/>
  <c r="I208" i="2"/>
  <c r="J208" i="2"/>
  <c r="H228" i="2"/>
  <c r="I228" i="2"/>
  <c r="J228" i="2"/>
  <c r="H229" i="2"/>
  <c r="I229" i="2"/>
  <c r="J229" i="2"/>
  <c r="H230" i="2"/>
  <c r="I230" i="2"/>
  <c r="J230" i="2"/>
  <c r="H232" i="2"/>
  <c r="I232" i="2"/>
  <c r="J232" i="2"/>
  <c r="H233" i="2"/>
  <c r="I233" i="2"/>
  <c r="J233" i="2"/>
  <c r="H248" i="2"/>
  <c r="I248" i="2"/>
  <c r="J248" i="2"/>
  <c r="H253" i="2"/>
  <c r="I253" i="2"/>
  <c r="J253" i="2"/>
  <c r="H271" i="2"/>
  <c r="I271" i="2"/>
  <c r="J271" i="2"/>
  <c r="H286" i="2"/>
  <c r="I286" i="2"/>
  <c r="J286" i="2"/>
  <c r="H292" i="2"/>
  <c r="I292" i="2"/>
  <c r="J292" i="2"/>
  <c r="H295" i="2"/>
  <c r="I295" i="2"/>
  <c r="J295" i="2"/>
  <c r="H298" i="2"/>
  <c r="I298" i="2"/>
  <c r="J298" i="2"/>
  <c r="H299" i="2"/>
  <c r="I299" i="2"/>
  <c r="J299" i="2"/>
  <c r="H301" i="2"/>
  <c r="I301" i="2"/>
  <c r="J301" i="2"/>
  <c r="H305" i="2"/>
  <c r="I305" i="2"/>
  <c r="J305" i="2"/>
  <c r="H309" i="2"/>
  <c r="I309" i="2"/>
  <c r="J309" i="2"/>
  <c r="H327" i="2"/>
  <c r="I327" i="2"/>
  <c r="J327" i="2"/>
  <c r="H331" i="2"/>
  <c r="I331" i="2"/>
  <c r="J331" i="2"/>
  <c r="H341" i="2"/>
  <c r="I341" i="2"/>
  <c r="J341" i="2"/>
  <c r="H357" i="2"/>
  <c r="I357" i="2"/>
  <c r="J357" i="2"/>
  <c r="H358" i="2"/>
  <c r="I358" i="2"/>
  <c r="J358" i="2"/>
  <c r="H368" i="2"/>
  <c r="I368" i="2"/>
  <c r="J368" i="2"/>
  <c r="H371" i="2"/>
  <c r="I371" i="2"/>
  <c r="J371" i="2"/>
  <c r="H379" i="2"/>
  <c r="I379" i="2"/>
  <c r="J379" i="2"/>
  <c r="H402" i="2"/>
  <c r="I402" i="2"/>
  <c r="J402" i="2"/>
  <c r="H421" i="2"/>
  <c r="I421" i="2"/>
  <c r="J421" i="2"/>
  <c r="H422" i="2"/>
  <c r="I422" i="2"/>
  <c r="J422" i="2"/>
  <c r="H439" i="2"/>
  <c r="I439" i="2"/>
  <c r="J439" i="2"/>
  <c r="H443" i="2"/>
  <c r="I443" i="2"/>
  <c r="J443" i="2"/>
  <c r="H445" i="2"/>
  <c r="I445" i="2"/>
  <c r="J445" i="2"/>
  <c r="H452" i="2"/>
  <c r="I452" i="2"/>
  <c r="J452" i="2"/>
  <c r="H461" i="2"/>
  <c r="I461" i="2"/>
  <c r="J461" i="2"/>
  <c r="H471" i="2"/>
  <c r="I471" i="2"/>
  <c r="J471" i="2"/>
  <c r="H490" i="2"/>
  <c r="I490" i="2"/>
  <c r="J490" i="2"/>
  <c r="H494" i="2"/>
  <c r="I494" i="2"/>
  <c r="J494" i="2"/>
  <c r="H511" i="2"/>
  <c r="I511" i="2"/>
  <c r="J511" i="2"/>
  <c r="H523" i="2"/>
  <c r="I523" i="2"/>
  <c r="J523" i="2"/>
  <c r="H524" i="2"/>
  <c r="I524" i="2"/>
  <c r="J524" i="2"/>
  <c r="H530" i="2"/>
  <c r="I530" i="2"/>
  <c r="J530" i="2"/>
  <c r="H534" i="2"/>
  <c r="I534" i="2"/>
  <c r="J534" i="2"/>
  <c r="H536" i="2"/>
  <c r="I536" i="2"/>
  <c r="J536" i="2"/>
  <c r="H537" i="2"/>
  <c r="I537" i="2"/>
  <c r="J537" i="2"/>
  <c r="H545" i="2"/>
  <c r="I545" i="2"/>
  <c r="J545" i="2"/>
  <c r="H567" i="2"/>
  <c r="I567" i="2"/>
  <c r="J567" i="2"/>
  <c r="H575" i="2"/>
  <c r="I575" i="2"/>
  <c r="J575" i="2"/>
  <c r="H577" i="2"/>
  <c r="I577" i="2"/>
  <c r="J577" i="2"/>
  <c r="H579" i="2"/>
  <c r="I579" i="2"/>
  <c r="J579" i="2"/>
  <c r="H584" i="2"/>
  <c r="I584" i="2"/>
  <c r="J584" i="2"/>
  <c r="H595" i="2"/>
  <c r="I595" i="2"/>
  <c r="J595" i="2"/>
  <c r="H622" i="2"/>
  <c r="I622" i="2"/>
  <c r="J622" i="2"/>
  <c r="H624" i="2"/>
  <c r="I624" i="2"/>
  <c r="J624" i="2"/>
  <c r="H633" i="2"/>
  <c r="I633" i="2"/>
  <c r="J633" i="2"/>
  <c r="H637" i="2"/>
  <c r="I637" i="2"/>
  <c r="J637" i="2"/>
  <c r="H660" i="2"/>
  <c r="I660" i="2"/>
  <c r="J660" i="2"/>
  <c r="H666" i="2"/>
  <c r="I666" i="2"/>
  <c r="J666" i="2"/>
  <c r="H670" i="2"/>
  <c r="I670" i="2"/>
  <c r="J670" i="2"/>
  <c r="H671" i="2"/>
  <c r="I671" i="2"/>
  <c r="J671" i="2"/>
  <c r="H690" i="2"/>
  <c r="I690" i="2"/>
  <c r="J690" i="2"/>
  <c r="H698" i="2"/>
  <c r="I698" i="2"/>
  <c r="J698" i="2"/>
  <c r="H700" i="2"/>
  <c r="I700" i="2"/>
  <c r="J700" i="2"/>
  <c r="H712" i="2"/>
  <c r="I712" i="2"/>
  <c r="J712" i="2"/>
  <c r="H717" i="2"/>
  <c r="I717" i="2"/>
  <c r="J717" i="2"/>
  <c r="H745" i="2"/>
  <c r="I745" i="2"/>
  <c r="J745" i="2"/>
  <c r="H756" i="2"/>
  <c r="I756" i="2"/>
  <c r="J756" i="2"/>
  <c r="H758" i="2"/>
  <c r="I758" i="2"/>
  <c r="J758" i="2"/>
  <c r="H760" i="2"/>
  <c r="I760" i="2"/>
  <c r="J760" i="2"/>
  <c r="H769" i="2"/>
  <c r="I769" i="2"/>
  <c r="J769" i="2"/>
  <c r="H782" i="2"/>
  <c r="I782" i="2"/>
  <c r="J782" i="2"/>
  <c r="H789" i="2"/>
  <c r="I789" i="2"/>
  <c r="J789" i="2"/>
  <c r="H799" i="2"/>
  <c r="I799" i="2"/>
  <c r="J799" i="2"/>
  <c r="H808" i="2"/>
  <c r="I808" i="2"/>
  <c r="J808" i="2"/>
  <c r="H821" i="2"/>
  <c r="I821" i="2"/>
  <c r="J821" i="2"/>
  <c r="H826" i="2"/>
  <c r="I826" i="2"/>
  <c r="J826" i="2"/>
  <c r="H847" i="2"/>
  <c r="I847" i="2"/>
  <c r="J847" i="2"/>
  <c r="H851" i="2"/>
  <c r="I851" i="2"/>
  <c r="J851" i="2"/>
  <c r="H919" i="2"/>
  <c r="I919" i="2"/>
  <c r="J919" i="2"/>
  <c r="H922" i="2"/>
  <c r="I922" i="2"/>
  <c r="J922" i="2"/>
  <c r="H999" i="2"/>
  <c r="I999" i="2"/>
  <c r="J999" i="2"/>
  <c r="H1010" i="2"/>
  <c r="J1010" i="2"/>
  <c r="H1083" i="2"/>
  <c r="J1083" i="2"/>
  <c r="H1090" i="2"/>
  <c r="J1090" i="2"/>
  <c r="H1111" i="2"/>
  <c r="J1111" i="2"/>
  <c r="H1155" i="2"/>
  <c r="J1155" i="2"/>
  <c r="H1192" i="2"/>
  <c r="J1192" i="2"/>
  <c r="H1230" i="2"/>
  <c r="J1230" i="2"/>
  <c r="H1261" i="2"/>
  <c r="J1261" i="2"/>
  <c r="H1272" i="2"/>
  <c r="J1272" i="2"/>
  <c r="H1298" i="2"/>
  <c r="J1298" i="2"/>
  <c r="H1361" i="2"/>
  <c r="J1361" i="2"/>
  <c r="H1387" i="2"/>
  <c r="J1387" i="2"/>
  <c r="H1402" i="2"/>
  <c r="J1402" i="2"/>
  <c r="H1508" i="2"/>
  <c r="J1508" i="2"/>
  <c r="H1519" i="2"/>
  <c r="J1519" i="2"/>
  <c r="H1578" i="2"/>
  <c r="J1578" i="2"/>
  <c r="H1602" i="2"/>
  <c r="J1602" i="2"/>
  <c r="H1639" i="2"/>
  <c r="J1639" i="2"/>
  <c r="H1699" i="2"/>
  <c r="J1699" i="2"/>
  <c r="H1700" i="2"/>
  <c r="J1700" i="2"/>
  <c r="H1729" i="2"/>
  <c r="J1729" i="2"/>
  <c r="H1737" i="2"/>
  <c r="J1737" i="2"/>
  <c r="H1741" i="2"/>
  <c r="J1741" i="2"/>
  <c r="H1757" i="2"/>
  <c r="J1757" i="2"/>
  <c r="H1775" i="2"/>
  <c r="J1775" i="2"/>
  <c r="H1840" i="2"/>
  <c r="J1840" i="2"/>
  <c r="H1852" i="2"/>
  <c r="J1852" i="2"/>
  <c r="H1994" i="2"/>
  <c r="J1994" i="2"/>
  <c r="H2044" i="2"/>
  <c r="J2044" i="2"/>
  <c r="H2046" i="2"/>
  <c r="J2046" i="2"/>
  <c r="H2062" i="2"/>
  <c r="J2062" i="2"/>
  <c r="H2069" i="2"/>
  <c r="J2069" i="2"/>
  <c r="H2076" i="2"/>
  <c r="J2076" i="2"/>
  <c r="H2126" i="2"/>
  <c r="J2126" i="2"/>
  <c r="H2181" i="2"/>
  <c r="J2181" i="2"/>
  <c r="H2185" i="2"/>
  <c r="J2185" i="2"/>
  <c r="H2190" i="2"/>
  <c r="J2190" i="2"/>
  <c r="H2212" i="2"/>
  <c r="J2212" i="2"/>
  <c r="H2265" i="2"/>
  <c r="J2265" i="2"/>
  <c r="H2333" i="2"/>
  <c r="J2333" i="2"/>
  <c r="H2367" i="2"/>
  <c r="J2367" i="2"/>
  <c r="H2390" i="2"/>
  <c r="J2390" i="2"/>
  <c r="H2391" i="2"/>
  <c r="J2391" i="2"/>
  <c r="H1379" i="2"/>
  <c r="J1379" i="2"/>
  <c r="H1841" i="2"/>
  <c r="J1841" i="2"/>
  <c r="H1758" i="2"/>
  <c r="J1758" i="2"/>
  <c r="H1537" i="2"/>
  <c r="J1537" i="2"/>
  <c r="H2239" i="2"/>
  <c r="J2239" i="2"/>
  <c r="H899" i="2"/>
  <c r="J899" i="2"/>
  <c r="H1629" i="2"/>
  <c r="J1629" i="2"/>
  <c r="H1203" i="2"/>
  <c r="J1203" i="2"/>
  <c r="H1888" i="2"/>
  <c r="J1888" i="2"/>
  <c r="H2379" i="2"/>
  <c r="J2379" i="2"/>
  <c r="H1091" i="2"/>
  <c r="J1091" i="2"/>
  <c r="H2148" i="2"/>
  <c r="J2148" i="2"/>
  <c r="H2070" i="2"/>
  <c r="J2070" i="2"/>
  <c r="H852" i="2"/>
  <c r="J852" i="2"/>
  <c r="H2276" i="2"/>
  <c r="J2276" i="2"/>
  <c r="H1701" i="2"/>
  <c r="J1701" i="2"/>
  <c r="H1992" i="2"/>
  <c r="J1992" i="2"/>
  <c r="H1266" i="2"/>
  <c r="J1266" i="2"/>
  <c r="H2299" i="2"/>
  <c r="J2299" i="2"/>
  <c r="H1035" i="2"/>
  <c r="J1035" i="2"/>
  <c r="H1172" i="2"/>
  <c r="J1172" i="2"/>
  <c r="H2386" i="2"/>
  <c r="J2386" i="2"/>
  <c r="H800" i="2"/>
  <c r="J800" i="2"/>
  <c r="H1347" i="2"/>
  <c r="J1347" i="2"/>
  <c r="H1364" i="2"/>
  <c r="J1364" i="2"/>
  <c r="H2281" i="2"/>
  <c r="J2281" i="2"/>
  <c r="H2234" i="2"/>
  <c r="J2234" i="2"/>
  <c r="H1127" i="2"/>
  <c r="J1127" i="2"/>
  <c r="H2385" i="2"/>
  <c r="J2385" i="2"/>
  <c r="H1904" i="2"/>
  <c r="J1904" i="2"/>
  <c r="H1392" i="2"/>
  <c r="J1392" i="2"/>
  <c r="H1905" i="2"/>
  <c r="J1905" i="2"/>
  <c r="H1093" i="2"/>
  <c r="J1093" i="2"/>
  <c r="H2393" i="2"/>
  <c r="J2393" i="2"/>
  <c r="H2290" i="2"/>
  <c r="J2290" i="2"/>
  <c r="H1541" i="2"/>
  <c r="J1541" i="2"/>
  <c r="H1548" i="2"/>
  <c r="J1548" i="2"/>
  <c r="H1824" i="2"/>
  <c r="J1824" i="2"/>
  <c r="H2287" i="2"/>
  <c r="J2287" i="2"/>
  <c r="H1784" i="2"/>
  <c r="J1784" i="2"/>
  <c r="H396" i="4" s="1"/>
  <c r="H1102" i="2"/>
  <c r="J1102" i="2"/>
  <c r="H868" i="2"/>
  <c r="J868" i="2"/>
  <c r="H1184" i="2"/>
  <c r="J1184" i="2"/>
  <c r="H1338" i="2"/>
  <c r="J1338" i="2"/>
  <c r="H1324" i="2"/>
  <c r="J1324" i="2"/>
  <c r="H1876" i="2"/>
  <c r="J1876" i="2"/>
  <c r="H1049" i="2"/>
  <c r="J1049" i="2"/>
  <c r="H1122" i="2"/>
  <c r="J1122" i="2"/>
  <c r="H1386" i="2"/>
  <c r="J1386" i="2"/>
  <c r="H1302" i="2"/>
  <c r="J1302" i="2"/>
  <c r="H1980" i="2"/>
  <c r="J1980" i="2"/>
  <c r="H2389" i="2"/>
  <c r="J2389" i="2"/>
  <c r="H2235" i="2"/>
  <c r="J2235" i="2"/>
  <c r="H860" i="2"/>
  <c r="J860" i="2"/>
  <c r="H1291" i="2"/>
  <c r="J1291" i="2"/>
  <c r="H2054" i="2"/>
  <c r="J2054" i="2"/>
  <c r="H1777" i="2"/>
  <c r="J1777" i="2"/>
  <c r="H1388" i="2"/>
  <c r="J1388" i="2"/>
  <c r="H1485" i="2"/>
  <c r="J1485" i="2"/>
  <c r="H1687" i="2"/>
  <c r="J1687" i="2"/>
  <c r="H1811" i="2"/>
  <c r="J1811" i="2"/>
  <c r="H1877" i="2"/>
  <c r="J1877" i="2"/>
  <c r="H1907" i="2"/>
  <c r="J1907" i="2"/>
  <c r="H2087" i="2"/>
  <c r="J2087" i="2"/>
  <c r="H1304" i="2"/>
  <c r="J1304" i="2"/>
  <c r="H1394" i="2"/>
  <c r="J1394" i="2"/>
  <c r="H1406" i="2"/>
  <c r="J1406" i="2"/>
  <c r="H1538" i="2"/>
  <c r="J1538" i="2"/>
  <c r="H1075" i="2"/>
  <c r="J1075" i="2"/>
  <c r="H1216" i="2"/>
  <c r="J1216" i="2"/>
  <c r="H1185" i="2"/>
  <c r="J1185" i="2"/>
  <c r="H1446" i="2"/>
  <c r="J1446" i="2"/>
  <c r="H614" i="2"/>
  <c r="J614" i="2"/>
  <c r="H736" i="2"/>
  <c r="J736" i="2"/>
  <c r="H1287" i="2"/>
  <c r="J1287" i="2"/>
  <c r="H1640" i="2"/>
  <c r="J1640" i="2"/>
  <c r="H1333" i="2"/>
  <c r="J1333" i="2"/>
  <c r="H895" i="2"/>
  <c r="J895" i="2"/>
  <c r="H1071" i="2"/>
  <c r="J1071" i="2"/>
  <c r="H1212" i="2"/>
  <c r="J1212" i="2"/>
  <c r="H2250" i="2"/>
  <c r="J2250" i="2"/>
  <c r="H1366" i="2"/>
  <c r="J1366" i="2"/>
  <c r="H1525" i="2"/>
  <c r="J1525" i="2"/>
  <c r="H1563" i="2"/>
  <c r="J1563" i="2"/>
  <c r="H1279" i="2"/>
  <c r="J1279" i="2"/>
  <c r="H2219" i="2"/>
  <c r="J2219" i="2"/>
  <c r="H1743" i="2"/>
  <c r="J1743" i="2"/>
  <c r="H1842" i="2"/>
  <c r="J1842" i="2"/>
  <c r="H1878" i="2"/>
  <c r="J1878" i="2"/>
  <c r="H1088" i="2"/>
  <c r="J1088" i="2"/>
  <c r="H1018" i="2"/>
  <c r="J1018" i="2"/>
  <c r="H1805" i="2"/>
  <c r="J1805" i="2"/>
  <c r="H2117" i="2"/>
  <c r="J2117" i="2"/>
  <c r="H1647" i="2"/>
  <c r="J1647" i="2"/>
  <c r="H1744" i="2"/>
  <c r="J1744" i="2"/>
  <c r="H1778" i="2"/>
  <c r="J1778" i="2"/>
  <c r="H2039" i="2"/>
  <c r="J2039" i="2"/>
  <c r="H2206" i="2"/>
  <c r="J2206" i="2"/>
  <c r="H1576" i="2"/>
  <c r="J1576" i="2"/>
  <c r="H1812" i="2"/>
  <c r="J1812" i="2"/>
  <c r="H1325" i="2"/>
  <c r="J1325" i="2"/>
  <c r="H1986" i="2"/>
  <c r="J1986" i="2"/>
  <c r="H1903" i="2"/>
  <c r="J1903" i="2"/>
  <c r="H2111" i="2"/>
  <c r="J2111" i="2"/>
  <c r="H892" i="2"/>
  <c r="J892" i="2"/>
  <c r="H761" i="2"/>
  <c r="J761" i="2"/>
  <c r="H1486" i="2"/>
  <c r="J1486" i="2"/>
  <c r="H1908" i="2"/>
  <c r="J1908" i="2"/>
  <c r="H820" i="2"/>
  <c r="J820" i="2"/>
  <c r="H1770" i="2"/>
  <c r="J1770" i="2"/>
  <c r="H2340" i="2"/>
  <c r="J2340" i="2"/>
  <c r="H1457" i="2"/>
  <c r="J1457" i="2"/>
  <c r="H1688" i="2"/>
  <c r="J1688" i="2"/>
  <c r="H615" i="2"/>
  <c r="J615" i="2"/>
  <c r="H2277" i="2"/>
  <c r="J2277" i="2"/>
  <c r="H1292" i="2"/>
  <c r="J1292" i="2"/>
  <c r="H1580" i="2"/>
  <c r="J1580" i="2"/>
  <c r="H1826" i="2"/>
  <c r="J1826" i="2"/>
  <c r="H1879" i="2"/>
  <c r="J1879" i="2"/>
  <c r="H1703" i="2"/>
  <c r="J1703" i="2"/>
  <c r="H2141" i="2"/>
  <c r="J2141" i="2"/>
  <c r="H1633" i="2"/>
  <c r="J1633" i="2"/>
  <c r="H2374" i="2"/>
  <c r="J2374" i="2"/>
  <c r="H1940" i="2"/>
  <c r="J1940" i="2"/>
  <c r="H2288" i="2"/>
  <c r="J2288" i="2"/>
  <c r="H1089" i="2"/>
  <c r="J1089" i="2"/>
  <c r="H1896" i="2"/>
  <c r="J1896" i="2"/>
  <c r="H1801" i="2"/>
  <c r="J1801" i="2"/>
  <c r="H2271" i="2"/>
  <c r="J2271" i="2"/>
  <c r="H1510" i="2"/>
  <c r="J1510" i="2"/>
  <c r="H2313" i="2"/>
  <c r="J2313" i="2"/>
  <c r="H2231" i="2"/>
  <c r="J2231" i="2"/>
  <c r="H1334" i="2"/>
  <c r="J1334" i="2"/>
  <c r="H2384" i="2"/>
  <c r="J2384" i="2"/>
  <c r="H1922" i="2"/>
  <c r="J1922" i="2"/>
  <c r="H1217" i="2"/>
  <c r="J1217" i="2"/>
  <c r="H1368" i="2"/>
  <c r="J1368" i="2"/>
  <c r="H2359" i="2"/>
  <c r="J2359" i="2"/>
  <c r="H1491" i="2"/>
  <c r="J1491" i="2"/>
  <c r="H1613" i="2"/>
  <c r="J1613" i="2"/>
  <c r="H1716" i="2"/>
  <c r="J1716" i="2"/>
  <c r="H1756" i="2"/>
  <c r="J1756" i="2"/>
  <c r="H2280" i="2"/>
  <c r="J2280" i="2"/>
  <c r="H1483" i="2"/>
  <c r="J1483" i="2"/>
  <c r="H1339" i="2"/>
  <c r="J1339" i="2"/>
  <c r="H1604" i="2"/>
  <c r="J1604" i="2"/>
  <c r="H1569" i="2"/>
  <c r="J1569" i="2"/>
  <c r="H1206" i="2"/>
  <c r="J1206" i="2"/>
  <c r="H1686" i="2"/>
  <c r="J1686" i="2"/>
  <c r="H2319" i="2"/>
  <c r="J2319" i="2"/>
  <c r="H953" i="2"/>
  <c r="J953" i="2"/>
  <c r="H2240" i="2"/>
  <c r="J2240" i="2"/>
  <c r="H1727" i="2"/>
  <c r="J1727" i="2"/>
  <c r="H1596" i="2"/>
  <c r="J1596" i="2"/>
  <c r="H2083" i="2"/>
  <c r="J2083" i="2"/>
  <c r="H2337" i="2"/>
  <c r="J2337" i="2"/>
  <c r="H1200" i="2"/>
  <c r="J1200" i="2"/>
  <c r="H2215" i="2"/>
  <c r="J2215" i="2"/>
  <c r="H1469" i="2"/>
  <c r="J1469" i="2"/>
  <c r="H1038" i="2"/>
  <c r="J1038" i="2"/>
  <c r="H2119" i="2"/>
  <c r="J2119" i="2"/>
  <c r="H1467" i="2"/>
  <c r="J1467" i="2"/>
  <c r="H1549" i="2"/>
  <c r="J1549" i="2"/>
  <c r="H1739" i="2"/>
  <c r="J1739" i="2"/>
  <c r="H2326" i="2"/>
  <c r="J2326" i="2"/>
  <c r="H1982" i="2"/>
  <c r="J1982" i="2"/>
  <c r="H1909" i="2"/>
  <c r="J1909" i="2"/>
  <c r="H2377" i="2"/>
  <c r="J2377" i="2"/>
  <c r="H625" i="2"/>
  <c r="J625" i="2"/>
  <c r="H1704" i="2"/>
  <c r="J1704" i="2"/>
  <c r="H1735" i="2"/>
  <c r="J1735" i="2"/>
  <c r="H1531" i="2"/>
  <c r="J1531" i="2"/>
  <c r="H2334" i="2"/>
  <c r="J2334" i="2"/>
  <c r="H928" i="2"/>
  <c r="J928" i="2"/>
  <c r="H1648" i="2"/>
  <c r="J1648" i="2"/>
  <c r="H1117" i="2"/>
  <c r="J1117" i="2"/>
  <c r="H1472" i="2"/>
  <c r="J1472" i="2"/>
  <c r="H1511" i="2"/>
  <c r="J1511" i="2"/>
  <c r="H1764" i="2"/>
  <c r="J1764" i="2"/>
  <c r="H1484" i="2"/>
  <c r="J1484" i="2"/>
  <c r="H762" i="2"/>
  <c r="J762" i="2"/>
  <c r="H1407" i="2"/>
  <c r="J1407" i="2"/>
  <c r="H1622" i="2"/>
  <c r="J1622" i="2"/>
  <c r="H963" i="2"/>
  <c r="J963" i="2"/>
  <c r="H1606" i="2"/>
  <c r="J1606" i="2"/>
  <c r="H834" i="2"/>
  <c r="J834" i="2"/>
  <c r="H1006" i="2"/>
  <c r="J1006" i="2"/>
  <c r="H1123" i="2"/>
  <c r="J1123" i="2"/>
  <c r="H2025" i="2"/>
  <c r="J2025" i="2"/>
  <c r="H2160" i="2"/>
  <c r="J2160" i="2"/>
  <c r="H2242" i="2"/>
  <c r="J2242" i="2"/>
  <c r="H776" i="2"/>
  <c r="J776" i="2"/>
  <c r="H1693" i="2"/>
  <c r="J1693" i="2"/>
  <c r="H1832" i="2"/>
  <c r="J1832" i="2"/>
  <c r="H2033" i="2"/>
  <c r="J2033" i="2"/>
  <c r="H1589" i="2"/>
  <c r="J1589" i="2"/>
  <c r="H775" i="2"/>
  <c r="J775" i="2"/>
  <c r="H1577" i="2"/>
  <c r="J1577" i="2"/>
  <c r="H1705" i="2"/>
  <c r="J1705" i="2"/>
  <c r="H1326" i="2"/>
  <c r="J1326" i="2"/>
  <c r="H1496" i="2"/>
  <c r="J1496" i="2"/>
  <c r="H2320" i="2"/>
  <c r="J2320" i="2"/>
  <c r="H2173" i="2"/>
  <c r="J2173" i="2"/>
  <c r="H2380" i="2"/>
  <c r="J2380" i="2"/>
  <c r="H1193" i="2"/>
  <c r="J1193" i="2"/>
  <c r="H1649" i="2"/>
  <c r="J1649" i="2"/>
  <c r="H1403" i="2"/>
  <c r="J1403" i="2"/>
  <c r="H1698" i="2"/>
  <c r="J1698" i="2"/>
  <c r="H1180" i="2"/>
  <c r="J1180" i="2"/>
  <c r="H2258" i="2"/>
  <c r="J2258" i="2"/>
  <c r="H1103" i="2"/>
  <c r="J1103" i="2"/>
  <c r="H1961" i="2"/>
  <c r="J1961" i="2"/>
  <c r="H2399" i="2"/>
  <c r="J2399" i="2"/>
  <c r="H1389" i="2"/>
  <c r="J1389" i="2"/>
  <c r="H1590" i="2"/>
  <c r="J1590" i="2"/>
  <c r="H2023" i="2"/>
  <c r="J2023" i="2"/>
  <c r="H2106" i="2"/>
  <c r="J2106" i="2"/>
  <c r="H1707" i="2"/>
  <c r="J1707" i="2"/>
  <c r="H2079" i="2"/>
  <c r="J2079" i="2"/>
  <c r="H2045" i="2"/>
  <c r="J2045" i="2"/>
  <c r="H1689" i="2"/>
  <c r="J1689" i="2"/>
  <c r="H2236" i="2"/>
  <c r="J2236" i="2"/>
  <c r="H1146" i="2"/>
  <c r="J1146" i="2"/>
  <c r="H2291" i="2"/>
  <c r="J2291" i="2"/>
  <c r="H1938" i="2"/>
  <c r="J1938" i="2"/>
  <c r="H1430" i="2"/>
  <c r="J1430" i="2"/>
  <c r="H2175" i="2"/>
  <c r="J2175" i="2"/>
  <c r="H1614" i="2"/>
  <c r="J1614" i="2"/>
  <c r="H2316" i="2"/>
  <c r="J2316" i="2"/>
  <c r="H1284" i="2"/>
  <c r="J1284" i="2"/>
  <c r="H2197" i="2"/>
  <c r="J2197" i="2"/>
  <c r="H2006" i="2"/>
  <c r="J2006" i="2"/>
  <c r="H2312" i="2"/>
  <c r="J2312" i="2"/>
  <c r="H1460" i="2"/>
  <c r="J1460" i="2"/>
  <c r="H1512" i="2"/>
  <c r="J1512" i="2"/>
  <c r="H2019" i="2"/>
  <c r="J2019" i="2"/>
  <c r="H1447" i="2"/>
  <c r="J1447" i="2"/>
  <c r="H2120" i="2"/>
  <c r="J2120" i="2"/>
  <c r="H1933" i="2"/>
  <c r="J1933" i="2"/>
  <c r="H2375" i="2"/>
  <c r="J2375" i="2"/>
  <c r="H1581" i="2"/>
  <c r="J1581" i="2"/>
  <c r="H2247" i="2"/>
  <c r="J2247" i="2"/>
  <c r="H1550" i="2"/>
  <c r="J1550" i="2"/>
  <c r="H1854" i="2"/>
  <c r="J1854" i="2"/>
  <c r="H2282" i="2"/>
  <c r="J2282" i="2"/>
  <c r="H2376" i="2"/>
  <c r="J2376" i="2"/>
  <c r="H1156" i="2"/>
  <c r="J1156" i="2"/>
  <c r="H1814" i="2"/>
  <c r="J1814" i="2"/>
  <c r="H1656" i="2"/>
  <c r="J1656" i="2"/>
  <c r="H2289" i="2"/>
  <c r="J2289" i="2"/>
  <c r="H1804" i="2"/>
  <c r="J1804" i="2"/>
  <c r="H1166" i="2"/>
  <c r="J1166" i="2"/>
  <c r="H1241" i="2"/>
  <c r="J1241" i="2"/>
  <c r="H1539" i="2"/>
  <c r="J1539" i="2"/>
  <c r="H1959" i="2"/>
  <c r="J1959" i="2"/>
  <c r="H2306" i="2"/>
  <c r="J2306" i="2"/>
  <c r="H2381" i="2"/>
  <c r="J2381" i="2"/>
  <c r="H770" i="2"/>
  <c r="J770" i="2"/>
  <c r="H2352" i="2"/>
  <c r="J2352" i="2"/>
  <c r="H1207" i="2"/>
  <c r="J1207" i="2"/>
  <c r="H2360" i="2"/>
  <c r="J2360" i="2"/>
  <c r="H900" i="2"/>
  <c r="J900" i="2"/>
  <c r="H2195" i="2"/>
  <c r="J2195" i="2"/>
  <c r="H2191" i="2"/>
  <c r="J2191" i="2"/>
  <c r="H2328" i="2"/>
  <c r="J2328" i="2"/>
  <c r="H1452" i="2"/>
  <c r="J1452" i="2"/>
  <c r="H1874" i="2"/>
  <c r="J1874" i="2"/>
  <c r="H1816" i="2"/>
  <c r="J1816" i="2"/>
  <c r="H1072" i="2"/>
  <c r="J1072" i="2"/>
  <c r="H1513" i="2"/>
  <c r="J1513" i="2"/>
  <c r="H2361" i="2"/>
  <c r="J2361" i="2"/>
  <c r="H879" i="2"/>
  <c r="J879" i="2"/>
  <c r="H737" i="2"/>
  <c r="J737" i="2"/>
  <c r="H2383" i="2"/>
  <c r="J2383" i="2"/>
  <c r="H1499" i="2"/>
  <c r="J1499" i="2"/>
  <c r="H1570" i="2"/>
  <c r="J1570" i="2"/>
  <c r="H1357" i="2"/>
  <c r="J1357" i="2"/>
  <c r="H1078" i="2"/>
  <c r="J1078" i="2"/>
  <c r="H1306" i="2"/>
  <c r="J1306" i="2"/>
  <c r="H2283" i="2"/>
  <c r="J2283" i="2"/>
  <c r="H2358" i="2"/>
  <c r="J2358" i="2"/>
  <c r="H2121" i="2"/>
  <c r="J2121" i="2"/>
  <c r="H1381" i="2"/>
  <c r="J1381" i="2"/>
  <c r="H1593" i="2"/>
  <c r="J1593" i="2"/>
  <c r="H1615" i="2"/>
  <c r="J1615" i="2"/>
  <c r="H1219" i="2"/>
  <c r="J1219" i="2"/>
  <c r="H2034" i="2"/>
  <c r="J2034" i="2"/>
  <c r="H1911" i="2"/>
  <c r="J1911" i="2"/>
  <c r="H1582" i="2"/>
  <c r="J1582" i="2"/>
  <c r="H1256" i="2"/>
  <c r="J1256" i="2"/>
  <c r="H1894" i="2"/>
  <c r="J1894" i="2"/>
  <c r="H1942" i="2"/>
  <c r="J1942" i="2"/>
  <c r="H1431" i="2"/>
  <c r="J1431" i="2"/>
  <c r="H2088" i="2"/>
  <c r="J2088" i="2"/>
  <c r="H1855" i="2"/>
  <c r="J1855" i="2"/>
  <c r="H2085" i="2"/>
  <c r="J2085" i="2"/>
  <c r="H877" i="2"/>
  <c r="J877" i="2"/>
  <c r="H882" i="2"/>
  <c r="J882" i="2"/>
  <c r="H1440" i="2"/>
  <c r="J1440" i="2"/>
  <c r="H1993" i="2"/>
  <c r="J1993" i="2"/>
  <c r="H2142" i="2"/>
  <c r="J2142" i="2"/>
  <c r="H827" i="2"/>
  <c r="J827" i="2"/>
  <c r="H672" i="2"/>
  <c r="J672" i="2"/>
  <c r="H2108" i="2"/>
  <c r="J2108" i="2"/>
  <c r="H1208" i="2"/>
  <c r="J1208" i="2"/>
  <c r="H1916" i="2"/>
  <c r="J1916" i="2"/>
  <c r="H2227" i="2"/>
  <c r="J2227" i="2"/>
  <c r="H2013" i="2"/>
  <c r="J2013" i="2"/>
  <c r="H2109" i="2"/>
  <c r="J2109" i="2"/>
  <c r="H1352" i="2"/>
  <c r="J1352" i="2"/>
  <c r="H1624" i="2"/>
  <c r="J1624" i="2"/>
  <c r="H2220" i="2"/>
  <c r="J2220" i="2"/>
  <c r="H1058" i="2"/>
  <c r="J1058" i="2"/>
  <c r="H1307" i="2"/>
  <c r="J1307" i="2"/>
  <c r="H1546" i="2"/>
  <c r="J1546" i="2"/>
  <c r="H1790" i="2"/>
  <c r="J1790" i="2"/>
  <c r="H1552" i="2"/>
  <c r="J1552" i="2"/>
  <c r="H1771" i="2"/>
  <c r="J1771" i="2"/>
  <c r="H741" i="2"/>
  <c r="J741" i="2"/>
  <c r="H1039" i="2"/>
  <c r="J1039" i="2"/>
  <c r="H1474" i="2"/>
  <c r="J1474" i="2"/>
  <c r="H1209" i="2"/>
  <c r="J1209" i="2"/>
  <c r="H1880" i="2"/>
  <c r="J1880" i="2"/>
  <c r="H2150" i="2"/>
  <c r="J2150" i="2"/>
  <c r="H1723" i="2"/>
  <c r="J1723" i="2"/>
  <c r="H1136" i="2"/>
  <c r="J1136" i="2"/>
  <c r="H1939" i="2"/>
  <c r="J1939" i="2"/>
  <c r="H901" i="2"/>
  <c r="J901" i="2"/>
  <c r="H1220" i="2"/>
  <c r="J1220" i="2"/>
  <c r="H1382" i="2"/>
  <c r="J1382" i="2"/>
  <c r="H1050" i="2"/>
  <c r="J1050" i="2"/>
  <c r="H1178" i="2"/>
  <c r="J1178" i="2"/>
  <c r="H1863" i="2"/>
  <c r="J1863" i="2"/>
  <c r="H1694" i="2"/>
  <c r="J1694" i="2"/>
  <c r="H1015" i="2"/>
  <c r="J1015" i="2"/>
  <c r="H1223" i="2"/>
  <c r="J1223" i="2"/>
  <c r="H1925" i="2"/>
  <c r="J1925" i="2"/>
  <c r="H971" i="2"/>
  <c r="J971" i="2"/>
  <c r="H1847" i="2"/>
  <c r="J1847" i="2"/>
  <c r="H2176" i="2"/>
  <c r="J2176" i="2"/>
  <c r="H1553" i="2"/>
  <c r="J1553" i="2"/>
  <c r="H1585" i="2"/>
  <c r="J1585" i="2"/>
  <c r="H1673" i="2"/>
  <c r="J1673" i="2"/>
  <c r="H996" i="2"/>
  <c r="J996" i="2"/>
  <c r="H1835" i="2"/>
  <c r="J1835" i="2"/>
  <c r="H2401" i="2"/>
  <c r="J2401" i="2"/>
  <c r="H1150" i="2"/>
  <c r="J1150" i="2"/>
  <c r="H1167" i="2"/>
  <c r="J1167" i="2"/>
  <c r="H957" i="2"/>
  <c r="J957" i="2"/>
  <c r="H1943" i="2"/>
  <c r="J1943" i="2"/>
  <c r="H2008" i="2"/>
  <c r="J2008" i="2"/>
  <c r="H873" i="2"/>
  <c r="J873" i="2"/>
  <c r="H1572" i="2"/>
  <c r="J1572" i="2"/>
  <c r="H1315" i="2"/>
  <c r="J1315" i="2"/>
  <c r="H2203" i="2"/>
  <c r="J2203" i="2"/>
  <c r="H1432" i="2"/>
  <c r="J1432" i="2"/>
  <c r="H1487" i="2"/>
  <c r="J1487" i="2"/>
  <c r="H1586" i="2"/>
  <c r="J1586" i="2"/>
  <c r="H1594" i="2"/>
  <c r="J1594" i="2"/>
  <c r="H2089" i="2"/>
  <c r="J2089" i="2"/>
  <c r="H2065" i="2"/>
  <c r="J2065" i="2"/>
  <c r="H1821" i="2"/>
  <c r="J1821" i="2"/>
  <c r="H1663" i="2"/>
  <c r="J1663" i="2"/>
  <c r="H2388" i="2"/>
  <c r="J2388" i="2"/>
  <c r="H839" i="2"/>
  <c r="J839" i="2"/>
  <c r="H1433" i="2"/>
  <c r="J1433" i="2"/>
  <c r="H734" i="2"/>
  <c r="J734" i="2"/>
  <c r="H1188" i="2"/>
  <c r="J1188" i="2"/>
  <c r="H1695" i="2"/>
  <c r="J1695" i="2"/>
  <c r="H2397" i="2"/>
  <c r="J2397" i="2"/>
  <c r="H1397" i="2"/>
  <c r="J1397" i="2"/>
  <c r="H2268" i="2"/>
  <c r="J2268" i="2"/>
  <c r="H1806" i="2"/>
  <c r="J1806" i="2"/>
  <c r="H2396" i="2"/>
  <c r="J2396" i="2"/>
  <c r="H1988" i="2"/>
  <c r="J1988" i="2"/>
  <c r="H1079" i="2"/>
  <c r="J1079" i="2"/>
  <c r="H1141" i="2"/>
  <c r="J1141" i="2"/>
  <c r="H1106" i="2"/>
  <c r="J1106" i="2"/>
  <c r="H1898" i="2"/>
  <c r="J1898" i="2"/>
  <c r="H1731" i="2"/>
  <c r="J1731" i="2"/>
  <c r="H2259" i="2"/>
  <c r="J2259" i="2"/>
  <c r="H1616" i="2"/>
  <c r="J1616" i="2"/>
  <c r="H2214" i="2"/>
  <c r="J2214" i="2"/>
  <c r="H1187" i="2"/>
  <c r="J1187" i="2"/>
  <c r="H1657" i="2"/>
  <c r="J1657" i="2"/>
  <c r="H1997" i="2"/>
  <c r="J1997" i="2"/>
  <c r="H1238" i="2"/>
  <c r="J1238" i="2"/>
  <c r="H1533" i="2"/>
  <c r="J1533" i="2"/>
  <c r="H1475" i="2"/>
  <c r="J1475" i="2"/>
  <c r="H1488" i="2"/>
  <c r="J1488" i="2"/>
  <c r="H1945" i="2"/>
  <c r="J1945" i="2"/>
  <c r="H1683" i="2"/>
  <c r="J1683" i="2"/>
  <c r="H1856" i="2"/>
  <c r="J1856" i="2"/>
  <c r="H1489" i="2"/>
  <c r="J1489" i="2"/>
  <c r="H2186" i="2"/>
  <c r="J2186" i="2"/>
  <c r="H2260" i="2"/>
  <c r="J2260" i="2"/>
  <c r="H1142" i="2"/>
  <c r="J1142" i="2"/>
  <c r="H2392" i="2"/>
  <c r="J2392" i="2"/>
  <c r="H1864" i="2"/>
  <c r="J1864" i="2"/>
  <c r="H2363" i="2"/>
  <c r="J2363" i="2"/>
  <c r="H1268" i="2"/>
  <c r="J1268" i="2"/>
  <c r="H1316" i="2"/>
  <c r="J1316" i="2"/>
  <c r="H1369" i="2"/>
  <c r="J1369" i="2"/>
  <c r="H1691" i="2"/>
  <c r="J1691" i="2"/>
  <c r="H1328" i="2"/>
  <c r="J1328" i="2"/>
  <c r="H2080" i="2"/>
  <c r="J2080" i="2"/>
  <c r="H2348" i="2"/>
  <c r="J2348" i="2"/>
  <c r="H1329" i="2"/>
  <c r="J1329" i="2"/>
  <c r="H1515" i="2"/>
  <c r="J1515" i="2"/>
  <c r="H2362" i="2"/>
  <c r="J2362" i="2"/>
  <c r="H2273" i="2"/>
  <c r="J2273" i="2"/>
  <c r="H1059" i="2"/>
  <c r="J1059" i="2"/>
  <c r="H2177" i="2"/>
  <c r="J2177" i="2"/>
  <c r="H1151" i="2"/>
  <c r="J1151" i="2"/>
  <c r="H2368" i="2"/>
  <c r="J2368" i="2"/>
  <c r="H1617" i="2"/>
  <c r="J1617" i="2"/>
  <c r="H2307" i="2"/>
  <c r="J2307" i="2"/>
  <c r="H1502" i="2"/>
  <c r="J1502" i="2"/>
  <c r="H1210" i="2"/>
  <c r="J1210" i="2"/>
  <c r="H1448" i="2"/>
  <c r="J1448" i="2"/>
  <c r="H1029" i="2"/>
  <c r="J1029" i="2"/>
  <c r="H1664" i="2"/>
  <c r="J1664" i="2"/>
  <c r="H2058" i="2"/>
  <c r="J2058" i="2"/>
  <c r="H2151" i="2"/>
  <c r="J2151" i="2"/>
  <c r="H1717" i="2"/>
  <c r="J1717" i="2"/>
  <c r="H1974" i="2"/>
  <c r="J1974" i="2"/>
  <c r="H2084" i="2"/>
  <c r="J2084" i="2"/>
  <c r="H1725" i="2"/>
  <c r="J1725" i="2"/>
  <c r="H2014" i="2"/>
  <c r="J2014" i="2"/>
  <c r="H2026" i="2"/>
  <c r="J2026" i="2"/>
  <c r="H861" i="2"/>
  <c r="J861" i="2"/>
  <c r="H757" i="2"/>
  <c r="J757" i="2"/>
  <c r="H1246" i="2"/>
  <c r="J1246" i="2"/>
  <c r="H1285" i="2"/>
  <c r="J1285" i="2"/>
  <c r="H2167" i="2"/>
  <c r="J2167" i="2"/>
  <c r="H932" i="2"/>
  <c r="J932" i="2"/>
  <c r="H2216" i="2"/>
  <c r="J2216" i="2"/>
  <c r="H1946" i="2"/>
  <c r="J1946" i="2"/>
  <c r="H2051" i="2"/>
  <c r="J2051" i="2"/>
  <c r="H2066" i="2"/>
  <c r="J2066" i="2"/>
  <c r="H2112" i="2"/>
  <c r="J2112" i="2"/>
  <c r="H1761" i="2"/>
  <c r="J1761" i="2"/>
  <c r="H2261" i="2"/>
  <c r="J2261" i="2"/>
  <c r="H2133" i="2"/>
  <c r="J2133" i="2"/>
  <c r="H2009" i="2"/>
  <c r="J2009" i="2"/>
  <c r="H1073" i="2"/>
  <c r="J1073" i="2"/>
  <c r="H1573" i="2"/>
  <c r="J1573" i="2"/>
  <c r="H1454" i="2"/>
  <c r="J1454" i="2"/>
  <c r="H1792" i="2"/>
  <c r="J1792" i="2"/>
  <c r="H1257" i="2"/>
  <c r="J1257" i="2"/>
  <c r="H2201" i="2"/>
  <c r="J2201" i="2"/>
  <c r="H1019" i="2"/>
  <c r="J1019" i="2"/>
  <c r="H1269" i="2"/>
  <c r="J1269" i="2"/>
  <c r="H1359" i="2"/>
  <c r="J1359" i="2"/>
  <c r="H1233" i="2"/>
  <c r="J1233" i="2"/>
  <c r="H2129" i="2"/>
  <c r="J2129" i="2"/>
  <c r="H1042" i="2"/>
  <c r="J1042" i="2"/>
  <c r="H2090" i="2"/>
  <c r="J2090" i="2"/>
  <c r="H2192" i="2"/>
  <c r="J2192" i="2"/>
  <c r="H1865" i="2"/>
  <c r="J1865" i="2"/>
  <c r="H1990" i="2"/>
  <c r="J1990" i="2"/>
  <c r="H935" i="2"/>
  <c r="J935" i="2"/>
  <c r="H1726" i="2"/>
  <c r="J1726" i="2"/>
  <c r="H2053" i="2"/>
  <c r="J2053" i="2"/>
  <c r="H2047" i="2"/>
  <c r="J2047" i="2"/>
  <c r="H774" i="2"/>
  <c r="J774" i="2"/>
  <c r="H1794" i="2"/>
  <c r="J1794" i="2"/>
  <c r="H1899" i="2"/>
  <c r="J1899" i="2"/>
  <c r="H1087" i="2"/>
  <c r="J1087" i="2"/>
  <c r="H1836" i="2"/>
  <c r="J1836" i="2"/>
  <c r="H2302" i="2"/>
  <c r="J2302" i="2"/>
  <c r="H1478" i="2"/>
  <c r="J1478" i="2"/>
  <c r="H925" i="2"/>
  <c r="J925" i="2"/>
  <c r="H659" i="2"/>
  <c r="J659" i="2"/>
  <c r="H1618" i="2"/>
  <c r="J1618" i="2"/>
  <c r="H1099" i="2"/>
  <c r="J1099" i="2"/>
  <c r="H1999" i="2"/>
  <c r="J1999" i="2"/>
  <c r="H2221" i="2"/>
  <c r="J2221" i="2"/>
  <c r="H2356" i="2"/>
  <c r="J2356" i="2"/>
  <c r="H1398" i="2"/>
  <c r="J1398" i="2"/>
  <c r="H1415" i="2"/>
  <c r="J1415" i="2"/>
  <c r="H2027" i="2"/>
  <c r="J2027" i="2"/>
  <c r="H894" i="2"/>
  <c r="J894" i="2"/>
  <c r="H984" i="2"/>
  <c r="J984" i="2"/>
  <c r="H902" i="2"/>
  <c r="J902" i="2"/>
  <c r="H1234" i="2"/>
  <c r="J1234" i="2"/>
  <c r="H1235" i="2"/>
  <c r="J1235" i="2"/>
  <c r="H2091" i="2"/>
  <c r="J2091" i="2"/>
  <c r="H2248" i="2"/>
  <c r="J2248" i="2"/>
  <c r="H2010" i="2"/>
  <c r="J2010" i="2"/>
  <c r="H1733" i="2"/>
  <c r="J1733" i="2"/>
  <c r="H1948" i="2"/>
  <c r="J1948" i="2"/>
  <c r="H1949" i="2"/>
  <c r="J1949" i="2"/>
  <c r="H2101" i="2"/>
  <c r="J2101" i="2"/>
  <c r="H1201" i="2"/>
  <c r="J1201" i="2"/>
  <c r="H1927" i="2"/>
  <c r="J1927" i="2"/>
  <c r="H1599" i="2"/>
  <c r="J1599" i="2"/>
  <c r="H1932" i="2"/>
  <c r="J1932" i="2"/>
  <c r="H2102" i="2"/>
  <c r="J2102" i="2"/>
  <c r="H2015" i="2"/>
  <c r="J2015" i="2"/>
  <c r="H2143" i="2"/>
  <c r="J2143" i="2"/>
  <c r="H1181" i="2"/>
  <c r="J1181" i="2"/>
  <c r="H1354" i="2"/>
  <c r="J1354" i="2"/>
  <c r="H1355" i="2"/>
  <c r="J1355" i="2"/>
  <c r="H944" i="2"/>
  <c r="J944" i="2"/>
  <c r="H1163" i="2"/>
  <c r="J1163" i="2"/>
  <c r="H1882" i="2"/>
  <c r="J1882" i="2"/>
  <c r="H1619" i="2"/>
  <c r="J1619" i="2"/>
  <c r="H883" i="2"/>
  <c r="J883" i="2"/>
  <c r="H1411" i="2"/>
  <c r="J1411" i="2"/>
  <c r="H1632" i="2"/>
  <c r="J1632" i="2"/>
  <c r="H2317" i="2"/>
  <c r="J2317" i="2"/>
  <c r="H848" i="2"/>
  <c r="J848" i="2"/>
  <c r="H1866" i="2"/>
  <c r="J1866" i="2"/>
  <c r="H2139" i="2"/>
  <c r="J2139" i="2"/>
  <c r="H2187" i="2"/>
  <c r="J2187" i="2"/>
  <c r="H2222" i="2"/>
  <c r="J2222" i="2"/>
  <c r="H1574" i="2"/>
  <c r="J1574" i="2"/>
  <c r="H1883" i="2"/>
  <c r="J1883" i="2"/>
  <c r="H1684" i="2"/>
  <c r="J1684" i="2"/>
  <c r="H1376" i="2"/>
  <c r="J1376" i="2"/>
  <c r="H1221" i="2"/>
  <c r="J1221" i="2"/>
  <c r="H1829" i="2"/>
  <c r="J1829" i="2"/>
  <c r="H1377" i="2"/>
  <c r="J1377" i="2"/>
  <c r="H603" i="2"/>
  <c r="J603" i="2"/>
  <c r="H1289" i="2"/>
  <c r="J1289" i="2"/>
  <c r="H1719" i="2"/>
  <c r="J1719" i="2"/>
  <c r="H2118" i="2"/>
  <c r="J2118" i="2"/>
  <c r="H1321" i="2"/>
  <c r="J1321" i="2"/>
  <c r="H1421" i="2"/>
  <c r="J1421" i="2"/>
  <c r="H1768" i="2"/>
  <c r="J1768" i="2"/>
  <c r="H2122" i="2"/>
  <c r="J2122" i="2"/>
  <c r="H1565" i="2"/>
  <c r="J1565" i="2"/>
  <c r="H1130" i="2"/>
  <c r="J1130" i="2"/>
  <c r="H1728" i="2"/>
  <c r="J1728" i="2"/>
  <c r="H2398" i="2"/>
  <c r="J2398" i="2"/>
  <c r="H1588" i="2"/>
  <c r="J1588" i="2"/>
  <c r="H2311" i="2"/>
  <c r="J2311" i="2"/>
  <c r="H884" i="2"/>
  <c r="J884" i="2"/>
  <c r="H2249" i="2"/>
  <c r="J2249" i="2"/>
  <c r="H811" i="2"/>
  <c r="J811" i="2"/>
  <c r="H1651" i="2"/>
  <c r="J1651" i="2"/>
  <c r="H1264" i="2"/>
  <c r="J1264" i="2"/>
  <c r="H2285" i="2"/>
  <c r="J2285" i="2"/>
  <c r="H1227" i="2"/>
  <c r="J1227" i="2"/>
  <c r="H1871" i="2"/>
  <c r="J1871" i="2"/>
  <c r="H1126" i="2"/>
  <c r="J1126" i="2"/>
  <c r="H1710" i="2"/>
  <c r="J1710" i="2"/>
  <c r="H2082" i="2"/>
  <c r="J2082" i="2"/>
  <c r="H1002" i="2"/>
  <c r="J1002" i="2"/>
  <c r="H1917" i="2"/>
  <c r="J1917" i="2"/>
  <c r="H2286" i="2"/>
  <c r="J2286" i="2"/>
  <c r="H1479" i="2"/>
  <c r="J1479" i="2"/>
  <c r="H1575" i="2"/>
  <c r="J1575" i="2"/>
  <c r="H1711" i="2"/>
  <c r="J1711" i="2"/>
  <c r="H1115" i="2"/>
  <c r="J1115" i="2"/>
  <c r="H1936" i="2"/>
  <c r="J1936" i="2"/>
  <c r="H1969" i="2"/>
  <c r="J1969" i="2"/>
  <c r="H1658" i="2"/>
  <c r="J1658" i="2"/>
  <c r="H2204" i="2"/>
  <c r="J2204" i="2"/>
  <c r="H695" i="2"/>
  <c r="J695" i="2"/>
  <c r="H1215" i="2"/>
  <c r="J1215" i="2"/>
  <c r="H1600" i="2"/>
  <c r="J1600" i="2"/>
  <c r="H840" i="2"/>
  <c r="J840" i="2"/>
  <c r="H1197" i="2"/>
  <c r="J1197" i="2"/>
  <c r="H1281" i="2"/>
  <c r="J1281" i="2"/>
  <c r="H1652" i="2"/>
  <c r="J1652" i="2"/>
  <c r="H1830" i="2"/>
  <c r="J1830" i="2"/>
  <c r="H2256" i="2"/>
  <c r="J2256" i="2"/>
  <c r="H1795" i="2"/>
  <c r="J1795" i="2"/>
  <c r="H1620" i="2"/>
  <c r="J1620" i="2"/>
  <c r="H1773" i="2"/>
  <c r="J1773" i="2"/>
  <c r="H1110" i="2"/>
  <c r="J1110" i="2"/>
  <c r="H1189" i="2"/>
  <c r="J1189" i="2"/>
  <c r="H1360" i="2"/>
  <c r="J1360" i="2"/>
  <c r="H2295" i="2"/>
  <c r="J2295" i="2"/>
  <c r="H1750" i="2"/>
  <c r="J1750" i="2"/>
  <c r="H1872" i="2"/>
  <c r="J1872" i="2"/>
  <c r="H2183" i="2"/>
  <c r="J2183" i="2"/>
  <c r="H1044" i="2"/>
  <c r="J1044" i="2"/>
  <c r="H1046" i="2"/>
  <c r="J1046" i="2"/>
  <c r="H1190" i="2"/>
  <c r="J1190" i="2"/>
  <c r="H1228" i="2"/>
  <c r="J1228" i="2"/>
  <c r="H1435" i="2"/>
  <c r="J1435" i="2"/>
  <c r="H1677" i="2"/>
  <c r="J1677" i="2"/>
  <c r="H2123" i="2"/>
  <c r="J2123" i="2"/>
  <c r="H2124" i="2"/>
  <c r="J2124" i="2"/>
  <c r="H1016" i="2"/>
  <c r="J1016" i="2"/>
  <c r="H1850" i="2"/>
  <c r="J1850" i="2"/>
  <c r="H1310" i="2"/>
  <c r="J1310" i="2"/>
  <c r="H1567" i="2"/>
  <c r="J1567" i="2"/>
  <c r="H1762" i="2"/>
  <c r="J1762" i="2"/>
  <c r="H2074" i="2"/>
  <c r="J2074" i="2"/>
  <c r="H2095" i="2"/>
  <c r="J2095" i="2"/>
  <c r="H897" i="2"/>
  <c r="J897" i="2"/>
  <c r="H1557" i="2"/>
  <c r="J1557" i="2"/>
  <c r="H1601" i="2"/>
  <c r="J1601" i="2"/>
  <c r="H2060" i="2"/>
  <c r="J2060" i="2"/>
  <c r="H2274" i="2"/>
  <c r="J2274" i="2"/>
  <c r="H1258" i="2"/>
  <c r="J1258" i="2"/>
  <c r="H1101" i="2"/>
  <c r="J1101" i="2"/>
  <c r="H1436" i="2"/>
  <c r="J1436" i="2"/>
  <c r="H1678" i="2"/>
  <c r="J1678" i="2"/>
  <c r="H1337" i="2"/>
  <c r="J1337" i="2"/>
  <c r="H719" i="2"/>
  <c r="J719" i="2"/>
  <c r="H1818" i="2"/>
  <c r="J1818" i="2"/>
  <c r="H2092" i="2"/>
  <c r="J2092" i="2"/>
  <c r="H1198" i="2"/>
  <c r="J1198" i="2"/>
  <c r="H1752" i="2"/>
  <c r="J1752" i="2"/>
  <c r="H2373" i="2"/>
  <c r="J2373" i="2"/>
  <c r="H1643" i="2"/>
  <c r="J1643" i="2"/>
  <c r="H2275" i="2"/>
  <c r="J2275" i="2"/>
  <c r="H1133" i="2"/>
  <c r="J1133" i="2"/>
  <c r="H2134" i="2"/>
  <c r="J2134" i="2"/>
  <c r="H2378" i="2"/>
  <c r="J2378" i="2"/>
  <c r="H1070" i="2"/>
  <c r="J1070" i="2"/>
  <c r="H1160" i="2"/>
  <c r="J1160" i="2"/>
  <c r="H1831" i="2"/>
  <c r="J1831" i="2"/>
  <c r="H2335" i="2"/>
  <c r="J2335" i="2"/>
  <c r="H1740" i="2"/>
  <c r="J1740" i="2"/>
  <c r="H1786" i="2"/>
  <c r="J1786" i="2"/>
  <c r="H1450" i="2"/>
  <c r="J1450" i="2"/>
  <c r="H1781" i="2"/>
  <c r="J1781" i="2"/>
  <c r="H1950" i="2"/>
  <c r="J1950" i="2"/>
  <c r="H1270" i="2"/>
  <c r="J1270" i="2"/>
  <c r="H1107" i="2"/>
  <c r="J1107" i="2"/>
  <c r="H1422" i="2"/>
  <c r="J1422" i="2"/>
  <c r="H2188" i="2"/>
  <c r="J2188" i="2"/>
  <c r="H2146" i="2"/>
  <c r="J2146" i="2"/>
  <c r="H2209" i="2"/>
  <c r="J2209" i="2"/>
  <c r="H1796" i="2"/>
  <c r="J1796" i="2"/>
  <c r="H2068" i="2"/>
  <c r="J2068" i="2"/>
  <c r="H1787" i="2"/>
  <c r="J1787" i="2"/>
  <c r="H1463" i="2"/>
  <c r="J1463" i="2"/>
  <c r="H2125" i="2"/>
  <c r="J2125" i="2"/>
  <c r="H2110" i="2"/>
  <c r="J2110" i="2"/>
  <c r="H1275" i="2"/>
  <c r="J1275" i="2"/>
  <c r="H1637" i="2"/>
  <c r="J1637" i="2"/>
  <c r="H1330" i="2"/>
  <c r="J1330" i="2"/>
  <c r="H1713" i="2"/>
  <c r="J1713" i="2"/>
  <c r="H1627" i="2"/>
  <c r="J1627" i="2"/>
  <c r="H2048" i="2"/>
  <c r="J2048" i="2"/>
  <c r="H1797" i="2"/>
  <c r="J1797" i="2"/>
  <c r="H1248" i="2"/>
  <c r="J1248" i="2"/>
  <c r="H2395" i="2"/>
  <c r="J2395" i="2"/>
  <c r="H2371" i="2"/>
  <c r="J2371" i="2"/>
  <c r="H2400" i="2"/>
  <c r="J2400" i="2"/>
  <c r="H2000" i="2"/>
  <c r="J2000" i="2"/>
  <c r="H2001" i="2"/>
  <c r="J2001" i="2"/>
  <c r="H2029" i="2"/>
  <c r="J2029" i="2"/>
  <c r="H1528" i="2"/>
  <c r="J1528" i="2"/>
  <c r="H2075" i="2"/>
  <c r="J2075" i="2"/>
  <c r="H1282" i="2"/>
  <c r="J1282" i="2"/>
  <c r="H2263" i="2"/>
  <c r="J2263" i="2"/>
  <c r="H1867" i="2"/>
  <c r="J1867" i="2"/>
  <c r="H2365" i="2"/>
  <c r="J2365" i="2"/>
  <c r="H1914" i="2"/>
  <c r="J1914" i="2"/>
  <c r="H1970" i="2"/>
  <c r="J1970" i="2"/>
  <c r="H1918" i="2"/>
  <c r="J1918" i="2"/>
  <c r="H1283" i="2"/>
  <c r="J1283" i="2"/>
  <c r="H1953" i="2"/>
  <c r="J1953" i="2"/>
  <c r="H2030" i="2"/>
  <c r="J2030" i="2"/>
  <c r="H1229" i="2"/>
  <c r="J1229" i="2"/>
  <c r="H1482" i="2"/>
  <c r="J1482" i="2"/>
  <c r="H2354" i="2"/>
  <c r="J2354" i="2"/>
  <c r="H2305" i="2"/>
  <c r="J2305" i="2"/>
  <c r="H2153" i="2"/>
  <c r="J2153" i="2"/>
  <c r="H2179" i="2"/>
  <c r="J2179" i="2"/>
  <c r="H2294" i="2"/>
  <c r="J2294" i="2"/>
  <c r="H1919" i="2"/>
  <c r="J1919" i="2"/>
  <c r="H2170" i="2"/>
  <c r="J2170" i="2"/>
  <c r="H2061" i="2"/>
  <c r="J2061" i="2"/>
  <c r="H916" i="2"/>
  <c r="J916" i="2"/>
  <c r="H2016" i="2"/>
  <c r="J2016" i="2"/>
  <c r="H2366" i="2"/>
  <c r="J2366" i="2"/>
  <c r="H2210" i="2"/>
  <c r="J2210" i="2"/>
  <c r="H1168" i="2"/>
  <c r="J1168" i="2"/>
  <c r="H2002" i="2"/>
  <c r="J2002" i="2"/>
  <c r="H2252" i="2"/>
  <c r="J2252" i="2"/>
  <c r="H1964" i="2"/>
  <c r="J1964" i="2"/>
  <c r="H2357" i="2"/>
  <c r="J2357" i="2"/>
  <c r="H1529" i="2"/>
  <c r="J1529" i="2"/>
  <c r="H2057" i="2"/>
  <c r="J2057" i="2"/>
  <c r="H2394" i="2"/>
  <c r="J2394" i="2"/>
  <c r="H1668" i="2"/>
  <c r="J1668" i="2"/>
  <c r="H2158" i="2"/>
  <c r="J2158" i="2"/>
  <c r="H2031" i="2"/>
  <c r="J2031" i="2"/>
  <c r="H1915" i="2"/>
  <c r="J1915" i="2"/>
  <c r="H1955" i="2"/>
  <c r="J1955" i="2"/>
  <c r="H1443" i="2"/>
  <c r="J1443" i="2"/>
  <c r="H1680" i="2"/>
  <c r="J1680" i="2"/>
  <c r="H1053" i="2"/>
  <c r="J1053" i="2"/>
  <c r="H2193" i="2"/>
  <c r="J2193" i="2"/>
  <c r="H1251" i="2"/>
  <c r="J1251" i="2"/>
  <c r="H1819" i="2"/>
  <c r="J1819" i="2"/>
  <c r="H2223" i="2"/>
  <c r="J2223" i="2"/>
  <c r="H2338" i="2"/>
  <c r="J2338" i="2"/>
  <c r="H1720" i="2"/>
  <c r="J1720" i="2"/>
  <c r="H1966" i="2"/>
  <c r="J1966" i="2"/>
  <c r="H1869" i="2"/>
  <c r="J1869" i="2"/>
  <c r="H2159" i="2"/>
  <c r="J2159" i="2"/>
  <c r="H1937" i="2"/>
  <c r="J1937" i="2"/>
  <c r="H2163" i="2"/>
  <c r="J2163" i="2"/>
  <c r="H2270" i="2"/>
  <c r="J2270" i="2"/>
  <c r="H2372" i="2"/>
  <c r="J2372" i="2"/>
  <c r="H2331" i="2"/>
  <c r="J2331" i="2"/>
  <c r="H950" i="2"/>
  <c r="J950" i="2"/>
  <c r="H1417" i="2"/>
  <c r="J1417" i="2"/>
  <c r="H1628" i="2"/>
  <c r="J1628" i="2"/>
  <c r="H2310" i="2"/>
  <c r="J2310" i="2"/>
  <c r="H1638" i="2"/>
  <c r="J1638" i="2"/>
  <c r="H2017" i="2"/>
  <c r="J2017" i="2"/>
  <c r="H2254" i="2"/>
  <c r="J2254" i="2"/>
  <c r="H1161" i="2"/>
  <c r="J1161" i="2"/>
  <c r="H1517" i="2"/>
  <c r="J1517" i="2"/>
  <c r="H1799" i="2"/>
  <c r="J1799" i="2"/>
  <c r="H1929" i="2"/>
  <c r="J1929" i="2"/>
  <c r="H961" i="2"/>
  <c r="J961" i="2"/>
  <c r="H1401" i="2"/>
  <c r="J1401" i="2"/>
  <c r="H1967" i="2"/>
  <c r="J1967" i="2"/>
  <c r="H2018" i="2"/>
  <c r="J2018" i="2"/>
  <c r="H2003" i="2"/>
  <c r="J2003" i="2"/>
  <c r="H2224" i="2"/>
  <c r="J2224" i="2"/>
  <c r="H1721" i="2"/>
  <c r="J1721" i="2"/>
  <c r="H2342" i="2"/>
  <c r="J2342" i="2"/>
  <c r="H2297" i="2"/>
  <c r="J2297" i="2"/>
  <c r="H1838" i="2"/>
  <c r="J1838" i="2"/>
  <c r="H2136" i="2"/>
  <c r="J2136" i="2"/>
  <c r="H1611" i="2"/>
  <c r="J1611" i="2"/>
  <c r="H2238" i="2"/>
  <c r="J2238" i="2"/>
  <c r="H2296" i="2"/>
  <c r="J2296" i="2"/>
  <c r="H2093" i="2"/>
  <c r="J2093" i="2"/>
  <c r="H8" i="2"/>
  <c r="J8" i="2"/>
  <c r="H13" i="2"/>
  <c r="J13" i="2"/>
  <c r="H17" i="2"/>
  <c r="J17" i="2"/>
  <c r="H18" i="2"/>
  <c r="J18" i="2"/>
  <c r="H21" i="2"/>
  <c r="J21" i="2"/>
  <c r="H24" i="2"/>
  <c r="J24" i="2"/>
  <c r="H27" i="2"/>
  <c r="J27" i="2"/>
  <c r="H28" i="2"/>
  <c r="J28" i="2"/>
  <c r="H29" i="2"/>
  <c r="J29" i="2"/>
  <c r="H33" i="2"/>
  <c r="J33" i="2"/>
  <c r="H36" i="2"/>
  <c r="J36" i="2"/>
  <c r="H38" i="2"/>
  <c r="J38" i="2"/>
  <c r="H39" i="2"/>
  <c r="J39" i="2"/>
  <c r="H41" i="2"/>
  <c r="J41" i="2"/>
  <c r="H43" i="2"/>
  <c r="J43" i="2"/>
  <c r="H44" i="2"/>
  <c r="J44" i="2"/>
  <c r="H45" i="2"/>
  <c r="J45" i="2"/>
  <c r="H46" i="2"/>
  <c r="J46" i="2"/>
  <c r="H49" i="2"/>
  <c r="J49" i="2"/>
  <c r="H53" i="2"/>
  <c r="J53" i="2"/>
  <c r="H57" i="2"/>
  <c r="J57" i="2"/>
  <c r="H61" i="2"/>
  <c r="J61" i="2"/>
  <c r="H62" i="2"/>
  <c r="J62" i="2"/>
  <c r="H67" i="2"/>
  <c r="J67" i="2"/>
  <c r="H72" i="2"/>
  <c r="J72" i="2"/>
  <c r="H73" i="2"/>
  <c r="J73" i="2"/>
  <c r="H78" i="2"/>
  <c r="J78" i="2"/>
  <c r="H80" i="2"/>
  <c r="J80" i="2"/>
  <c r="H82" i="2"/>
  <c r="J82" i="2"/>
  <c r="H91" i="2"/>
  <c r="J91" i="2"/>
  <c r="H94" i="2"/>
  <c r="J94" i="2"/>
  <c r="H95" i="2"/>
  <c r="J95" i="2"/>
  <c r="H97" i="2"/>
  <c r="J97" i="2"/>
  <c r="H99" i="2"/>
  <c r="J99" i="2"/>
  <c r="H100" i="2"/>
  <c r="J100" i="2"/>
  <c r="H101" i="2"/>
  <c r="J101" i="2"/>
  <c r="H103" i="2"/>
  <c r="J103" i="2"/>
  <c r="H104" i="2"/>
  <c r="J104" i="2"/>
  <c r="H109" i="2"/>
  <c r="J109" i="2"/>
  <c r="H112" i="2"/>
  <c r="J112" i="2"/>
  <c r="H113" i="2"/>
  <c r="J113" i="2"/>
  <c r="H117" i="2"/>
  <c r="J117" i="2"/>
  <c r="H118" i="2"/>
  <c r="J118" i="2"/>
  <c r="H120" i="2"/>
  <c r="J120" i="2"/>
  <c r="H124" i="2"/>
  <c r="J124" i="2"/>
  <c r="H126" i="2"/>
  <c r="J126" i="2"/>
  <c r="H128" i="2"/>
  <c r="J128" i="2"/>
  <c r="H130" i="2"/>
  <c r="J130" i="2"/>
  <c r="H133" i="2"/>
  <c r="J133" i="2"/>
  <c r="H136" i="2"/>
  <c r="J136" i="2"/>
  <c r="H137" i="2"/>
  <c r="J137" i="2"/>
  <c r="H140" i="2"/>
  <c r="J140" i="2"/>
  <c r="H142" i="2"/>
  <c r="J142" i="2"/>
  <c r="H145" i="2"/>
  <c r="J145" i="2"/>
  <c r="H153" i="2"/>
  <c r="J153" i="2"/>
  <c r="H157" i="2"/>
  <c r="J157" i="2"/>
  <c r="H158" i="2"/>
  <c r="J158" i="2"/>
  <c r="H159" i="2"/>
  <c r="J159" i="2"/>
  <c r="H163" i="2"/>
  <c r="J163" i="2"/>
  <c r="H166" i="2"/>
  <c r="J166" i="2"/>
  <c r="H174" i="2"/>
  <c r="J174" i="2"/>
  <c r="H175" i="2"/>
  <c r="J175" i="2"/>
  <c r="H179" i="2"/>
  <c r="J179" i="2"/>
  <c r="H185" i="2"/>
  <c r="J185" i="2"/>
  <c r="H186" i="2"/>
  <c r="J186" i="2"/>
  <c r="H187" i="2"/>
  <c r="J187" i="2"/>
  <c r="H192" i="2"/>
  <c r="J192" i="2"/>
  <c r="H194" i="2"/>
  <c r="J194" i="2"/>
  <c r="H196" i="2"/>
  <c r="J196" i="2"/>
  <c r="H198" i="2"/>
  <c r="J198" i="2"/>
  <c r="H199" i="2"/>
  <c r="J199" i="2"/>
  <c r="H200" i="2"/>
  <c r="J200" i="2"/>
  <c r="H203" i="2"/>
  <c r="J203" i="2"/>
  <c r="H207" i="2"/>
  <c r="J207" i="2"/>
  <c r="H210" i="2"/>
  <c r="J210" i="2"/>
  <c r="H211" i="2"/>
  <c r="J211" i="2"/>
  <c r="H214" i="2"/>
  <c r="J214" i="2"/>
  <c r="H216" i="2"/>
  <c r="J216" i="2"/>
  <c r="H217" i="2"/>
  <c r="J217" i="2"/>
  <c r="H218" i="2"/>
  <c r="J218" i="2"/>
  <c r="H220" i="2"/>
  <c r="J220" i="2"/>
  <c r="H224" i="2"/>
  <c r="J224" i="2"/>
  <c r="H226" i="2"/>
  <c r="J226" i="2"/>
  <c r="H227" i="2"/>
  <c r="J227" i="2"/>
  <c r="H231" i="2"/>
  <c r="J231" i="2"/>
  <c r="H236" i="2"/>
  <c r="J236" i="2"/>
  <c r="H237" i="2"/>
  <c r="J237" i="2"/>
  <c r="H238" i="2"/>
  <c r="J238" i="2"/>
  <c r="H240" i="2"/>
  <c r="J240" i="2"/>
  <c r="H242" i="2"/>
  <c r="J242" i="2"/>
  <c r="H244" i="2"/>
  <c r="J244" i="2"/>
  <c r="H250" i="2"/>
  <c r="J250" i="2"/>
  <c r="H252" i="2"/>
  <c r="J252" i="2"/>
  <c r="H254" i="2"/>
  <c r="J254" i="2"/>
  <c r="H256" i="2"/>
  <c r="J256" i="2"/>
  <c r="H267" i="2"/>
  <c r="J267" i="2"/>
  <c r="H268" i="2"/>
  <c r="J268" i="2"/>
  <c r="H272" i="2"/>
  <c r="J272" i="2"/>
  <c r="H280" i="2"/>
  <c r="J280" i="2"/>
  <c r="H281" i="2"/>
  <c r="J281" i="2"/>
  <c r="H282" i="2"/>
  <c r="J282" i="2"/>
  <c r="H283" i="2"/>
  <c r="J283" i="2"/>
  <c r="H284" i="2"/>
  <c r="J284" i="2"/>
  <c r="H288" i="2"/>
  <c r="J288" i="2"/>
  <c r="H289" i="2"/>
  <c r="J289" i="2"/>
  <c r="H290" i="2"/>
  <c r="J290" i="2"/>
  <c r="H291" i="2"/>
  <c r="J291" i="2"/>
  <c r="H294" i="2"/>
  <c r="J294" i="2"/>
  <c r="H300" i="2"/>
  <c r="J300" i="2"/>
  <c r="H303" i="2"/>
  <c r="J303" i="2"/>
  <c r="H306" i="2"/>
  <c r="J306" i="2"/>
  <c r="H307" i="2"/>
  <c r="J307" i="2"/>
  <c r="H312" i="2"/>
  <c r="J312" i="2"/>
  <c r="H313" i="2"/>
  <c r="J313" i="2"/>
  <c r="H321" i="2"/>
  <c r="J321" i="2"/>
  <c r="H328" i="2"/>
  <c r="J328" i="2"/>
  <c r="H332" i="2"/>
  <c r="J332" i="2"/>
  <c r="H338" i="2"/>
  <c r="J338" i="2"/>
  <c r="H339" i="2"/>
  <c r="J339" i="2"/>
  <c r="H344" i="2"/>
  <c r="J344" i="2"/>
  <c r="H347" i="2"/>
  <c r="J347" i="2"/>
  <c r="H348" i="2"/>
  <c r="J348" i="2"/>
  <c r="H349" i="2"/>
  <c r="J349" i="2"/>
  <c r="H350" i="2"/>
  <c r="J350" i="2"/>
  <c r="H351" i="2"/>
  <c r="J351" i="2"/>
  <c r="H356" i="2"/>
  <c r="J356" i="2"/>
  <c r="H359" i="2"/>
  <c r="J359" i="2"/>
  <c r="H362" i="2"/>
  <c r="J362" i="2"/>
  <c r="H363" i="2"/>
  <c r="J363" i="2"/>
  <c r="H364" i="2"/>
  <c r="J364" i="2"/>
  <c r="H365" i="2"/>
  <c r="J365" i="2"/>
  <c r="H367" i="2"/>
  <c r="J367" i="2"/>
  <c r="H372" i="2"/>
  <c r="J372" i="2"/>
  <c r="H375" i="2"/>
  <c r="J375" i="2"/>
  <c r="H377" i="2"/>
  <c r="J377" i="2"/>
  <c r="H380" i="2"/>
  <c r="J380" i="2"/>
  <c r="H381" i="2"/>
  <c r="J381" i="2"/>
  <c r="H386" i="2"/>
  <c r="J386" i="2"/>
  <c r="H388" i="2"/>
  <c r="J388" i="2"/>
  <c r="H389" i="2"/>
  <c r="J389" i="2"/>
  <c r="H390" i="2"/>
  <c r="J390" i="2"/>
  <c r="H392" i="2"/>
  <c r="J392" i="2"/>
  <c r="H393" i="2"/>
  <c r="J393" i="2"/>
  <c r="H399" i="2"/>
  <c r="J399" i="2"/>
  <c r="H404" i="2"/>
  <c r="J404" i="2"/>
  <c r="H405" i="2"/>
  <c r="J405" i="2"/>
  <c r="H406" i="2"/>
  <c r="J406" i="2"/>
  <c r="H407" i="2"/>
  <c r="J407" i="2"/>
  <c r="H411" i="2"/>
  <c r="J411" i="2"/>
  <c r="H412" i="2"/>
  <c r="J412" i="2"/>
  <c r="H414" i="2"/>
  <c r="J414" i="2"/>
  <c r="H415" i="2"/>
  <c r="J415" i="2"/>
  <c r="H419" i="2"/>
  <c r="J419" i="2"/>
  <c r="H420" i="2"/>
  <c r="J420" i="2"/>
  <c r="H423" i="2"/>
  <c r="J423" i="2"/>
  <c r="H426" i="2"/>
  <c r="J426" i="2"/>
  <c r="H428" i="2"/>
  <c r="J428" i="2"/>
  <c r="H430" i="2"/>
  <c r="J430" i="2"/>
  <c r="H435" i="2"/>
  <c r="J435" i="2"/>
  <c r="H436" i="2"/>
  <c r="J436" i="2"/>
  <c r="H437" i="2"/>
  <c r="J437" i="2"/>
  <c r="H438" i="2"/>
  <c r="J438" i="2"/>
  <c r="H440" i="2"/>
  <c r="J440" i="2"/>
  <c r="H441" i="2"/>
  <c r="J441" i="2"/>
  <c r="H444" i="2"/>
  <c r="J444" i="2"/>
  <c r="H448" i="2"/>
  <c r="J448" i="2"/>
  <c r="H449" i="2"/>
  <c r="J449" i="2"/>
  <c r="H453" i="2"/>
  <c r="J453" i="2"/>
  <c r="H454" i="2"/>
  <c r="J454" i="2"/>
  <c r="H456" i="2"/>
  <c r="J456" i="2"/>
  <c r="H458" i="2"/>
  <c r="J458" i="2"/>
  <c r="H460" i="2"/>
  <c r="J460" i="2"/>
  <c r="H462" i="2"/>
  <c r="J462" i="2"/>
  <c r="H464" i="2"/>
  <c r="J464" i="2"/>
  <c r="H465" i="2"/>
  <c r="J465" i="2"/>
  <c r="H466" i="2"/>
  <c r="J466" i="2"/>
  <c r="H468" i="2"/>
  <c r="J468" i="2"/>
  <c r="H474" i="2"/>
  <c r="J474" i="2"/>
  <c r="H477" i="2"/>
  <c r="J477" i="2"/>
  <c r="H484" i="2"/>
  <c r="J484" i="2"/>
  <c r="H486" i="2"/>
  <c r="J486" i="2"/>
  <c r="H487" i="2"/>
  <c r="J487" i="2"/>
  <c r="H489" i="2"/>
  <c r="J489" i="2"/>
  <c r="H495" i="2"/>
  <c r="J495" i="2"/>
  <c r="H499" i="2"/>
  <c r="J499" i="2"/>
  <c r="H504" i="2"/>
  <c r="J504" i="2"/>
  <c r="H507" i="2"/>
  <c r="J507" i="2"/>
  <c r="H508" i="2"/>
  <c r="J508" i="2"/>
  <c r="H512" i="2"/>
  <c r="J512" i="2"/>
  <c r="H513" i="2"/>
  <c r="J513" i="2"/>
  <c r="H514" i="2"/>
  <c r="J514" i="2"/>
  <c r="H517" i="2"/>
  <c r="J517" i="2"/>
  <c r="H518" i="2"/>
  <c r="J518" i="2"/>
  <c r="H525" i="2"/>
  <c r="J525" i="2"/>
  <c r="H526" i="2"/>
  <c r="J526" i="2"/>
  <c r="H528" i="2"/>
  <c r="J528" i="2"/>
  <c r="H531" i="2"/>
  <c r="J531" i="2"/>
  <c r="H532" i="2"/>
  <c r="J532" i="2"/>
  <c r="H533" i="2"/>
  <c r="J533" i="2"/>
  <c r="H535" i="2"/>
  <c r="J535" i="2"/>
  <c r="H538" i="2"/>
  <c r="J538" i="2"/>
  <c r="H539" i="2"/>
  <c r="J539" i="2"/>
  <c r="H546" i="2"/>
  <c r="J546" i="2"/>
  <c r="H551" i="2"/>
  <c r="J551" i="2"/>
  <c r="H554" i="2"/>
  <c r="J554" i="2"/>
  <c r="H557" i="2"/>
  <c r="J557" i="2"/>
  <c r="H558" i="2"/>
  <c r="J558" i="2"/>
  <c r="H560" i="2"/>
  <c r="J560" i="2"/>
  <c r="H563" i="2"/>
  <c r="J563" i="2"/>
  <c r="H564" i="2"/>
  <c r="J564" i="2"/>
  <c r="H565" i="2"/>
  <c r="J565" i="2"/>
  <c r="H569" i="2"/>
  <c r="J569" i="2"/>
  <c r="H570" i="2"/>
  <c r="J570" i="2"/>
  <c r="H572" i="2"/>
  <c r="J572" i="2"/>
  <c r="H578" i="2"/>
  <c r="J578" i="2"/>
  <c r="H589" i="2"/>
  <c r="J589" i="2"/>
  <c r="H590" i="2"/>
  <c r="J590" i="2"/>
  <c r="H591" i="2"/>
  <c r="J591" i="2"/>
  <c r="H596" i="2"/>
  <c r="J596" i="2"/>
  <c r="H597" i="2"/>
  <c r="J597" i="2"/>
  <c r="H598" i="2"/>
  <c r="J598" i="2"/>
  <c r="H599" i="2"/>
  <c r="J599" i="2"/>
  <c r="H604" i="2"/>
  <c r="J604" i="2"/>
  <c r="H605" i="2"/>
  <c r="J605" i="2"/>
  <c r="H606" i="2"/>
  <c r="J606" i="2"/>
  <c r="H610" i="2"/>
  <c r="J610" i="2"/>
  <c r="H611" i="2"/>
  <c r="J611" i="2"/>
  <c r="H613" i="2"/>
  <c r="J613" i="2"/>
  <c r="H616" i="2"/>
  <c r="J616" i="2"/>
  <c r="H619" i="2"/>
  <c r="J619" i="2"/>
  <c r="H620" i="2"/>
  <c r="J620" i="2"/>
  <c r="H626" i="2"/>
  <c r="J626" i="2"/>
  <c r="H627" i="2"/>
  <c r="J627" i="2"/>
  <c r="H630" i="2"/>
  <c r="J630" i="2"/>
  <c r="H631" i="2"/>
  <c r="J631" i="2"/>
  <c r="H634" i="2"/>
  <c r="J634" i="2"/>
  <c r="H638" i="2"/>
  <c r="J638" i="2"/>
  <c r="H639" i="2"/>
  <c r="J639" i="2"/>
  <c r="H640" i="2"/>
  <c r="J640" i="2"/>
  <c r="H641" i="2"/>
  <c r="J641" i="2"/>
  <c r="H646" i="2"/>
  <c r="J646" i="2"/>
  <c r="H650" i="2"/>
  <c r="J650" i="2"/>
  <c r="H653" i="2"/>
  <c r="J653" i="2"/>
  <c r="H654" i="2"/>
  <c r="J654" i="2"/>
  <c r="H655" i="2"/>
  <c r="J655" i="2"/>
  <c r="H664" i="2"/>
  <c r="J664" i="2"/>
  <c r="H665" i="2"/>
  <c r="J665" i="2"/>
  <c r="H668" i="2"/>
  <c r="J668" i="2"/>
  <c r="H674" i="2"/>
  <c r="J674" i="2"/>
  <c r="H677" i="2"/>
  <c r="J677" i="2"/>
  <c r="H681" i="2"/>
  <c r="J681" i="2"/>
  <c r="H684" i="2"/>
  <c r="J684" i="2"/>
  <c r="H688" i="2"/>
  <c r="J688" i="2"/>
  <c r="H692" i="2"/>
  <c r="J692" i="2"/>
  <c r="H702" i="2"/>
  <c r="J702" i="2"/>
  <c r="H703" i="2"/>
  <c r="J703" i="2"/>
  <c r="H713" i="2"/>
  <c r="J713" i="2"/>
  <c r="H714" i="2"/>
  <c r="J714" i="2"/>
  <c r="H720" i="2"/>
  <c r="J720" i="2"/>
  <c r="H723" i="2"/>
  <c r="J723" i="2"/>
  <c r="H726" i="2"/>
  <c r="J726" i="2"/>
  <c r="H728" i="2"/>
  <c r="J728" i="2"/>
  <c r="H730" i="2"/>
  <c r="J730" i="2"/>
  <c r="H732" i="2"/>
  <c r="J732" i="2"/>
  <c r="H735" i="2"/>
  <c r="J735" i="2"/>
  <c r="H738" i="2"/>
  <c r="J738" i="2"/>
  <c r="H755" i="2"/>
  <c r="J755" i="2"/>
  <c r="H759" i="2"/>
  <c r="J759" i="2"/>
  <c r="H764" i="2"/>
  <c r="J764" i="2"/>
  <c r="H765" i="2"/>
  <c r="J765" i="2"/>
  <c r="H766" i="2"/>
  <c r="J766" i="2"/>
  <c r="H768" i="2"/>
  <c r="J768" i="2"/>
  <c r="H771" i="2"/>
  <c r="J771" i="2"/>
  <c r="H778" i="2"/>
  <c r="J778" i="2"/>
  <c r="H780" i="2"/>
  <c r="J780" i="2"/>
  <c r="H786" i="2"/>
  <c r="J786" i="2"/>
  <c r="H787" i="2"/>
  <c r="J787" i="2"/>
  <c r="H794" i="2"/>
  <c r="J794" i="2"/>
  <c r="H798" i="2"/>
  <c r="J798" i="2"/>
  <c r="H803" i="2"/>
  <c r="J803" i="2"/>
  <c r="H804" i="2"/>
  <c r="J804" i="2"/>
  <c r="H810" i="2"/>
  <c r="J810" i="2"/>
  <c r="H812" i="2"/>
  <c r="J812" i="2"/>
  <c r="H815" i="2"/>
  <c r="J815" i="2"/>
  <c r="H822" i="2"/>
  <c r="J822" i="2"/>
  <c r="H823" i="2"/>
  <c r="J823" i="2"/>
  <c r="H828" i="2"/>
  <c r="J828" i="2"/>
  <c r="H830" i="2"/>
  <c r="J830" i="2"/>
  <c r="H837" i="2"/>
  <c r="J837" i="2"/>
  <c r="H842" i="2"/>
  <c r="J842" i="2"/>
  <c r="H855" i="2"/>
  <c r="J855" i="2"/>
  <c r="H864" i="2"/>
  <c r="J864" i="2"/>
  <c r="H865" i="2"/>
  <c r="J865" i="2"/>
  <c r="H866" i="2"/>
  <c r="J866" i="2"/>
  <c r="H870" i="2"/>
  <c r="J870" i="2"/>
  <c r="H880" i="2"/>
  <c r="J880" i="2"/>
  <c r="H885" i="2"/>
  <c r="J885" i="2"/>
  <c r="H887" i="2"/>
  <c r="J887" i="2"/>
  <c r="H906" i="2"/>
  <c r="J906" i="2"/>
  <c r="H907" i="2"/>
  <c r="J907" i="2"/>
  <c r="H912" i="2"/>
  <c r="J912" i="2"/>
  <c r="H917" i="2"/>
  <c r="J917" i="2"/>
  <c r="H927" i="2"/>
  <c r="J927" i="2"/>
  <c r="H930" i="2"/>
  <c r="J930" i="2"/>
  <c r="H931" i="2"/>
  <c r="J931" i="2"/>
  <c r="H937" i="2"/>
  <c r="J937" i="2"/>
  <c r="H940" i="2"/>
  <c r="J940" i="2"/>
  <c r="H946" i="2"/>
  <c r="J946" i="2"/>
  <c r="H951" i="2"/>
  <c r="J951" i="2"/>
  <c r="H952" i="2"/>
  <c r="J952" i="2"/>
  <c r="H962" i="2"/>
  <c r="J962" i="2"/>
  <c r="H965" i="2"/>
  <c r="J965" i="2"/>
  <c r="H966" i="2"/>
  <c r="J966" i="2"/>
  <c r="H972" i="2"/>
  <c r="J972" i="2"/>
  <c r="H977" i="2"/>
  <c r="J977" i="2"/>
  <c r="H978" i="2"/>
  <c r="J978" i="2"/>
  <c r="H986" i="2"/>
  <c r="J986" i="2"/>
  <c r="H990" i="2"/>
  <c r="J990" i="2"/>
  <c r="H995" i="2"/>
  <c r="J995" i="2"/>
  <c r="H1119" i="2"/>
  <c r="J1119" i="2"/>
  <c r="H1179" i="2"/>
  <c r="J1179" i="2"/>
  <c r="H1183" i="2"/>
  <c r="J1183" i="2"/>
  <c r="H1271" i="2"/>
  <c r="J1271" i="2"/>
  <c r="H1456" i="2"/>
  <c r="J1456" i="2"/>
  <c r="H2180" i="2"/>
  <c r="J2180" i="2"/>
  <c r="H2" i="2"/>
  <c r="J2" i="2"/>
  <c r="H11" i="2"/>
  <c r="J11" i="2"/>
  <c r="H14" i="2"/>
  <c r="J14" i="2"/>
  <c r="H26" i="2"/>
  <c r="J26" i="2"/>
  <c r="H52" i="2"/>
  <c r="J52" i="2"/>
  <c r="H56" i="2"/>
  <c r="J56" i="2"/>
  <c r="H65" i="2"/>
  <c r="J65" i="2"/>
  <c r="H69" i="2"/>
  <c r="J69" i="2"/>
  <c r="H76" i="2"/>
  <c r="J76" i="2"/>
  <c r="H85" i="2"/>
  <c r="J85" i="2"/>
  <c r="H88" i="2"/>
  <c r="J88" i="2"/>
  <c r="H89" i="2"/>
  <c r="J89" i="2"/>
  <c r="H111" i="2"/>
  <c r="J111" i="2"/>
  <c r="H115" i="2"/>
  <c r="J115" i="2"/>
  <c r="H119" i="2"/>
  <c r="J119" i="2"/>
  <c r="H139" i="2"/>
  <c r="J139" i="2"/>
  <c r="H151" i="2"/>
  <c r="J151" i="2"/>
  <c r="H155" i="2"/>
  <c r="J155" i="2"/>
  <c r="H173" i="2"/>
  <c r="J173" i="2"/>
  <c r="H178" i="2"/>
  <c r="J178" i="2"/>
  <c r="H181" i="2"/>
  <c r="J181" i="2"/>
  <c r="H191" i="2"/>
  <c r="J191" i="2"/>
  <c r="H201" i="2"/>
  <c r="J201" i="2"/>
  <c r="H202" i="2"/>
  <c r="J202" i="2"/>
  <c r="H206" i="2"/>
  <c r="J206" i="2"/>
  <c r="H235" i="2"/>
  <c r="J235" i="2"/>
  <c r="H243" i="2"/>
  <c r="J243" i="2"/>
  <c r="H258" i="2"/>
  <c r="J258" i="2"/>
  <c r="H262" i="2"/>
  <c r="J262" i="2"/>
  <c r="H275" i="2"/>
  <c r="J275" i="2"/>
  <c r="H276" i="2"/>
  <c r="J276" i="2"/>
  <c r="H278" i="2"/>
  <c r="J278" i="2"/>
  <c r="H293" i="2"/>
  <c r="J293" i="2"/>
  <c r="H297" i="2"/>
  <c r="J297" i="2"/>
  <c r="H316" i="2"/>
  <c r="J316" i="2"/>
  <c r="H340" i="2"/>
  <c r="J340" i="2"/>
  <c r="H369" i="2"/>
  <c r="J369" i="2"/>
  <c r="H387" i="2"/>
  <c r="J387" i="2"/>
  <c r="H396" i="2"/>
  <c r="J396" i="2"/>
  <c r="H401" i="2"/>
  <c r="J401" i="2"/>
  <c r="H410" i="2"/>
  <c r="J410" i="2"/>
  <c r="H413" i="2"/>
  <c r="J413" i="2"/>
  <c r="H431" i="2"/>
  <c r="J431" i="2"/>
  <c r="H447" i="2"/>
  <c r="J447" i="2"/>
  <c r="H451" i="2"/>
  <c r="J451" i="2"/>
  <c r="H463" i="2"/>
  <c r="J463" i="2"/>
  <c r="H470" i="2"/>
  <c r="J470" i="2"/>
  <c r="H473" i="2"/>
  <c r="J473" i="2"/>
  <c r="H492" i="2"/>
  <c r="J492" i="2"/>
  <c r="H493" i="2"/>
  <c r="J493" i="2"/>
  <c r="H500" i="2"/>
  <c r="J500" i="2"/>
  <c r="H505" i="2"/>
  <c r="J505" i="2"/>
  <c r="H506" i="2"/>
  <c r="J506" i="2"/>
  <c r="H516" i="2"/>
  <c r="J516" i="2"/>
  <c r="H529" i="2"/>
  <c r="J529" i="2"/>
  <c r="H540" i="2"/>
  <c r="J540" i="2"/>
  <c r="H541" i="2"/>
  <c r="J541" i="2"/>
  <c r="H544" i="2"/>
  <c r="J544" i="2"/>
  <c r="H550" i="2"/>
  <c r="J550" i="2"/>
  <c r="H553" i="2"/>
  <c r="J553" i="2"/>
  <c r="H556" i="2"/>
  <c r="J556" i="2"/>
  <c r="H571" i="2"/>
  <c r="J571" i="2"/>
  <c r="H583" i="2"/>
  <c r="J583" i="2"/>
  <c r="H586" i="2"/>
  <c r="J586" i="2"/>
  <c r="H594" i="2"/>
  <c r="J594" i="2"/>
  <c r="H601" i="2"/>
  <c r="J601" i="2"/>
  <c r="H602" i="2"/>
  <c r="J602" i="2"/>
  <c r="H609" i="2"/>
  <c r="J609" i="2"/>
  <c r="H629" i="2"/>
  <c r="J629" i="2"/>
  <c r="H675" i="2"/>
  <c r="J675" i="2"/>
  <c r="H679" i="2"/>
  <c r="J679" i="2"/>
  <c r="H680" i="2"/>
  <c r="J680" i="2"/>
  <c r="H682" i="2"/>
  <c r="J682" i="2"/>
  <c r="H683" i="2"/>
  <c r="J683" i="2"/>
  <c r="H685" i="2"/>
  <c r="J685" i="2"/>
  <c r="H687" i="2"/>
  <c r="J687" i="2"/>
  <c r="H699" i="2"/>
  <c r="J699" i="2"/>
  <c r="H705" i="2"/>
  <c r="J705" i="2"/>
  <c r="H707" i="2"/>
  <c r="J707" i="2"/>
  <c r="H708" i="2"/>
  <c r="J708" i="2"/>
  <c r="H721" i="2"/>
  <c r="J721" i="2"/>
  <c r="H739" i="2"/>
  <c r="J739" i="2"/>
  <c r="H746" i="2"/>
  <c r="J746" i="2"/>
  <c r="H747" i="2"/>
  <c r="J747" i="2"/>
  <c r="H773" i="2"/>
  <c r="J773" i="2"/>
  <c r="H785" i="2"/>
  <c r="J785" i="2"/>
  <c r="H841" i="2"/>
  <c r="J841" i="2"/>
  <c r="H846" i="2"/>
  <c r="J846" i="2"/>
  <c r="H850" i="2"/>
  <c r="J850" i="2"/>
  <c r="H910" i="2"/>
  <c r="J910" i="2"/>
  <c r="H918" i="2"/>
  <c r="J918" i="2"/>
  <c r="H933" i="2"/>
  <c r="J933" i="2"/>
  <c r="H955" i="2"/>
  <c r="J955" i="2"/>
  <c r="H968" i="2"/>
  <c r="J968" i="2"/>
  <c r="H991" i="2"/>
  <c r="J991" i="2"/>
  <c r="H1048" i="2"/>
  <c r="J1048" i="2"/>
  <c r="H1077" i="2"/>
  <c r="J1077" i="2"/>
  <c r="H1096" i="2"/>
  <c r="J1096" i="2"/>
  <c r="H1237" i="2"/>
  <c r="J1237" i="2"/>
  <c r="H1276" i="2"/>
  <c r="J1276" i="2"/>
  <c r="H1295" i="2"/>
  <c r="J1295" i="2"/>
  <c r="H1524" i="2"/>
  <c r="J1524" i="2"/>
  <c r="H1561" i="2"/>
  <c r="J1561" i="2"/>
  <c r="H1603" i="2"/>
  <c r="J1603" i="2"/>
  <c r="H1621" i="2"/>
  <c r="J1621" i="2"/>
  <c r="H1645" i="2"/>
  <c r="J1645" i="2"/>
  <c r="H1681" i="2"/>
  <c r="J1681" i="2"/>
  <c r="H1715" i="2"/>
  <c r="J1715" i="2"/>
  <c r="H1763" i="2"/>
  <c r="J1763" i="2"/>
  <c r="H1807" i="2"/>
  <c r="J1807" i="2"/>
  <c r="H1822" i="2"/>
  <c r="J1822" i="2"/>
  <c r="H1823" i="2"/>
  <c r="J1823" i="2"/>
  <c r="H1861" i="2"/>
  <c r="J1861" i="2"/>
  <c r="H1875" i="2"/>
  <c r="J1875" i="2"/>
  <c r="H1995" i="2"/>
  <c r="J1995" i="2"/>
  <c r="H2020" i="2"/>
  <c r="J2020" i="2"/>
  <c r="H2021" i="2"/>
  <c r="J2021" i="2"/>
  <c r="H2035" i="2"/>
  <c r="J2035" i="2"/>
  <c r="H2063" i="2"/>
  <c r="J2063" i="2"/>
  <c r="H2086" i="2"/>
  <c r="J2086" i="2"/>
  <c r="H2094" i="2"/>
  <c r="J2094" i="2"/>
  <c r="H2114" i="2"/>
  <c r="J2114" i="2"/>
  <c r="H2115" i="2"/>
  <c r="J2115" i="2"/>
  <c r="H2131" i="2"/>
  <c r="J2131" i="2"/>
  <c r="H2132" i="2"/>
  <c r="J2132" i="2"/>
  <c r="H2138" i="2"/>
  <c r="J2138" i="2"/>
  <c r="H2140" i="2"/>
  <c r="J2140" i="2"/>
  <c r="H2147" i="2"/>
  <c r="J2147" i="2"/>
  <c r="H2171" i="2"/>
  <c r="J2171" i="2"/>
  <c r="H2196" i="2"/>
  <c r="J2196" i="2"/>
  <c r="H2205" i="2"/>
  <c r="J2205" i="2"/>
  <c r="H2245" i="2"/>
  <c r="J2245" i="2"/>
  <c r="H2308" i="2"/>
  <c r="J2308" i="2"/>
  <c r="H2330" i="2"/>
  <c r="J2330" i="2"/>
  <c r="H2353" i="2"/>
  <c r="J2353" i="2"/>
  <c r="H2355" i="2"/>
  <c r="J2355" i="2"/>
  <c r="H2387" i="2"/>
  <c r="J2387" i="2"/>
  <c r="H914" i="2"/>
  <c r="J914" i="2"/>
  <c r="H1808" i="2"/>
  <c r="J1808" i="2"/>
  <c r="H1296" i="2"/>
  <c r="J1296" i="2"/>
  <c r="H975" i="2"/>
  <c r="J975" i="2"/>
  <c r="H740" i="2"/>
  <c r="J740" i="2"/>
  <c r="H1034" i="2"/>
  <c r="J1034" i="2"/>
  <c r="H663" i="2"/>
  <c r="J663" i="2"/>
  <c r="H809" i="2"/>
  <c r="J809" i="2"/>
  <c r="H1646" i="2"/>
  <c r="J1646" i="2"/>
  <c r="H926" i="2"/>
  <c r="J926" i="2"/>
  <c r="H752" i="2"/>
  <c r="J752" i="2"/>
  <c r="H1418" i="2"/>
  <c r="J1418" i="2"/>
  <c r="H667" i="2"/>
  <c r="J667" i="2"/>
  <c r="H1660" i="2"/>
  <c r="J1660" i="2"/>
  <c r="H1789" i="2"/>
  <c r="J1789" i="2"/>
  <c r="H1253" i="2"/>
  <c r="J1253" i="2"/>
  <c r="H831" i="2"/>
  <c r="J831" i="2"/>
  <c r="H1120" i="2"/>
  <c r="J1120" i="2"/>
  <c r="H1362" i="2"/>
  <c r="J1362" i="2"/>
  <c r="H1204" i="2"/>
  <c r="J1204" i="2"/>
  <c r="H2071" i="2"/>
  <c r="J2071" i="2"/>
  <c r="H832" i="2"/>
  <c r="J832" i="2"/>
  <c r="H1363" i="2"/>
  <c r="J1363" i="2"/>
  <c r="H1742" i="2"/>
  <c r="J1742" i="2"/>
  <c r="H1327" i="2"/>
  <c r="J1327" i="2"/>
  <c r="H1003" i="2"/>
  <c r="J1003" i="2"/>
  <c r="H2266" i="2"/>
  <c r="J2266" i="2"/>
  <c r="H1471" i="2"/>
  <c r="J1471" i="2"/>
  <c r="H1754" i="2"/>
  <c r="J1754" i="2"/>
  <c r="H956" i="2"/>
  <c r="J956" i="2"/>
  <c r="H2077" i="2"/>
  <c r="J2077" i="2"/>
  <c r="H1655" i="2"/>
  <c r="J1655" i="2"/>
  <c r="H1592" i="2"/>
  <c r="J1592" i="2"/>
  <c r="H1979" i="2"/>
  <c r="J1979" i="2"/>
  <c r="H2116" i="2"/>
  <c r="J2116" i="2"/>
  <c r="H871" i="2"/>
  <c r="J871" i="2"/>
  <c r="H1670" i="2"/>
  <c r="J1670" i="2"/>
  <c r="H2323" i="2"/>
  <c r="J2323" i="2"/>
  <c r="H859" i="2"/>
  <c r="J859" i="2"/>
  <c r="H1923" i="2"/>
  <c r="J1923" i="2"/>
  <c r="H1437" i="2"/>
  <c r="J1437" i="2"/>
  <c r="H1092" i="2"/>
  <c r="J1092" i="2"/>
  <c r="H838" i="2"/>
  <c r="J838" i="2"/>
  <c r="H1776" i="2"/>
  <c r="J1776" i="2"/>
  <c r="H1000" i="2"/>
  <c r="J1000" i="2"/>
  <c r="H1108" i="2"/>
  <c r="J1108" i="2"/>
  <c r="H792" i="2"/>
  <c r="J792" i="2"/>
  <c r="H853" i="2"/>
  <c r="J853" i="2"/>
  <c r="H923" i="2"/>
  <c r="J923" i="2"/>
  <c r="H1468" i="2"/>
  <c r="J1468" i="2"/>
  <c r="H1960" i="2"/>
  <c r="J1960" i="2"/>
  <c r="H1202" i="2"/>
  <c r="J1202" i="2"/>
  <c r="H1054" i="2"/>
  <c r="J1054" i="2"/>
  <c r="H1671" i="2"/>
  <c r="J1671" i="2"/>
  <c r="H1562" i="2"/>
  <c r="J1562" i="2"/>
  <c r="H1464" i="2"/>
  <c r="J1464" i="2"/>
  <c r="H1480" i="2"/>
  <c r="J1480" i="2"/>
  <c r="H701" i="2"/>
  <c r="J701" i="2"/>
  <c r="H1164" i="2"/>
  <c r="J1164" i="2"/>
  <c r="H1173" i="2"/>
  <c r="J1173" i="2"/>
  <c r="H1332" i="2"/>
  <c r="J1332" i="2"/>
  <c r="H1507" i="2"/>
  <c r="J1507" i="2"/>
  <c r="H1121" i="2"/>
  <c r="J1121" i="2"/>
  <c r="H1738" i="2"/>
  <c r="J1738" i="2"/>
  <c r="H1426" i="2"/>
  <c r="J1426" i="2"/>
  <c r="H381" i="4" s="1"/>
  <c r="H1348" i="2"/>
  <c r="J1348" i="2"/>
  <c r="H1393" i="2"/>
  <c r="J1393" i="2"/>
  <c r="H1004" i="2"/>
  <c r="J1004" i="2"/>
  <c r="H387" i="4" s="1"/>
  <c r="H1809" i="2"/>
  <c r="J1809" i="2"/>
  <c r="H388" i="4" s="1"/>
  <c r="H647" i="2"/>
  <c r="J647" i="2"/>
  <c r="H389" i="4" s="1"/>
  <c r="H1568" i="2"/>
  <c r="J1568" i="2"/>
  <c r="H390" i="4" s="1"/>
  <c r="H1810" i="2"/>
  <c r="J1810" i="2"/>
  <c r="H1055" i="2"/>
  <c r="J1055" i="2"/>
  <c r="H393" i="4" s="1"/>
  <c r="H833" i="2"/>
  <c r="J833" i="2"/>
  <c r="H1128" i="2"/>
  <c r="J1128" i="2"/>
  <c r="H881" i="2"/>
  <c r="J881" i="2"/>
  <c r="H1068" i="2"/>
  <c r="J1068" i="2"/>
  <c r="H1001" i="2"/>
  <c r="J1001" i="2"/>
  <c r="H958" i="2"/>
  <c r="J958" i="2"/>
  <c r="H401" i="4" s="1"/>
  <c r="H934" i="2"/>
  <c r="J934" i="2"/>
  <c r="H1906" i="2"/>
  <c r="J1906" i="2"/>
  <c r="H1349" i="2"/>
  <c r="J1349" i="2"/>
  <c r="H404" i="4" s="1"/>
  <c r="H1131" i="2"/>
  <c r="J1131" i="2"/>
  <c r="H406" i="4" s="1"/>
  <c r="H1365" i="2"/>
  <c r="J1365" i="2"/>
  <c r="H407" i="4" s="1"/>
  <c r="H1139" i="2"/>
  <c r="J1139" i="2"/>
  <c r="H1438" i="2"/>
  <c r="J1438" i="2"/>
  <c r="H2318" i="2"/>
  <c r="J2318" i="2"/>
  <c r="H411" i="4" s="1"/>
  <c r="H1252" i="2"/>
  <c r="J1252" i="2"/>
  <c r="H412" i="4" s="1"/>
  <c r="H1097" i="2"/>
  <c r="J1097" i="2"/>
  <c r="H1530" i="2"/>
  <c r="J1530" i="2"/>
  <c r="H1755" i="2"/>
  <c r="J1755" i="2"/>
  <c r="H423" i="4" s="1"/>
  <c r="H1290" i="2"/>
  <c r="J1290" i="2"/>
  <c r="H1303" i="2"/>
  <c r="J1303" i="2"/>
  <c r="H428" i="4" s="1"/>
  <c r="H1084" i="2"/>
  <c r="J1084" i="2"/>
  <c r="H801" i="2"/>
  <c r="J801" i="2"/>
  <c r="H436" i="4" s="1"/>
  <c r="H1109" i="2"/>
  <c r="J1109" i="2"/>
  <c r="H437" i="4" s="1"/>
  <c r="H1481" i="2"/>
  <c r="J1481" i="2"/>
  <c r="H438" i="4" s="1"/>
  <c r="H1973" i="2"/>
  <c r="J1973" i="2"/>
  <c r="H1427" i="2"/>
  <c r="J1427" i="2"/>
  <c r="H440" i="4" s="1"/>
  <c r="H1921" i="2"/>
  <c r="J1921" i="2"/>
  <c r="H441" i="4" s="1"/>
  <c r="H1277" i="2"/>
  <c r="J1277" i="2"/>
  <c r="H1782" i="2"/>
  <c r="J1782" i="2"/>
  <c r="H1722" i="2"/>
  <c r="J1722" i="2"/>
  <c r="H448" i="4" s="1"/>
  <c r="H2172" i="2"/>
  <c r="J2172" i="2"/>
  <c r="H449" i="4" s="1"/>
  <c r="H1958" i="2"/>
  <c r="J1958" i="2"/>
  <c r="H1536" i="2"/>
  <c r="J1536" i="2"/>
  <c r="H1661" i="2"/>
  <c r="J1661" i="2"/>
  <c r="H458" i="4" s="1"/>
  <c r="H1174" i="2"/>
  <c r="J1174" i="2"/>
  <c r="H1445" i="2"/>
  <c r="J1445" i="2"/>
  <c r="H460" i="4" s="1"/>
  <c r="H872" i="2"/>
  <c r="J872" i="2"/>
  <c r="H2165" i="2"/>
  <c r="J2165" i="2"/>
  <c r="H462" i="4" s="1"/>
  <c r="H1665" i="2"/>
  <c r="J1665" i="2"/>
  <c r="H463" i="4" s="1"/>
  <c r="H1191" i="2"/>
  <c r="J1191" i="2"/>
  <c r="H1800" i="2"/>
  <c r="J1800" i="2"/>
  <c r="H470" i="4" s="1"/>
  <c r="H1893" i="2"/>
  <c r="J1893" i="2"/>
  <c r="H1239" i="2"/>
  <c r="J1239" i="2"/>
  <c r="H1317" i="2"/>
  <c r="J1317" i="2"/>
  <c r="H474" i="4" s="1"/>
  <c r="H1162" i="2"/>
  <c r="J1162" i="2"/>
  <c r="H1240" i="2"/>
  <c r="J1240" i="2"/>
  <c r="H477" i="4" s="1"/>
  <c r="H1981" i="2"/>
  <c r="J1981" i="2"/>
  <c r="H1542" i="2"/>
  <c r="J1542" i="2"/>
  <c r="H2264" i="2"/>
  <c r="J2264" i="2"/>
  <c r="H1374" i="2"/>
  <c r="J1374" i="2"/>
  <c r="H1612" i="2"/>
  <c r="J1612" i="2"/>
  <c r="H486" i="4" s="1"/>
  <c r="H2225" i="2"/>
  <c r="J2225" i="2"/>
  <c r="H489" i="4" s="1"/>
  <c r="H2213" i="2"/>
  <c r="J2213" i="2"/>
  <c r="H1017" i="2"/>
  <c r="J1017" i="2"/>
  <c r="H492" i="4" s="1"/>
  <c r="H1026" i="2"/>
  <c r="J1026" i="2"/>
  <c r="H493" i="4" s="1"/>
  <c r="H1076" i="2"/>
  <c r="J1076" i="2"/>
  <c r="H1052" i="2"/>
  <c r="J1052" i="2"/>
  <c r="H500" i="4" s="1"/>
  <c r="H1005" i="2"/>
  <c r="J1005" i="2"/>
  <c r="H1098" i="2"/>
  <c r="J1098" i="2"/>
  <c r="H1895" i="2"/>
  <c r="J1895" i="2"/>
  <c r="H504" i="4" s="1"/>
  <c r="H976" i="2"/>
  <c r="J976" i="2"/>
  <c r="H513" i="4" s="1"/>
  <c r="H1094" i="2"/>
  <c r="J1094" i="2"/>
  <c r="H516" i="4" s="1"/>
  <c r="H1745" i="2"/>
  <c r="J1745" i="2"/>
  <c r="H517" i="4" s="1"/>
  <c r="H1977" i="2"/>
  <c r="J1977" i="2"/>
  <c r="H1145" i="2"/>
  <c r="J1145" i="2"/>
  <c r="H1579" i="2"/>
  <c r="J1579" i="2"/>
  <c r="H1860" i="2"/>
  <c r="J1860" i="2"/>
  <c r="H1036" i="2"/>
  <c r="J1036" i="2"/>
  <c r="H1056" i="2"/>
  <c r="J1056" i="2"/>
  <c r="H1367" i="2"/>
  <c r="J1367" i="2"/>
  <c r="H1057" i="2"/>
  <c r="J1057" i="2"/>
  <c r="H1630" i="2"/>
  <c r="J1630" i="2"/>
  <c r="H1631" i="2"/>
  <c r="J1631" i="2"/>
  <c r="H2154" i="2"/>
  <c r="J2154" i="2"/>
  <c r="H2257" i="2"/>
  <c r="J2257" i="2"/>
  <c r="H2345" i="2"/>
  <c r="J2345" i="2"/>
  <c r="H1375" i="2"/>
  <c r="J1375" i="2"/>
  <c r="H1702" i="2"/>
  <c r="J1702" i="2"/>
  <c r="H1746" i="2"/>
  <c r="J1746" i="2"/>
  <c r="H1350" i="2"/>
  <c r="J1350" i="2"/>
  <c r="H1509" i="2"/>
  <c r="J1509" i="2"/>
  <c r="H1465" i="2"/>
  <c r="J1465" i="2"/>
  <c r="H992" i="2"/>
  <c r="J992" i="2"/>
  <c r="H2100" i="2"/>
  <c r="J2100" i="2"/>
  <c r="H1697" i="2"/>
  <c r="J1697" i="2"/>
  <c r="H1825" i="2"/>
  <c r="J1825" i="2"/>
  <c r="H2325" i="2"/>
  <c r="J2325" i="2"/>
  <c r="H2315" i="2"/>
  <c r="J2315" i="2"/>
  <c r="H1273" i="2"/>
  <c r="J1273" i="2"/>
  <c r="H1730" i="2"/>
  <c r="J1730" i="2"/>
  <c r="H2267" i="2"/>
  <c r="J2267" i="2"/>
  <c r="H1085" i="2"/>
  <c r="J1085" i="2"/>
  <c r="H2104" i="2"/>
  <c r="J2104" i="2"/>
  <c r="H1428" i="2"/>
  <c r="J1428" i="2"/>
  <c r="H2347" i="2"/>
  <c r="J2347" i="2"/>
  <c r="H1356" i="2"/>
  <c r="J1356" i="2"/>
  <c r="H1299" i="2"/>
  <c r="J1299" i="2"/>
  <c r="H1466" i="2"/>
  <c r="J1466" i="2"/>
  <c r="H1520" i="2"/>
  <c r="J1520" i="2"/>
  <c r="H1839" i="2"/>
  <c r="J1839" i="2"/>
  <c r="H1783" i="2"/>
  <c r="J1783" i="2"/>
  <c r="H1930" i="2"/>
  <c r="J1930" i="2"/>
  <c r="H1843" i="2"/>
  <c r="J1843" i="2"/>
  <c r="H1218" i="2"/>
  <c r="J1218" i="2"/>
  <c r="H1813" i="2"/>
  <c r="J1813" i="2"/>
  <c r="H1205" i="2"/>
  <c r="J1205" i="2"/>
  <c r="H2105" i="2"/>
  <c r="J2105" i="2"/>
  <c r="H1978" i="2"/>
  <c r="J1978" i="2"/>
  <c r="H2149" i="2"/>
  <c r="J2149" i="2"/>
  <c r="H1873" i="2"/>
  <c r="J1873" i="2"/>
  <c r="H2226" i="2"/>
  <c r="J2226" i="2"/>
  <c r="H2278" i="2"/>
  <c r="J2278" i="2"/>
  <c r="H2137" i="2"/>
  <c r="J2137" i="2"/>
  <c r="H2032" i="2"/>
  <c r="J2032" i="2"/>
  <c r="H1297" i="2"/>
  <c r="J1297" i="2"/>
  <c r="H1672" i="2"/>
  <c r="J1672" i="2"/>
  <c r="H1543" i="2"/>
  <c r="J1543" i="2"/>
  <c r="H1634" i="2"/>
  <c r="J1634" i="2"/>
  <c r="H1152" i="2"/>
  <c r="J1152" i="2"/>
  <c r="H1635" i="2"/>
  <c r="J1635" i="2"/>
  <c r="H816" i="2"/>
  <c r="J816" i="2"/>
  <c r="H1037" i="2"/>
  <c r="J1037" i="2"/>
  <c r="H2098" i="2"/>
  <c r="J2098" i="2"/>
  <c r="H2022" i="2"/>
  <c r="J2022" i="2"/>
  <c r="H1254" i="2"/>
  <c r="J1254" i="2"/>
  <c r="H2055" i="2"/>
  <c r="J2055" i="2"/>
  <c r="H1759" i="2"/>
  <c r="J1759" i="2"/>
  <c r="H676" i="2"/>
  <c r="J676" i="2"/>
  <c r="H1318" i="2"/>
  <c r="J1318" i="2"/>
  <c r="H1429" i="2"/>
  <c r="J1429" i="2"/>
  <c r="H1458" i="2"/>
  <c r="J1458" i="2"/>
  <c r="H1605" i="2"/>
  <c r="J1605" i="2"/>
  <c r="H1662" i="2"/>
  <c r="J1662" i="2"/>
  <c r="H2341" i="2"/>
  <c r="J2341" i="2"/>
  <c r="H1802" i="2"/>
  <c r="J1802" i="2"/>
  <c r="H2332" i="2"/>
  <c r="J2332" i="2"/>
  <c r="H2005" i="2"/>
  <c r="J2005" i="2"/>
  <c r="H1312" i="2"/>
  <c r="J1312" i="2"/>
  <c r="H1996" i="2"/>
  <c r="J1996" i="2"/>
  <c r="H686" i="2"/>
  <c r="J686" i="2"/>
  <c r="H1112" i="2"/>
  <c r="J1112" i="2"/>
  <c r="H1459" i="2"/>
  <c r="J1459" i="2"/>
  <c r="H2229" i="2"/>
  <c r="J2229" i="2"/>
  <c r="H2241" i="2"/>
  <c r="J2241" i="2"/>
  <c r="H2043" i="2"/>
  <c r="J2043" i="2"/>
  <c r="H1765" i="2"/>
  <c r="J1765" i="2"/>
  <c r="H2298" i="2"/>
  <c r="J2298" i="2"/>
  <c r="H2078" i="2"/>
  <c r="J2078" i="2"/>
  <c r="H1492" i="2"/>
  <c r="J1492" i="2"/>
  <c r="H2272" i="2"/>
  <c r="J2272" i="2"/>
  <c r="H1165" i="2"/>
  <c r="J1165" i="2"/>
  <c r="H1544" i="2"/>
  <c r="J1544" i="2"/>
  <c r="H1736" i="2"/>
  <c r="J1736" i="2"/>
  <c r="H1470" i="2"/>
  <c r="J1470" i="2"/>
  <c r="H1941" i="2"/>
  <c r="J1941" i="2"/>
  <c r="H2056" i="2"/>
  <c r="J2056" i="2"/>
  <c r="H1340" i="2"/>
  <c r="J1340" i="2"/>
  <c r="H987" i="2"/>
  <c r="J987" i="2"/>
  <c r="H1267" i="2"/>
  <c r="J1267" i="2"/>
  <c r="H1897" i="2"/>
  <c r="J1897" i="2"/>
  <c r="H1641" i="2"/>
  <c r="J1641" i="2"/>
  <c r="H2194" i="2"/>
  <c r="J2194" i="2"/>
  <c r="H691" i="2"/>
  <c r="J691" i="2"/>
  <c r="H1682" i="2"/>
  <c r="J1682" i="2"/>
  <c r="H2155" i="2"/>
  <c r="J2155" i="2"/>
  <c r="H1014" i="2"/>
  <c r="J1014" i="2"/>
  <c r="H1706" i="2"/>
  <c r="J1706" i="2"/>
  <c r="H1439" i="2"/>
  <c r="J1439" i="2"/>
  <c r="H819" i="2"/>
  <c r="J819" i="2"/>
  <c r="H1833" i="2"/>
  <c r="J1833" i="2"/>
  <c r="H2174" i="2"/>
  <c r="J2174" i="2"/>
  <c r="H817" i="2"/>
  <c r="J817" i="2"/>
  <c r="H1380" i="2"/>
  <c r="J1380" i="2"/>
  <c r="H1497" i="2"/>
  <c r="J1497" i="2"/>
  <c r="H2064" i="2"/>
  <c r="J2064" i="2"/>
  <c r="H997" i="2"/>
  <c r="J997" i="2"/>
  <c r="H2184" i="2"/>
  <c r="J2184" i="2"/>
  <c r="H947" i="2"/>
  <c r="J947" i="2"/>
  <c r="H818" i="2"/>
  <c r="J818" i="2"/>
  <c r="H1853" i="2"/>
  <c r="J1853" i="2"/>
  <c r="H980" i="2"/>
  <c r="J980" i="2"/>
  <c r="H1473" i="2"/>
  <c r="J1473" i="2"/>
  <c r="H1962" i="2"/>
  <c r="J1962" i="2"/>
  <c r="H2309" i="2"/>
  <c r="J2309" i="2"/>
  <c r="H1260" i="2"/>
  <c r="J1260" i="2"/>
  <c r="H1910" i="2"/>
  <c r="J1910" i="2"/>
  <c r="H2198" i="2"/>
  <c r="J2198" i="2"/>
  <c r="H2300" i="2"/>
  <c r="J2300" i="2"/>
  <c r="H1104" i="2"/>
  <c r="J1104" i="2"/>
  <c r="H1803" i="2"/>
  <c r="J1803" i="2"/>
  <c r="H1231" i="2"/>
  <c r="J1231" i="2"/>
  <c r="H1011" i="2"/>
  <c r="J1011" i="2"/>
  <c r="H2370" i="2"/>
  <c r="J2370" i="2"/>
  <c r="H1408" i="2"/>
  <c r="J1408" i="2"/>
  <c r="H1690" i="2"/>
  <c r="J1690" i="2"/>
  <c r="H793" i="2"/>
  <c r="J793" i="2"/>
  <c r="H709" i="2"/>
  <c r="J709" i="2"/>
  <c r="H1147" i="2"/>
  <c r="J1147" i="2"/>
  <c r="H1175" i="2"/>
  <c r="J1175" i="2"/>
  <c r="H1232" i="2"/>
  <c r="J1232" i="2"/>
  <c r="H2099" i="2"/>
  <c r="J2099" i="2"/>
  <c r="H1987" i="2"/>
  <c r="J1987" i="2"/>
  <c r="H1414" i="2"/>
  <c r="J1414" i="2"/>
  <c r="H2327" i="2"/>
  <c r="J2327" i="2"/>
  <c r="H2304" i="2"/>
  <c r="J2304" i="2"/>
  <c r="H948" i="2"/>
  <c r="J948" i="2"/>
  <c r="H1351" i="2"/>
  <c r="J1351" i="2"/>
  <c r="H1309" i="2"/>
  <c r="J1309" i="2"/>
  <c r="H725" i="2"/>
  <c r="J725" i="2"/>
  <c r="H2321" i="2"/>
  <c r="J2321" i="2"/>
  <c r="H1504" i="2"/>
  <c r="J1504" i="2"/>
  <c r="H2199" i="2"/>
  <c r="J2199" i="2"/>
  <c r="H1176" i="2"/>
  <c r="J1176" i="2"/>
  <c r="H888" i="2"/>
  <c r="J888" i="2"/>
  <c r="H1498" i="2"/>
  <c r="J1498" i="2"/>
  <c r="H1968" i="2"/>
  <c r="J1968" i="2"/>
  <c r="H1213" i="2"/>
  <c r="J1213" i="2"/>
  <c r="H784" i="2"/>
  <c r="J784" i="2"/>
  <c r="H2164" i="2"/>
  <c r="J2164" i="2"/>
  <c r="H1305" i="2"/>
  <c r="J1305" i="2"/>
  <c r="H1815" i="2"/>
  <c r="J1815" i="2"/>
  <c r="H1255" i="2"/>
  <c r="J1255" i="2"/>
  <c r="H1526" i="2"/>
  <c r="J1526" i="2"/>
  <c r="H988" i="2"/>
  <c r="J988" i="2"/>
  <c r="H2292" i="2"/>
  <c r="J2292" i="2"/>
  <c r="H2322" i="2"/>
  <c r="J2322" i="2"/>
  <c r="H1862" i="2"/>
  <c r="J1862" i="2"/>
  <c r="H896" i="2"/>
  <c r="J896" i="2"/>
  <c r="H1844" i="2"/>
  <c r="J1844" i="2"/>
  <c r="H1532" i="2"/>
  <c r="J1532" i="2"/>
  <c r="H2007" i="2"/>
  <c r="J2007" i="2"/>
  <c r="H941" i="2"/>
  <c r="J941" i="2"/>
  <c r="H1500" i="2"/>
  <c r="J1500" i="2"/>
  <c r="H1222" i="2"/>
  <c r="J1222" i="2"/>
  <c r="H1834" i="2"/>
  <c r="J1834" i="2"/>
  <c r="H1113" i="2"/>
  <c r="J1113" i="2"/>
  <c r="H1708" i="2"/>
  <c r="J1708" i="2"/>
  <c r="H1137" i="2"/>
  <c r="J1137" i="2"/>
  <c r="H1623" i="2"/>
  <c r="J1623" i="2"/>
  <c r="H1148" i="2"/>
  <c r="J1148" i="2"/>
  <c r="H1912" i="2"/>
  <c r="J1912" i="2"/>
  <c r="H2107" i="2"/>
  <c r="J2107" i="2"/>
  <c r="H1341" i="2"/>
  <c r="J1341" i="2"/>
  <c r="H1461" i="2"/>
  <c r="J1461" i="2"/>
  <c r="H797" i="2"/>
  <c r="J797" i="2"/>
  <c r="H989" i="2"/>
  <c r="J989" i="2"/>
  <c r="H1140" i="2"/>
  <c r="J1140" i="2"/>
  <c r="H1124" i="2"/>
  <c r="J1124" i="2"/>
  <c r="H1870" i="2"/>
  <c r="J1870" i="2"/>
  <c r="H1545" i="2"/>
  <c r="J1545" i="2"/>
  <c r="H2349" i="2"/>
  <c r="J2349" i="2"/>
  <c r="H1138" i="2"/>
  <c r="J1138" i="2"/>
  <c r="H1453" i="2"/>
  <c r="J1453" i="2"/>
  <c r="H1900" i="2"/>
  <c r="J1900" i="2"/>
  <c r="H1177" i="2"/>
  <c r="J1177" i="2"/>
  <c r="H1242" i="2"/>
  <c r="J1242" i="2"/>
  <c r="H1583" i="2"/>
  <c r="J1583" i="2"/>
  <c r="H1129" i="2"/>
  <c r="J1129" i="2"/>
  <c r="H1505" i="2"/>
  <c r="J1505" i="2"/>
  <c r="H1105" i="2"/>
  <c r="J1105" i="2"/>
  <c r="H969" i="2"/>
  <c r="J969" i="2"/>
  <c r="H1551" i="2"/>
  <c r="J1551" i="2"/>
  <c r="H1186" i="2"/>
  <c r="J1186" i="2"/>
  <c r="H2127" i="2"/>
  <c r="J2127" i="2"/>
  <c r="H1395" i="2"/>
  <c r="J1395" i="2"/>
  <c r="H1028" i="2"/>
  <c r="J1028" i="2"/>
  <c r="H1404" i="2"/>
  <c r="J1404" i="2"/>
  <c r="H1194" i="2"/>
  <c r="J1194" i="2"/>
  <c r="H1243" i="2"/>
  <c r="J1243" i="2"/>
  <c r="H1845" i="2"/>
  <c r="J1845" i="2"/>
  <c r="H1934" i="2"/>
  <c r="J1934" i="2"/>
  <c r="H1785" i="2"/>
  <c r="J1785" i="2"/>
  <c r="H1820" i="2"/>
  <c r="J1820" i="2"/>
  <c r="H2072" i="2"/>
  <c r="J2072" i="2"/>
  <c r="H889" i="2"/>
  <c r="J889" i="2"/>
  <c r="H1031" i="2"/>
  <c r="J1031" i="2"/>
  <c r="H1584" i="2"/>
  <c r="J1584" i="2"/>
  <c r="H1846" i="2"/>
  <c r="J1846" i="2"/>
  <c r="H2156" i="2"/>
  <c r="J2156" i="2"/>
  <c r="H1571" i="2"/>
  <c r="J1571" i="2"/>
  <c r="H1022" i="2"/>
  <c r="J1022" i="2"/>
  <c r="H981" i="2"/>
  <c r="J981" i="2"/>
  <c r="H970" i="2"/>
  <c r="J970" i="2"/>
  <c r="H1007" i="2"/>
  <c r="J1007" i="2"/>
  <c r="H1023" i="2"/>
  <c r="J1023" i="2"/>
  <c r="H1924" i="2"/>
  <c r="J1924" i="2"/>
  <c r="H1032" i="2"/>
  <c r="J1032" i="2"/>
  <c r="H1040" i="2"/>
  <c r="J1040" i="2"/>
  <c r="H1983" i="2"/>
  <c r="J1983" i="2"/>
  <c r="H1424" i="2"/>
  <c r="J1424" i="2"/>
  <c r="H1521" i="2"/>
  <c r="J1521" i="2"/>
  <c r="H1157" i="2"/>
  <c r="J1157" i="2"/>
  <c r="H1342" i="2"/>
  <c r="J1342" i="2"/>
  <c r="H2040" i="2"/>
  <c r="J2040" i="2"/>
  <c r="H2243" i="2"/>
  <c r="J2243" i="2"/>
  <c r="H2329" i="2"/>
  <c r="J2329" i="2"/>
  <c r="H1008" i="2"/>
  <c r="J1008" i="2"/>
  <c r="H1195" i="2"/>
  <c r="J1195" i="2"/>
  <c r="H1396" i="2"/>
  <c r="J1396" i="2"/>
  <c r="H1501" i="2"/>
  <c r="J1501" i="2"/>
  <c r="H1153" i="2"/>
  <c r="J1153" i="2"/>
  <c r="H1149" i="2"/>
  <c r="J1149" i="2"/>
  <c r="H1747" i="2"/>
  <c r="J1747" i="2"/>
  <c r="H1901" i="2"/>
  <c r="J1901" i="2"/>
  <c r="H2050" i="2"/>
  <c r="J2050" i="2"/>
  <c r="H1244" i="2"/>
  <c r="J1244" i="2"/>
  <c r="H1779" i="2"/>
  <c r="J1779" i="2"/>
  <c r="H1132" i="2"/>
  <c r="J1132" i="2"/>
  <c r="H1344" i="2"/>
  <c r="J1344" i="2"/>
  <c r="H1506" i="2"/>
  <c r="J1506" i="2"/>
  <c r="H1383" i="2"/>
  <c r="J1383" i="2"/>
  <c r="H1214" i="2"/>
  <c r="J1214" i="2"/>
  <c r="H2382" i="2"/>
  <c r="J2382" i="2"/>
  <c r="H1041" i="2"/>
  <c r="J1041" i="2"/>
  <c r="H1441" i="2"/>
  <c r="J1441" i="2"/>
  <c r="H2036" i="2"/>
  <c r="J2036" i="2"/>
  <c r="H1064" i="2"/>
  <c r="J1064" i="2"/>
  <c r="H1848" i="2"/>
  <c r="J1848" i="2"/>
  <c r="H1086" i="2"/>
  <c r="J1086" i="2"/>
  <c r="H1963" i="2"/>
  <c r="J1963" i="2"/>
  <c r="H1514" i="2"/>
  <c r="J1514" i="2"/>
  <c r="H1889" i="2"/>
  <c r="J1889" i="2"/>
  <c r="H1766" i="2"/>
  <c r="J1766" i="2"/>
  <c r="H835" i="2"/>
  <c r="J835" i="2"/>
  <c r="H1245" i="2"/>
  <c r="J1245" i="2"/>
  <c r="H1313" i="2"/>
  <c r="J1313" i="2"/>
  <c r="H1984" i="2"/>
  <c r="J1984" i="2"/>
  <c r="H1314" i="2"/>
  <c r="J1314" i="2"/>
  <c r="H1293" i="2"/>
  <c r="J1293" i="2"/>
  <c r="H1262" i="2"/>
  <c r="J1262" i="2"/>
  <c r="H1944" i="2"/>
  <c r="J1944" i="2"/>
  <c r="H2279" i="2"/>
  <c r="J2279" i="2"/>
  <c r="H1674" i="2"/>
  <c r="J1674" i="2"/>
  <c r="H875" i="2"/>
  <c r="J875" i="2"/>
  <c r="H727" i="2"/>
  <c r="J727" i="2"/>
  <c r="H2232" i="2"/>
  <c r="J2232" i="2"/>
  <c r="H1587" i="2"/>
  <c r="J1587" i="2"/>
  <c r="H2200" i="2"/>
  <c r="J2200" i="2"/>
  <c r="H2166" i="2"/>
  <c r="J2166" i="2"/>
  <c r="H982" i="2"/>
  <c r="J982" i="2"/>
  <c r="H1024" i="2"/>
  <c r="J1024" i="2"/>
  <c r="H1625" i="2"/>
  <c r="J1625" i="2"/>
  <c r="H1926" i="2"/>
  <c r="J1926" i="2"/>
  <c r="H1564" i="2"/>
  <c r="J1564" i="2"/>
  <c r="H1409" i="2"/>
  <c r="J1409" i="2"/>
  <c r="H1300" i="2"/>
  <c r="J1300" i="2"/>
  <c r="H1696" i="2"/>
  <c r="J1696" i="2"/>
  <c r="H2182" i="2"/>
  <c r="J2182" i="2"/>
  <c r="H2350" i="2"/>
  <c r="J2350" i="2"/>
  <c r="H1319" i="2"/>
  <c r="J1319" i="2"/>
  <c r="H1476" i="2"/>
  <c r="J1476" i="2"/>
  <c r="H1760" i="2"/>
  <c r="J1760" i="2"/>
  <c r="H1410" i="2"/>
  <c r="J1410" i="2"/>
  <c r="H1419" i="2"/>
  <c r="J1419" i="2"/>
  <c r="H1985" i="2"/>
  <c r="J1985" i="2"/>
  <c r="H753" i="2"/>
  <c r="J753" i="2"/>
  <c r="H1709" i="2"/>
  <c r="J1709" i="2"/>
  <c r="H2301" i="2"/>
  <c r="J2301" i="2"/>
  <c r="H2246" i="2"/>
  <c r="J2246" i="2"/>
  <c r="H2228" i="2"/>
  <c r="J2228" i="2"/>
  <c r="H2081" i="2"/>
  <c r="J2081" i="2"/>
  <c r="H1169" i="2"/>
  <c r="J1169" i="2"/>
  <c r="H915" i="2"/>
  <c r="J915" i="2"/>
  <c r="H1935" i="2"/>
  <c r="J1935" i="2"/>
  <c r="H1224" i="2"/>
  <c r="J1224" i="2"/>
  <c r="H1490" i="2"/>
  <c r="J1490" i="2"/>
  <c r="H1748" i="2"/>
  <c r="J1748" i="2"/>
  <c r="H1913" i="2"/>
  <c r="J1913" i="2"/>
  <c r="H1772" i="2"/>
  <c r="J1772" i="2"/>
  <c r="H1931" i="2"/>
  <c r="J1931" i="2"/>
  <c r="H1827" i="2"/>
  <c r="J1827" i="2"/>
  <c r="H1225" i="2"/>
  <c r="J1225" i="2"/>
  <c r="H2037" i="2"/>
  <c r="J2037" i="2"/>
  <c r="H1554" i="2"/>
  <c r="J1554" i="2"/>
  <c r="H1675" i="2"/>
  <c r="J1675" i="2"/>
  <c r="H1749" i="2"/>
  <c r="J1749" i="2"/>
  <c r="H2293" i="2"/>
  <c r="J2293" i="2"/>
  <c r="H1791" i="2"/>
  <c r="J1791" i="2"/>
  <c r="H1060" i="2"/>
  <c r="J1060" i="2"/>
  <c r="H1724" i="2"/>
  <c r="J1724" i="2"/>
  <c r="H1780" i="2"/>
  <c r="J1780" i="2"/>
  <c r="H790" i="2"/>
  <c r="J790" i="2"/>
  <c r="H2128" i="2"/>
  <c r="J2128" i="2"/>
  <c r="H1626" i="2"/>
  <c r="J1626" i="2"/>
  <c r="H1732" i="2"/>
  <c r="J1732" i="2"/>
  <c r="H1065" i="2"/>
  <c r="J1065" i="2"/>
  <c r="H1555" i="2"/>
  <c r="J1555" i="2"/>
  <c r="H1881" i="2"/>
  <c r="J1881" i="2"/>
  <c r="H893" i="2"/>
  <c r="J893" i="2"/>
  <c r="H1320" i="2"/>
  <c r="J1320" i="2"/>
  <c r="H2284" i="2"/>
  <c r="J2284" i="2"/>
  <c r="H763" i="2"/>
  <c r="J763" i="2"/>
  <c r="H2113" i="2"/>
  <c r="J2113" i="2"/>
  <c r="H1033" i="2"/>
  <c r="J1033" i="2"/>
  <c r="H1196" i="2"/>
  <c r="J1196" i="2"/>
  <c r="H1066" i="2"/>
  <c r="J1066" i="2"/>
  <c r="H2233" i="2"/>
  <c r="J2233" i="2"/>
  <c r="H1358" i="2"/>
  <c r="J1358" i="2"/>
  <c r="H983" i="2"/>
  <c r="J983" i="2"/>
  <c r="H1370" i="2"/>
  <c r="J1370" i="2"/>
  <c r="H1335" i="2"/>
  <c r="J1335" i="2"/>
  <c r="H929" i="2"/>
  <c r="J929" i="2"/>
  <c r="H1080" i="2"/>
  <c r="J1080" i="2"/>
  <c r="H1125" i="2"/>
  <c r="J1125" i="2"/>
  <c r="H1998" i="2"/>
  <c r="J1998" i="2"/>
  <c r="H1989" i="2"/>
  <c r="J1989" i="2"/>
  <c r="H1384" i="2"/>
  <c r="J1384" i="2"/>
  <c r="H2052" i="2"/>
  <c r="J2052" i="2"/>
  <c r="H748" i="2"/>
  <c r="J748" i="2"/>
  <c r="H1828" i="2"/>
  <c r="J1828" i="2"/>
  <c r="H1767" i="2"/>
  <c r="J1767" i="2"/>
  <c r="H1636" i="2"/>
  <c r="J1636" i="2"/>
  <c r="H1890" i="2"/>
  <c r="J1890" i="2"/>
  <c r="H1477" i="2"/>
  <c r="J1477" i="2"/>
  <c r="H1442" i="2"/>
  <c r="J1442" i="2"/>
  <c r="H1666" i="2"/>
  <c r="J1666" i="2"/>
  <c r="H1793" i="2"/>
  <c r="J1793" i="2"/>
  <c r="H939" i="2"/>
  <c r="J939" i="2"/>
  <c r="H2145" i="2"/>
  <c r="J2145" i="2"/>
  <c r="H949" i="2"/>
  <c r="J949" i="2"/>
  <c r="H1891" i="2"/>
  <c r="J1891" i="2"/>
  <c r="H1069" i="2"/>
  <c r="J1069" i="2"/>
  <c r="H777" i="2"/>
  <c r="J777" i="2"/>
  <c r="H924" i="2"/>
  <c r="J924" i="2"/>
  <c r="H1455" i="2"/>
  <c r="J1455" i="2"/>
  <c r="H1522" i="2"/>
  <c r="J1522" i="2"/>
  <c r="H1247" i="2"/>
  <c r="J1247" i="2"/>
  <c r="H1353" i="2"/>
  <c r="J1353" i="2"/>
  <c r="H959" i="2"/>
  <c r="J959" i="2"/>
  <c r="H1947" i="2"/>
  <c r="J1947" i="2"/>
  <c r="H1434" i="2"/>
  <c r="J1434" i="2"/>
  <c r="H1597" i="2"/>
  <c r="J1597" i="2"/>
  <c r="H2217" i="2"/>
  <c r="J2217" i="2"/>
  <c r="H911" i="2"/>
  <c r="J911" i="2"/>
  <c r="H874" i="2"/>
  <c r="J874" i="2"/>
  <c r="H1114" i="2"/>
  <c r="J1114" i="2"/>
  <c r="H1607" i="2"/>
  <c r="J1607" i="2"/>
  <c r="H2157" i="2"/>
  <c r="J2157" i="2"/>
  <c r="H1420" i="2"/>
  <c r="J1420" i="2"/>
  <c r="H1012" i="2"/>
  <c r="J1012" i="2"/>
  <c r="H1598" i="2"/>
  <c r="J1598" i="2"/>
  <c r="H1642" i="2"/>
  <c r="J1642" i="2"/>
  <c r="H2073" i="2"/>
  <c r="J2073" i="2"/>
  <c r="H1676" i="2"/>
  <c r="J1676" i="2"/>
  <c r="H694" i="2"/>
  <c r="J694" i="2"/>
  <c r="H903" i="2"/>
  <c r="J903" i="2"/>
  <c r="H1061" i="2"/>
  <c r="J1061" i="2"/>
  <c r="H1074" i="2"/>
  <c r="J1074" i="2"/>
  <c r="H2059" i="2"/>
  <c r="J2059" i="2"/>
  <c r="H862" i="2"/>
  <c r="J862" i="2"/>
  <c r="H2168" i="2"/>
  <c r="J2168" i="2"/>
  <c r="H2169" i="2"/>
  <c r="J2169" i="2"/>
  <c r="H802" i="2"/>
  <c r="J802" i="2"/>
  <c r="H1020" i="2"/>
  <c r="J1020" i="2"/>
  <c r="H751" i="2"/>
  <c r="J751" i="2"/>
  <c r="H1301" i="2"/>
  <c r="J1301" i="2"/>
  <c r="H742" i="2"/>
  <c r="J742" i="2"/>
  <c r="H743" i="2"/>
  <c r="J743" i="2"/>
  <c r="H2161" i="2"/>
  <c r="J2161" i="2"/>
  <c r="H1226" i="2"/>
  <c r="J1226" i="2"/>
  <c r="H904" i="2"/>
  <c r="J904" i="2"/>
  <c r="H722" i="2"/>
  <c r="J722" i="2"/>
  <c r="H1062" i="2"/>
  <c r="J1062" i="2"/>
  <c r="H1849" i="2"/>
  <c r="J1849" i="2"/>
  <c r="H898" i="2"/>
  <c r="J898" i="2"/>
  <c r="H1211" i="2"/>
  <c r="J1211" i="2"/>
  <c r="H710" i="2"/>
  <c r="J710" i="2"/>
  <c r="H1170" i="2"/>
  <c r="J1170" i="2"/>
  <c r="H1718" i="2"/>
  <c r="J1718" i="2"/>
  <c r="H993" i="2"/>
  <c r="J993" i="2"/>
  <c r="H1081" i="2"/>
  <c r="J1081" i="2"/>
  <c r="H836" i="2"/>
  <c r="J836" i="2"/>
  <c r="H994" i="2"/>
  <c r="J994" i="2"/>
  <c r="H1063" i="2"/>
  <c r="J1063" i="2"/>
  <c r="H1263" i="2"/>
  <c r="J1263" i="2"/>
  <c r="H1288" i="2"/>
  <c r="J1288" i="2"/>
  <c r="H1608" i="2"/>
  <c r="J1608" i="2"/>
  <c r="H1650" i="2"/>
  <c r="J1650" i="2"/>
  <c r="H1278" i="2"/>
  <c r="J1278" i="2"/>
  <c r="H1336" i="2"/>
  <c r="J1336" i="2"/>
  <c r="H731" i="2"/>
  <c r="J731" i="2"/>
  <c r="H1154" i="2"/>
  <c r="J1154" i="2"/>
  <c r="H1286" i="2"/>
  <c r="J1286" i="2"/>
  <c r="H1837" i="2"/>
  <c r="J1837" i="2"/>
  <c r="H2041" i="2"/>
  <c r="J2041" i="2"/>
  <c r="H1013" i="2"/>
  <c r="J1013" i="2"/>
  <c r="H1100" i="2"/>
  <c r="J1100" i="2"/>
  <c r="H945" i="2"/>
  <c r="J945" i="2"/>
  <c r="H1523" i="2"/>
  <c r="J1523" i="2"/>
  <c r="H2303" i="2"/>
  <c r="J2303" i="2"/>
  <c r="H960" i="2"/>
  <c r="J960" i="2"/>
  <c r="H1371" i="2"/>
  <c r="J1371" i="2"/>
  <c r="H1884" i="2"/>
  <c r="J1884" i="2"/>
  <c r="H1667" i="2"/>
  <c r="J1667" i="2"/>
  <c r="H942" i="2"/>
  <c r="J942" i="2"/>
  <c r="H1449" i="2"/>
  <c r="J1449" i="2"/>
  <c r="H1274" i="2"/>
  <c r="J1274" i="2"/>
  <c r="H1280" i="2"/>
  <c r="J1280" i="2"/>
  <c r="H1566" i="2"/>
  <c r="J1566" i="2"/>
  <c r="H920" i="2"/>
  <c r="J920" i="2"/>
  <c r="H1030" i="2"/>
  <c r="J1030" i="2"/>
  <c r="H1051" i="2"/>
  <c r="J1051" i="2"/>
  <c r="H1378" i="2"/>
  <c r="J1378" i="2"/>
  <c r="H1143" i="2"/>
  <c r="J1143" i="2"/>
  <c r="H1591" i="2"/>
  <c r="J1591" i="2"/>
  <c r="H1158" i="2"/>
  <c r="J1158" i="2"/>
  <c r="H1503" i="2"/>
  <c r="J1503" i="2"/>
  <c r="H1144" i="2"/>
  <c r="J1144" i="2"/>
  <c r="H905" i="2"/>
  <c r="J905" i="2"/>
  <c r="H1095" i="2"/>
  <c r="J1095" i="2"/>
  <c r="H1769" i="2"/>
  <c r="J1769" i="2"/>
  <c r="H2152" i="2"/>
  <c r="J2152" i="2"/>
  <c r="H1928" i="2"/>
  <c r="J1928" i="2"/>
  <c r="H936" i="2"/>
  <c r="J936" i="2"/>
  <c r="H1345" i="2"/>
  <c r="J1345" i="2"/>
  <c r="H1534" i="2"/>
  <c r="J1534" i="2"/>
  <c r="H1659" i="2"/>
  <c r="J1659" i="2"/>
  <c r="H2262" i="2"/>
  <c r="J2262" i="2"/>
  <c r="H1902" i="2"/>
  <c r="J1902" i="2"/>
  <c r="H985" i="2"/>
  <c r="J985" i="2"/>
  <c r="H1043" i="2"/>
  <c r="J1043" i="2"/>
  <c r="H1817" i="2"/>
  <c r="J1817" i="2"/>
  <c r="H1712" i="2"/>
  <c r="J1712" i="2"/>
  <c r="H1294" i="2"/>
  <c r="J1294" i="2"/>
  <c r="H1535" i="2"/>
  <c r="J1535" i="2"/>
  <c r="H1399" i="2"/>
  <c r="J1399" i="2"/>
  <c r="H998" i="2"/>
  <c r="J998" i="2"/>
  <c r="H2314" i="2"/>
  <c r="J2314" i="2"/>
  <c r="H1975" i="2"/>
  <c r="J1975" i="2"/>
  <c r="H1527" i="2"/>
  <c r="J1527" i="2"/>
  <c r="H1556" i="2"/>
  <c r="J1556" i="2"/>
  <c r="H854" i="2"/>
  <c r="J854" i="2"/>
  <c r="H1311" i="2"/>
  <c r="J1311" i="2"/>
  <c r="H1692" i="2"/>
  <c r="J1692" i="2"/>
  <c r="H1751" i="2"/>
  <c r="J1751" i="2"/>
  <c r="H2364" i="2"/>
  <c r="J2364" i="2"/>
  <c r="H1547" i="2"/>
  <c r="J1547" i="2"/>
  <c r="H1857" i="2"/>
  <c r="J1857" i="2"/>
  <c r="H1609" i="2"/>
  <c r="J1609" i="2"/>
  <c r="H1462" i="2"/>
  <c r="J1462" i="2"/>
  <c r="H1045" i="2"/>
  <c r="J1045" i="2"/>
  <c r="H1159" i="2"/>
  <c r="J1159" i="2"/>
  <c r="H1372" i="2"/>
  <c r="J1372" i="2"/>
  <c r="H1610" i="2"/>
  <c r="J1610" i="2"/>
  <c r="H1685" i="2"/>
  <c r="J1685" i="2"/>
  <c r="H943" i="2"/>
  <c r="J943" i="2"/>
  <c r="H1322" i="2"/>
  <c r="J1322" i="2"/>
  <c r="H2028" i="2"/>
  <c r="J2028" i="2"/>
  <c r="H2067" i="2"/>
  <c r="J2067" i="2"/>
  <c r="H2244" i="2"/>
  <c r="J2244" i="2"/>
  <c r="H921" i="2"/>
  <c r="J921" i="2"/>
  <c r="H2202" i="2"/>
  <c r="J2202" i="2"/>
  <c r="H1118" i="2"/>
  <c r="J1118" i="2"/>
  <c r="H1308" i="2"/>
  <c r="J1308" i="2"/>
  <c r="H2344" i="2"/>
  <c r="J2344" i="2"/>
  <c r="H954" i="2"/>
  <c r="J954" i="2"/>
  <c r="H964" i="2"/>
  <c r="J964" i="2"/>
  <c r="H1199" i="2"/>
  <c r="J1199" i="2"/>
  <c r="H1558" i="2"/>
  <c r="J1558" i="2"/>
  <c r="H1885" i="2"/>
  <c r="J1885" i="2"/>
  <c r="H1886" i="2"/>
  <c r="J1886" i="2"/>
  <c r="H1976" i="2"/>
  <c r="J1976" i="2"/>
  <c r="H1951" i="2"/>
  <c r="J1951" i="2"/>
  <c r="H2251" i="2"/>
  <c r="J2251" i="2"/>
  <c r="H806" i="2"/>
  <c r="J806" i="2"/>
  <c r="H1009" i="2"/>
  <c r="J1009" i="2"/>
  <c r="H2024" i="2"/>
  <c r="J2024" i="2"/>
  <c r="H869" i="2"/>
  <c r="J869" i="2"/>
  <c r="H2369" i="2"/>
  <c r="J2369" i="2"/>
  <c r="H1134" i="2"/>
  <c r="J1134" i="2"/>
  <c r="H1265" i="2"/>
  <c r="J1265" i="2"/>
  <c r="H1858" i="2"/>
  <c r="J1858" i="2"/>
  <c r="H1373" i="2"/>
  <c r="J1373" i="2"/>
  <c r="H1851" i="2"/>
  <c r="J1851" i="2"/>
  <c r="H1887" i="2"/>
  <c r="J1887" i="2"/>
  <c r="H2135" i="2"/>
  <c r="J2135" i="2"/>
  <c r="H2178" i="2"/>
  <c r="J2178" i="2"/>
  <c r="H2011" i="2"/>
  <c r="J2011" i="2"/>
  <c r="H1331" i="2"/>
  <c r="J1331" i="2"/>
  <c r="H1171" i="2"/>
  <c r="J1171" i="2"/>
  <c r="H1788" i="2"/>
  <c r="J1788" i="2"/>
  <c r="H863" i="2"/>
  <c r="J863" i="2"/>
  <c r="H1067" i="2"/>
  <c r="J1067" i="2"/>
  <c r="H1952" i="2"/>
  <c r="J1952" i="2"/>
  <c r="H2336" i="2"/>
  <c r="J2336" i="2"/>
  <c r="H2042" i="2"/>
  <c r="J2042" i="2"/>
  <c r="H2096" i="2"/>
  <c r="J2096" i="2"/>
  <c r="H2144" i="2"/>
  <c r="J2144" i="2"/>
  <c r="H2097" i="2"/>
  <c r="J2097" i="2"/>
  <c r="H1451" i="2"/>
  <c r="J1451" i="2"/>
  <c r="H754" i="2"/>
  <c r="J754" i="2"/>
  <c r="H1892" i="2"/>
  <c r="J1892" i="2"/>
  <c r="H1025" i="2"/>
  <c r="J1025" i="2"/>
  <c r="H1653" i="2"/>
  <c r="J1653" i="2"/>
  <c r="H2207" i="2"/>
  <c r="J2207" i="2"/>
  <c r="H1182" i="2"/>
  <c r="J1182" i="2"/>
  <c r="H1734" i="2"/>
  <c r="J1734" i="2"/>
  <c r="H1798" i="2"/>
  <c r="J1798" i="2"/>
  <c r="H1774" i="2"/>
  <c r="J1774" i="2"/>
  <c r="H1412" i="2"/>
  <c r="J1412" i="2"/>
  <c r="H1423" i="2"/>
  <c r="J1423" i="2"/>
  <c r="H1540" i="2"/>
  <c r="J1540" i="2"/>
  <c r="H1559" i="2"/>
  <c r="J1559" i="2"/>
  <c r="H1416" i="2"/>
  <c r="J1416" i="2"/>
  <c r="H1679" i="2"/>
  <c r="J1679" i="2"/>
  <c r="H2130" i="2"/>
  <c r="J2130" i="2"/>
  <c r="H1560" i="2"/>
  <c r="J1560" i="2"/>
  <c r="H1595" i="2"/>
  <c r="J1595" i="2"/>
  <c r="H2038" i="2"/>
  <c r="J2038" i="2"/>
  <c r="H1954" i="2"/>
  <c r="J1954" i="2"/>
  <c r="H1654" i="2"/>
  <c r="J1654" i="2"/>
  <c r="H1868" i="2"/>
  <c r="J1868" i="2"/>
  <c r="H2269" i="2"/>
  <c r="J2269" i="2"/>
  <c r="H1405" i="2"/>
  <c r="J1405" i="2"/>
  <c r="H1385" i="2"/>
  <c r="J1385" i="2"/>
  <c r="H1413" i="2"/>
  <c r="J1413" i="2"/>
  <c r="H1920" i="2"/>
  <c r="J1920" i="2"/>
  <c r="H2218" i="2"/>
  <c r="J2218" i="2"/>
  <c r="H2162" i="2"/>
  <c r="J2162" i="2"/>
  <c r="H1669" i="2"/>
  <c r="J1669" i="2"/>
  <c r="H1249" i="2"/>
  <c r="J1249" i="2"/>
  <c r="H1971" i="2"/>
  <c r="J1971" i="2"/>
  <c r="H1250" i="2"/>
  <c r="J1250" i="2"/>
  <c r="H2189" i="2"/>
  <c r="J2189" i="2"/>
  <c r="H2230" i="2"/>
  <c r="J2230" i="2"/>
  <c r="H1390" i="2"/>
  <c r="J1390" i="2"/>
  <c r="H1965" i="2"/>
  <c r="J1965" i="2"/>
  <c r="H1516" i="2"/>
  <c r="J1516" i="2"/>
  <c r="H1493" i="2"/>
  <c r="J1493" i="2"/>
  <c r="H2324" i="2"/>
  <c r="J2324" i="2"/>
  <c r="H2339" i="2"/>
  <c r="J2339" i="2"/>
  <c r="H1323" i="2"/>
  <c r="J1323" i="2"/>
  <c r="H2253" i="2"/>
  <c r="J2253" i="2"/>
  <c r="H2237" i="2"/>
  <c r="J2237" i="2"/>
  <c r="H1236" i="2"/>
  <c r="J1236" i="2"/>
  <c r="H2208" i="2"/>
  <c r="J2208" i="2"/>
  <c r="H1714" i="2"/>
  <c r="J1714" i="2"/>
  <c r="H2351" i="2"/>
  <c r="J2351" i="2"/>
  <c r="H2103" i="2"/>
  <c r="J2103" i="2"/>
  <c r="H1859" i="2"/>
  <c r="J1859" i="2"/>
  <c r="H1400" i="2"/>
  <c r="J1400" i="2"/>
  <c r="H2346" i="2"/>
  <c r="J2346" i="2"/>
  <c r="H1391" i="2"/>
  <c r="J1391" i="2"/>
  <c r="H1991" i="2"/>
  <c r="J1991" i="2"/>
  <c r="H1494" i="2"/>
  <c r="J1494" i="2"/>
  <c r="H1444" i="2"/>
  <c r="J1444" i="2"/>
  <c r="H1518" i="2"/>
  <c r="J1518" i="2"/>
  <c r="H1425" i="2"/>
  <c r="J1425" i="2"/>
  <c r="H2211" i="2"/>
  <c r="J2211" i="2"/>
  <c r="H1753" i="2"/>
  <c r="J1753" i="2"/>
  <c r="H1644" i="2"/>
  <c r="J1644" i="2"/>
  <c r="H1972" i="2"/>
  <c r="J1972" i="2"/>
  <c r="H1956" i="2"/>
  <c r="J1956" i="2"/>
  <c r="H1957" i="2"/>
  <c r="J1957" i="2"/>
  <c r="H2049" i="2"/>
  <c r="J2049" i="2"/>
  <c r="H2004" i="2"/>
  <c r="J2004" i="2"/>
  <c r="H2343" i="2"/>
  <c r="J2343" i="2"/>
  <c r="H2012" i="2"/>
  <c r="J2012" i="2"/>
  <c r="H2255" i="2"/>
  <c r="J2255" i="2"/>
  <c r="H3" i="2"/>
  <c r="J3" i="2"/>
  <c r="H4" i="2"/>
  <c r="J4" i="2"/>
  <c r="H6" i="2"/>
  <c r="J6" i="2"/>
  <c r="H7" i="2"/>
  <c r="J7" i="2"/>
  <c r="H9" i="2"/>
  <c r="J9" i="2"/>
  <c r="H10" i="2"/>
  <c r="J10" i="2"/>
  <c r="H12" i="2"/>
  <c r="J12" i="2"/>
  <c r="H15" i="2"/>
  <c r="J15" i="2"/>
  <c r="H16" i="2"/>
  <c r="J16" i="2"/>
  <c r="H19" i="2"/>
  <c r="J19" i="2"/>
  <c r="H20" i="2"/>
  <c r="J20" i="2"/>
  <c r="H22" i="2"/>
  <c r="J22" i="2"/>
  <c r="H23" i="2"/>
  <c r="J23" i="2"/>
  <c r="H25" i="2"/>
  <c r="J25" i="2"/>
  <c r="H30" i="2"/>
  <c r="J30" i="2"/>
  <c r="H31" i="2"/>
  <c r="J31" i="2"/>
  <c r="H35" i="2"/>
  <c r="J35" i="2"/>
  <c r="H37" i="2"/>
  <c r="J37" i="2"/>
  <c r="H40" i="2"/>
  <c r="J40" i="2"/>
  <c r="H48" i="2"/>
  <c r="J48" i="2"/>
  <c r="H50" i="2"/>
  <c r="J50" i="2"/>
  <c r="H54" i="2"/>
  <c r="J54" i="2"/>
  <c r="H55" i="2"/>
  <c r="J55" i="2"/>
  <c r="H59" i="2"/>
  <c r="J59" i="2"/>
  <c r="H60" i="2"/>
  <c r="J60" i="2"/>
  <c r="H63" i="2"/>
  <c r="J63" i="2"/>
  <c r="H64" i="2"/>
  <c r="J64" i="2"/>
  <c r="H68" i="2"/>
  <c r="J68" i="2"/>
  <c r="H70" i="2"/>
  <c r="J70" i="2"/>
  <c r="H71" i="2"/>
  <c r="J71" i="2"/>
  <c r="H74" i="2"/>
  <c r="J74" i="2"/>
  <c r="H75" i="2"/>
  <c r="J75" i="2"/>
  <c r="H77" i="2"/>
  <c r="J77" i="2"/>
  <c r="H79" i="2"/>
  <c r="J79" i="2"/>
  <c r="H81" i="2"/>
  <c r="J81" i="2"/>
  <c r="H83" i="2"/>
  <c r="J83" i="2"/>
  <c r="H86" i="2"/>
  <c r="J86" i="2"/>
  <c r="H90" i="2"/>
  <c r="J90" i="2"/>
  <c r="H92" i="2"/>
  <c r="J92" i="2"/>
  <c r="H96" i="2"/>
  <c r="J96" i="2"/>
  <c r="H98" i="2"/>
  <c r="J98" i="2"/>
  <c r="H102" i="2"/>
  <c r="J102" i="2"/>
  <c r="H105" i="2"/>
  <c r="J105" i="2"/>
  <c r="H107" i="2"/>
  <c r="J107" i="2"/>
  <c r="H108" i="2"/>
  <c r="J108" i="2"/>
  <c r="H110" i="2"/>
  <c r="J110" i="2"/>
  <c r="H114" i="2"/>
  <c r="J114" i="2"/>
  <c r="H121" i="2"/>
  <c r="J121" i="2"/>
  <c r="H122" i="2"/>
  <c r="J122" i="2"/>
  <c r="H125" i="2"/>
  <c r="J125" i="2"/>
  <c r="H127" i="2"/>
  <c r="J127" i="2"/>
  <c r="H129" i="2"/>
  <c r="J129" i="2"/>
  <c r="H131" i="2"/>
  <c r="J131" i="2"/>
  <c r="H132" i="2"/>
  <c r="J132" i="2"/>
  <c r="H134" i="2"/>
  <c r="J134" i="2"/>
  <c r="H138" i="2"/>
  <c r="J138" i="2"/>
  <c r="H141" i="2"/>
  <c r="J141" i="2"/>
  <c r="H143" i="2"/>
  <c r="J143" i="2"/>
  <c r="H144" i="2"/>
  <c r="J144" i="2"/>
  <c r="H146" i="2"/>
  <c r="J146" i="2"/>
  <c r="H147" i="2"/>
  <c r="J147" i="2"/>
  <c r="H149" i="2"/>
  <c r="J149" i="2"/>
  <c r="H150" i="2"/>
  <c r="J150" i="2"/>
  <c r="H154" i="2"/>
  <c r="J154" i="2"/>
  <c r="H156" i="2"/>
  <c r="J156" i="2"/>
  <c r="H160" i="2"/>
  <c r="J160" i="2"/>
  <c r="H161" i="2"/>
  <c r="J161" i="2"/>
  <c r="H164" i="2"/>
  <c r="J164" i="2"/>
  <c r="H165" i="2"/>
  <c r="J165" i="2"/>
  <c r="H168" i="2"/>
  <c r="J168" i="2"/>
  <c r="H169" i="2"/>
  <c r="J169" i="2"/>
  <c r="H170" i="2"/>
  <c r="J170" i="2"/>
  <c r="H171" i="2"/>
  <c r="J171" i="2"/>
  <c r="H172" i="2"/>
  <c r="J172" i="2"/>
  <c r="H176" i="2"/>
  <c r="J176" i="2"/>
  <c r="H177" i="2"/>
  <c r="J177" i="2"/>
  <c r="H180" i="2"/>
  <c r="J180" i="2"/>
  <c r="H182" i="2"/>
  <c r="J182" i="2"/>
  <c r="H183" i="2"/>
  <c r="J183" i="2"/>
  <c r="H184" i="2"/>
  <c r="J184" i="2"/>
  <c r="H188" i="2"/>
  <c r="J188" i="2"/>
  <c r="H190" i="2"/>
  <c r="J190" i="2"/>
  <c r="H193" i="2"/>
  <c r="J193" i="2"/>
  <c r="H197" i="2"/>
  <c r="J197" i="2"/>
  <c r="H204" i="2"/>
  <c r="J204" i="2"/>
  <c r="H205" i="2"/>
  <c r="J205" i="2"/>
  <c r="H209" i="2"/>
  <c r="J209" i="2"/>
  <c r="H212" i="2"/>
  <c r="J212" i="2"/>
  <c r="H213" i="2"/>
  <c r="J213" i="2"/>
  <c r="H215" i="2"/>
  <c r="J215" i="2"/>
  <c r="H219" i="2"/>
  <c r="J219" i="2"/>
  <c r="H221" i="2"/>
  <c r="J221" i="2"/>
  <c r="H222" i="2"/>
  <c r="J222" i="2"/>
  <c r="H223" i="2"/>
  <c r="J223" i="2"/>
  <c r="H225" i="2"/>
  <c r="J225" i="2"/>
  <c r="H234" i="2"/>
  <c r="J234" i="2"/>
  <c r="H239" i="2"/>
  <c r="J239" i="2"/>
  <c r="H241" i="2"/>
  <c r="J241" i="2"/>
  <c r="H245" i="2"/>
  <c r="J245" i="2"/>
  <c r="H246" i="2"/>
  <c r="J246" i="2"/>
  <c r="H247" i="2"/>
  <c r="J247" i="2"/>
  <c r="H249" i="2"/>
  <c r="J249" i="2"/>
  <c r="H251" i="2"/>
  <c r="J251" i="2"/>
  <c r="H255" i="2"/>
  <c r="J255" i="2"/>
  <c r="H257" i="2"/>
  <c r="J257" i="2"/>
  <c r="H259" i="2"/>
  <c r="J259" i="2"/>
  <c r="H260" i="2"/>
  <c r="J260" i="2"/>
  <c r="H261" i="2"/>
  <c r="J261" i="2"/>
  <c r="H263" i="2"/>
  <c r="J263" i="2"/>
  <c r="H264" i="2"/>
  <c r="J264" i="2"/>
  <c r="H265" i="2"/>
  <c r="J265" i="2"/>
  <c r="H266" i="2"/>
  <c r="J266" i="2"/>
  <c r="H269" i="2"/>
  <c r="J269" i="2"/>
  <c r="H270" i="2"/>
  <c r="J270" i="2"/>
  <c r="H273" i="2"/>
  <c r="J273" i="2"/>
  <c r="H274" i="2"/>
  <c r="J274" i="2"/>
  <c r="H277" i="2"/>
  <c r="J277" i="2"/>
  <c r="H279" i="2"/>
  <c r="J279" i="2"/>
  <c r="H285" i="2"/>
  <c r="J285" i="2"/>
  <c r="H287" i="2"/>
  <c r="J287" i="2"/>
  <c r="H296" i="2"/>
  <c r="J296" i="2"/>
  <c r="H302" i="2"/>
  <c r="J302" i="2"/>
  <c r="H304" i="2"/>
  <c r="J304" i="2"/>
  <c r="H308" i="2"/>
  <c r="J308" i="2"/>
  <c r="H310" i="2"/>
  <c r="J310" i="2"/>
  <c r="H311" i="2"/>
  <c r="J311" i="2"/>
  <c r="H314" i="2"/>
  <c r="J314" i="2"/>
  <c r="H315" i="2"/>
  <c r="J315" i="2"/>
  <c r="H317" i="2"/>
  <c r="J317" i="2"/>
  <c r="H318" i="2"/>
  <c r="J318" i="2"/>
  <c r="H319" i="2"/>
  <c r="J319" i="2"/>
  <c r="H320" i="2"/>
  <c r="J320" i="2"/>
  <c r="H322" i="2"/>
  <c r="J322" i="2"/>
  <c r="H323" i="2"/>
  <c r="J323" i="2"/>
  <c r="H324" i="2"/>
  <c r="J324" i="2"/>
  <c r="H325" i="2"/>
  <c r="J325" i="2"/>
  <c r="H326" i="2"/>
  <c r="J326" i="2"/>
  <c r="H329" i="2"/>
  <c r="J329" i="2"/>
  <c r="H330" i="2"/>
  <c r="J330" i="2"/>
  <c r="H333" i="2"/>
  <c r="J333" i="2"/>
  <c r="H334" i="2"/>
  <c r="J334" i="2"/>
  <c r="H335" i="2"/>
  <c r="J335" i="2"/>
  <c r="H336" i="2"/>
  <c r="J336" i="2"/>
  <c r="H337" i="2"/>
  <c r="J337" i="2"/>
  <c r="H342" i="2"/>
  <c r="J342" i="2"/>
  <c r="H343" i="2"/>
  <c r="J343" i="2"/>
  <c r="H345" i="2"/>
  <c r="J345" i="2"/>
  <c r="H346" i="2"/>
  <c r="J346" i="2"/>
  <c r="H352" i="2"/>
  <c r="J352" i="2"/>
  <c r="H353" i="2"/>
  <c r="J353" i="2"/>
  <c r="H354" i="2"/>
  <c r="J354" i="2"/>
  <c r="H355" i="2"/>
  <c r="J355" i="2"/>
  <c r="H360" i="2"/>
  <c r="J360" i="2"/>
  <c r="H361" i="2"/>
  <c r="J361" i="2"/>
  <c r="H366" i="2"/>
  <c r="J366" i="2"/>
  <c r="H370" i="2"/>
  <c r="J370" i="2"/>
  <c r="H373" i="2"/>
  <c r="J373" i="2"/>
  <c r="H374" i="2"/>
  <c r="J374" i="2"/>
  <c r="H376" i="2"/>
  <c r="J376" i="2"/>
  <c r="H378" i="2"/>
  <c r="J378" i="2"/>
  <c r="H382" i="2"/>
  <c r="J382" i="2"/>
  <c r="H383" i="2"/>
  <c r="J383" i="2"/>
  <c r="H384" i="2"/>
  <c r="J384" i="2"/>
  <c r="H385" i="2"/>
  <c r="J385" i="2"/>
  <c r="H391" i="2"/>
  <c r="J391" i="2"/>
  <c r="H394" i="2"/>
  <c r="J394" i="2"/>
  <c r="H395" i="2"/>
  <c r="J395" i="2"/>
  <c r="H397" i="2"/>
  <c r="J397" i="2"/>
  <c r="H398" i="2"/>
  <c r="J398" i="2"/>
  <c r="H400" i="2"/>
  <c r="J400" i="2"/>
  <c r="H403" i="2"/>
  <c r="J403" i="2"/>
  <c r="H408" i="2"/>
  <c r="J408" i="2"/>
  <c r="H409" i="2"/>
  <c r="J409" i="2"/>
  <c r="H416" i="2"/>
  <c r="J416" i="2"/>
  <c r="H417" i="2"/>
  <c r="J417" i="2"/>
  <c r="H418" i="2"/>
  <c r="J418" i="2"/>
  <c r="H424" i="2"/>
  <c r="J424" i="2"/>
  <c r="H425" i="2"/>
  <c r="J425" i="2"/>
  <c r="H427" i="2"/>
  <c r="J427" i="2"/>
  <c r="H429" i="2"/>
  <c r="J429" i="2"/>
  <c r="H505" i="4" s="1"/>
  <c r="H432" i="2"/>
  <c r="J432" i="2"/>
  <c r="H506" i="4" s="1"/>
  <c r="H433" i="2"/>
  <c r="J433" i="2"/>
  <c r="H434" i="2"/>
  <c r="J434" i="2"/>
  <c r="H442" i="2"/>
  <c r="J442" i="2"/>
  <c r="H446" i="2"/>
  <c r="J446" i="2"/>
  <c r="H450" i="2"/>
  <c r="J450" i="2"/>
  <c r="H455" i="2"/>
  <c r="J455" i="2"/>
  <c r="H457" i="2"/>
  <c r="J457" i="2"/>
  <c r="H459" i="2"/>
  <c r="J459" i="2"/>
  <c r="H467" i="2"/>
  <c r="J467" i="2"/>
  <c r="H469" i="2"/>
  <c r="J469" i="2"/>
  <c r="H472" i="2"/>
  <c r="J472" i="2"/>
  <c r="H475" i="2"/>
  <c r="J475" i="2"/>
  <c r="H476" i="2"/>
  <c r="J476" i="2"/>
  <c r="H478" i="2"/>
  <c r="J478" i="2"/>
  <c r="H479" i="2"/>
  <c r="J479" i="2"/>
  <c r="H480" i="2"/>
  <c r="J480" i="2"/>
  <c r="H481" i="2"/>
  <c r="J481" i="2"/>
  <c r="H482" i="2"/>
  <c r="J482" i="2"/>
  <c r="H483" i="2"/>
  <c r="J483" i="2"/>
  <c r="H485" i="2"/>
  <c r="J485" i="2"/>
  <c r="H488" i="2"/>
  <c r="J488" i="2"/>
  <c r="H491" i="2"/>
  <c r="J491" i="2"/>
  <c r="H496" i="2"/>
  <c r="J496" i="2"/>
  <c r="H497" i="2"/>
  <c r="J497" i="2"/>
  <c r="H498" i="2"/>
  <c r="J498" i="2"/>
  <c r="H501" i="2"/>
  <c r="J501" i="2"/>
  <c r="H502" i="2"/>
  <c r="J502" i="2"/>
  <c r="H503" i="2"/>
  <c r="J503" i="2"/>
  <c r="H509" i="2"/>
  <c r="J509" i="2"/>
  <c r="H510" i="2"/>
  <c r="J510" i="2"/>
  <c r="H515" i="2"/>
  <c r="J515" i="2"/>
  <c r="H519" i="2"/>
  <c r="J519" i="2"/>
  <c r="H520" i="2"/>
  <c r="J520" i="2"/>
  <c r="H521" i="2"/>
  <c r="J521" i="2"/>
  <c r="H522" i="2"/>
  <c r="J522" i="2"/>
  <c r="H541" i="4" s="1"/>
  <c r="H527" i="2"/>
  <c r="J527" i="2"/>
  <c r="H542" i="2"/>
  <c r="J542" i="2"/>
  <c r="H543" i="2"/>
  <c r="J543" i="2"/>
  <c r="H544" i="4" s="1"/>
  <c r="H547" i="2"/>
  <c r="J547" i="2"/>
  <c r="H548" i="2"/>
  <c r="J548" i="2"/>
  <c r="H549" i="2"/>
  <c r="J549" i="2"/>
  <c r="H547" i="4" s="1"/>
  <c r="H552" i="2"/>
  <c r="J552" i="2"/>
  <c r="H548" i="4" s="1"/>
  <c r="H555" i="2"/>
  <c r="J555" i="2"/>
  <c r="H559" i="2"/>
  <c r="J559" i="2"/>
  <c r="H561" i="2"/>
  <c r="J561" i="2"/>
  <c r="H562" i="2"/>
  <c r="J562" i="2"/>
  <c r="H566" i="2"/>
  <c r="J566" i="2"/>
  <c r="H568" i="2"/>
  <c r="J568" i="2"/>
  <c r="H573" i="2"/>
  <c r="J573" i="2"/>
  <c r="H574" i="2"/>
  <c r="J574" i="2"/>
  <c r="H576" i="2"/>
  <c r="J576" i="2"/>
  <c r="H580" i="2"/>
  <c r="J580" i="2"/>
  <c r="H581" i="2"/>
  <c r="J581" i="2"/>
  <c r="H582" i="2"/>
  <c r="J582" i="2"/>
  <c r="H585" i="2"/>
  <c r="J585" i="2"/>
  <c r="H587" i="2"/>
  <c r="J587" i="2"/>
  <c r="H588" i="2"/>
  <c r="J588" i="2"/>
  <c r="H592" i="2"/>
  <c r="J592" i="2"/>
  <c r="H593" i="2"/>
  <c r="J593" i="2"/>
  <c r="H600" i="2"/>
  <c r="J600" i="2"/>
  <c r="H607" i="2"/>
  <c r="J607" i="2"/>
  <c r="H608" i="2"/>
  <c r="J608" i="2"/>
  <c r="H612" i="2"/>
  <c r="J612" i="2"/>
  <c r="H617" i="2"/>
  <c r="J617" i="2"/>
  <c r="H618" i="2"/>
  <c r="J618" i="2"/>
  <c r="H621" i="2"/>
  <c r="J621" i="2"/>
  <c r="H623" i="2"/>
  <c r="J623" i="2"/>
  <c r="H628" i="2"/>
  <c r="J628" i="2"/>
  <c r="H632" i="2"/>
  <c r="J632" i="2"/>
  <c r="H635" i="2"/>
  <c r="J635" i="2"/>
  <c r="H636" i="2"/>
  <c r="J636" i="2"/>
  <c r="H642" i="2"/>
  <c r="J642" i="2"/>
  <c r="H643" i="2"/>
  <c r="J643" i="2"/>
  <c r="H644" i="2"/>
  <c r="J644" i="2"/>
  <c r="H645" i="2"/>
  <c r="J645" i="2"/>
  <c r="H648" i="2"/>
  <c r="J648" i="2"/>
  <c r="H649" i="2"/>
  <c r="J649" i="2"/>
  <c r="H651" i="2"/>
  <c r="J651" i="2"/>
  <c r="H652" i="2"/>
  <c r="J652" i="2"/>
  <c r="H656" i="2"/>
  <c r="J656" i="2"/>
  <c r="H657" i="2"/>
  <c r="J657" i="2"/>
  <c r="H658" i="2"/>
  <c r="J658" i="2"/>
  <c r="H661" i="2"/>
  <c r="J661" i="2"/>
  <c r="H662" i="2"/>
  <c r="J662" i="2"/>
  <c r="H669" i="2"/>
  <c r="J669" i="2"/>
  <c r="H673" i="2"/>
  <c r="J673" i="2"/>
  <c r="H678" i="2"/>
  <c r="J678" i="2"/>
  <c r="H689" i="2"/>
  <c r="J689" i="2"/>
  <c r="H693" i="2"/>
  <c r="J693" i="2"/>
  <c r="H696" i="2"/>
  <c r="J696" i="2"/>
  <c r="H697" i="2"/>
  <c r="J697" i="2"/>
  <c r="H704" i="2"/>
  <c r="J704" i="2"/>
  <c r="H706" i="2"/>
  <c r="J706" i="2"/>
  <c r="H711" i="2"/>
  <c r="J711" i="2"/>
  <c r="H715" i="2"/>
  <c r="J715" i="2"/>
  <c r="H716" i="2"/>
  <c r="J716" i="2"/>
  <c r="H718" i="2"/>
  <c r="J718" i="2"/>
  <c r="H724" i="2"/>
  <c r="J724" i="2"/>
  <c r="H729" i="2"/>
  <c r="J729" i="2"/>
  <c r="H733" i="2"/>
  <c r="J733" i="2"/>
  <c r="H744" i="2"/>
  <c r="J744" i="2"/>
  <c r="H749" i="2"/>
  <c r="J749" i="2"/>
  <c r="H750" i="2"/>
  <c r="J750" i="2"/>
  <c r="H767" i="2"/>
  <c r="J767" i="2"/>
  <c r="H772" i="2"/>
  <c r="J772" i="2"/>
  <c r="H779" i="2"/>
  <c r="J779" i="2"/>
  <c r="H781" i="2"/>
  <c r="J781" i="2"/>
  <c r="H783" i="2"/>
  <c r="J783" i="2"/>
  <c r="H788" i="2"/>
  <c r="J788" i="2"/>
  <c r="H791" i="2"/>
  <c r="J791" i="2"/>
  <c r="H795" i="2"/>
  <c r="J795" i="2"/>
  <c r="H796" i="2"/>
  <c r="J796" i="2"/>
  <c r="H805" i="2"/>
  <c r="J805" i="2"/>
  <c r="H807" i="2"/>
  <c r="J807" i="2"/>
  <c r="H813" i="2"/>
  <c r="J813" i="2"/>
  <c r="H814" i="2"/>
  <c r="J814" i="2"/>
  <c r="H824" i="2"/>
  <c r="J824" i="2"/>
  <c r="H825" i="2"/>
  <c r="J825" i="2"/>
  <c r="H829" i="2"/>
  <c r="J829" i="2"/>
  <c r="H843" i="2"/>
  <c r="J843" i="2"/>
  <c r="H844" i="2"/>
  <c r="J844" i="2"/>
  <c r="H845" i="2"/>
  <c r="J845" i="2"/>
  <c r="H849" i="2"/>
  <c r="J849" i="2"/>
  <c r="H856" i="2"/>
  <c r="J856" i="2"/>
  <c r="H857" i="2"/>
  <c r="J857" i="2"/>
  <c r="H858" i="2"/>
  <c r="J858" i="2"/>
  <c r="H867" i="2"/>
  <c r="J867" i="2"/>
  <c r="H876" i="2"/>
  <c r="J876" i="2"/>
  <c r="H878" i="2"/>
  <c r="J878" i="2"/>
  <c r="H886" i="2"/>
  <c r="J886" i="2"/>
  <c r="H890" i="2"/>
  <c r="J890" i="2"/>
  <c r="H891" i="2"/>
  <c r="J891" i="2"/>
  <c r="H908" i="2"/>
  <c r="J908" i="2"/>
  <c r="H909" i="2"/>
  <c r="J909" i="2"/>
  <c r="H913" i="2"/>
  <c r="J913" i="2"/>
  <c r="H938" i="2"/>
  <c r="J938" i="2"/>
  <c r="H967" i="2"/>
  <c r="J967" i="2"/>
  <c r="H973" i="2"/>
  <c r="J973" i="2"/>
  <c r="H974" i="2"/>
  <c r="J974" i="2"/>
  <c r="H979" i="2"/>
  <c r="J979" i="2"/>
  <c r="H1021" i="2"/>
  <c r="J1021" i="2"/>
  <c r="H1027" i="2"/>
  <c r="J1027" i="2"/>
  <c r="H1047" i="2"/>
  <c r="J1047" i="2"/>
  <c r="H1082" i="2"/>
  <c r="J1082" i="2"/>
  <c r="H1116" i="2"/>
  <c r="J1116" i="2"/>
  <c r="H1135" i="2"/>
  <c r="J1135" i="2"/>
  <c r="H1259" i="2"/>
  <c r="J1259" i="2"/>
  <c r="H1343" i="2"/>
  <c r="J1343" i="2"/>
  <c r="H1346" i="2"/>
  <c r="J1346" i="2"/>
  <c r="H1495" i="2"/>
  <c r="J1495" i="2"/>
  <c r="H384" i="4" l="1"/>
  <c r="H391" i="4"/>
  <c r="H394" i="4"/>
  <c r="H395" i="4"/>
  <c r="H397" i="4"/>
  <c r="H398" i="4"/>
  <c r="H400" i="4"/>
  <c r="H402" i="4"/>
  <c r="H403" i="4"/>
  <c r="H408" i="4"/>
  <c r="H409" i="4"/>
  <c r="H416" i="4"/>
  <c r="H425" i="4"/>
  <c r="H434" i="4"/>
  <c r="H442" i="4"/>
  <c r="H445" i="4"/>
  <c r="H450" i="4"/>
  <c r="H455" i="4"/>
  <c r="H461" i="4"/>
  <c r="H469" i="4"/>
  <c r="H471" i="4"/>
  <c r="H472" i="4"/>
  <c r="H476" i="4"/>
  <c r="H478" i="4"/>
  <c r="H480" i="4"/>
  <c r="H482" i="4"/>
  <c r="H485" i="4"/>
  <c r="H490" i="4"/>
  <c r="H494" i="4"/>
  <c r="H502" i="4"/>
  <c r="H503" i="4"/>
  <c r="H385" i="4"/>
  <c r="H417" i="4"/>
  <c r="H439" i="4"/>
  <c r="H459" i="4"/>
  <c r="H520" i="4"/>
  <c r="H521" i="4"/>
  <c r="H522" i="4"/>
  <c r="H523" i="4"/>
  <c r="H526" i="4"/>
  <c r="H527" i="4"/>
  <c r="H528" i="4"/>
  <c r="H534" i="4"/>
  <c r="H536" i="4"/>
  <c r="H537" i="4"/>
  <c r="H443" i="4"/>
  <c r="H452" i="4"/>
  <c r="H511" i="4"/>
  <c r="H524" i="4"/>
  <c r="H545" i="4"/>
  <c r="H821" i="4"/>
  <c r="H529" i="4"/>
  <c r="H530" i="4"/>
  <c r="H531" i="4"/>
  <c r="H533" i="4"/>
  <c r="H410" i="4"/>
  <c r="H413" i="4"/>
  <c r="H421" i="4"/>
  <c r="H422" i="4"/>
  <c r="H430" i="4"/>
  <c r="H431" i="4"/>
  <c r="H435" i="4"/>
  <c r="H444" i="4"/>
  <c r="H447" i="4"/>
  <c r="H451" i="4"/>
  <c r="H453" i="4"/>
  <c r="H454" i="4"/>
  <c r="H456" i="4"/>
  <c r="H464" i="4"/>
  <c r="H465" i="4"/>
  <c r="H466" i="4"/>
  <c r="H468" i="4"/>
  <c r="H473" i="4"/>
  <c r="H484" i="4"/>
  <c r="H487" i="4"/>
  <c r="H495" i="4"/>
  <c r="H499" i="4"/>
  <c r="H507" i="4"/>
  <c r="H508" i="4"/>
  <c r="H512" i="4"/>
  <c r="H514" i="4"/>
  <c r="H518" i="4"/>
  <c r="H525" i="4"/>
  <c r="H532" i="4"/>
  <c r="H535" i="4"/>
  <c r="H538" i="4"/>
  <c r="H546" i="4"/>
  <c r="H382" i="4"/>
  <c r="H383" i="4"/>
  <c r="H386" i="4"/>
  <c r="H392" i="4"/>
  <c r="H399" i="4"/>
  <c r="H816" i="4"/>
  <c r="H820" i="4"/>
  <c r="H822" i="4"/>
  <c r="H831" i="4"/>
  <c r="H539" i="4"/>
  <c r="H540" i="4"/>
  <c r="H542" i="4"/>
  <c r="H543" i="4"/>
  <c r="H415" i="4"/>
  <c r="H419" i="4"/>
  <c r="H420" i="4"/>
  <c r="H426" i="4"/>
  <c r="H427" i="4"/>
  <c r="H429" i="4"/>
  <c r="H432" i="4"/>
  <c r="H446" i="4"/>
  <c r="H457" i="4"/>
  <c r="H475" i="4"/>
  <c r="H479" i="4"/>
  <c r="H481" i="4"/>
  <c r="H483" i="4"/>
  <c r="H488" i="4"/>
  <c r="H491" i="4"/>
  <c r="H496" i="4"/>
  <c r="H497" i="4"/>
  <c r="H509" i="4"/>
  <c r="H515" i="4"/>
  <c r="H519" i="4"/>
  <c r="H405" i="4"/>
  <c r="H414" i="4"/>
  <c r="H418" i="4"/>
  <c r="H424" i="4"/>
  <c r="H433" i="4"/>
  <c r="H467" i="4"/>
  <c r="H498" i="4"/>
  <c r="H501" i="4"/>
  <c r="H510" i="4"/>
  <c r="H198" i="4"/>
  <c r="H199" i="4"/>
  <c r="H200" i="4"/>
  <c r="H201" i="4"/>
  <c r="H202" i="4"/>
  <c r="H203" i="4"/>
  <c r="H204" i="4"/>
  <c r="H205" i="4"/>
  <c r="H206" i="4"/>
  <c r="H207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817" i="4"/>
  <c r="H826" i="4"/>
  <c r="H768" i="5"/>
  <c r="H771" i="5"/>
  <c r="H772" i="5"/>
  <c r="H773" i="5"/>
  <c r="H774" i="5"/>
  <c r="H824" i="4"/>
  <c r="H18" i="4"/>
  <c r="H19" i="4"/>
  <c r="H829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827" i="4"/>
  <c r="H750" i="5"/>
  <c r="H753" i="5"/>
  <c r="H754" i="5"/>
  <c r="H756" i="5"/>
  <c r="H758" i="5"/>
  <c r="H760" i="5"/>
  <c r="H761" i="5"/>
  <c r="H763" i="5"/>
  <c r="H764" i="5"/>
  <c r="H765" i="5"/>
  <c r="H767" i="5"/>
  <c r="H769" i="5"/>
  <c r="H770" i="5"/>
  <c r="H776" i="5"/>
  <c r="H777" i="5"/>
  <c r="H778" i="5"/>
  <c r="H818" i="4"/>
  <c r="H819" i="4"/>
  <c r="H828" i="4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1" i="5"/>
  <c r="H752" i="5"/>
  <c r="H755" i="5"/>
  <c r="H757" i="5"/>
  <c r="H759" i="5"/>
  <c r="H762" i="5"/>
  <c r="H766" i="5"/>
  <c r="H775" i="5"/>
  <c r="H779" i="5"/>
  <c r="H823" i="4"/>
  <c r="H830" i="4"/>
  <c r="H825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98" i="5"/>
  <c r="H802" i="5"/>
  <c r="H806" i="5"/>
  <c r="H809" i="5"/>
  <c r="H813" i="5"/>
  <c r="H475" i="5"/>
  <c r="H476" i="5"/>
  <c r="H477" i="5"/>
  <c r="H478" i="5"/>
  <c r="H479" i="5"/>
  <c r="H480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94" i="5"/>
  <c r="H696" i="5"/>
  <c r="H697" i="5"/>
  <c r="H699" i="5"/>
  <c r="H700" i="5"/>
  <c r="H701" i="5"/>
  <c r="H702" i="5"/>
  <c r="H704" i="5"/>
  <c r="H705" i="5"/>
  <c r="H707" i="5"/>
  <c r="H708" i="5"/>
  <c r="H709" i="5"/>
  <c r="H711" i="5"/>
  <c r="H712" i="5"/>
  <c r="H714" i="5"/>
  <c r="H715" i="5"/>
  <c r="H717" i="5"/>
  <c r="H718" i="5"/>
  <c r="H719" i="5"/>
  <c r="H721" i="5"/>
  <c r="H723" i="5"/>
  <c r="H724" i="5"/>
  <c r="H781" i="5"/>
  <c r="H782" i="5"/>
  <c r="H783" i="5"/>
  <c r="H785" i="5"/>
  <c r="H786" i="5"/>
  <c r="H788" i="5"/>
  <c r="H789" i="5"/>
  <c r="H791" i="5"/>
  <c r="H792" i="5"/>
  <c r="H794" i="5"/>
  <c r="H795" i="5"/>
  <c r="H797" i="5"/>
  <c r="H800" i="5"/>
  <c r="H801" i="5"/>
  <c r="H803" i="5"/>
  <c r="H805" i="5"/>
  <c r="H807" i="5"/>
  <c r="H810" i="5"/>
  <c r="H811" i="5"/>
  <c r="H814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5" i="5"/>
  <c r="H698" i="5"/>
  <c r="H703" i="5"/>
  <c r="H706" i="5"/>
  <c r="H710" i="5"/>
  <c r="H713" i="5"/>
  <c r="H716" i="5"/>
  <c r="H720" i="5"/>
  <c r="H722" i="5"/>
  <c r="H780" i="5"/>
  <c r="H784" i="5"/>
  <c r="H787" i="5"/>
  <c r="H790" i="5"/>
  <c r="H793" i="5"/>
  <c r="H796" i="5"/>
  <c r="H799" i="5"/>
  <c r="H804" i="5"/>
  <c r="H808" i="5"/>
  <c r="H812" i="5"/>
  <c r="H74" i="5"/>
  <c r="H74" i="4"/>
  <c r="H75" i="5"/>
  <c r="H75" i="4"/>
  <c r="H76" i="5"/>
  <c r="H76" i="4"/>
  <c r="H77" i="5"/>
  <c r="H77" i="4"/>
  <c r="H78" i="5"/>
  <c r="H78" i="4"/>
  <c r="H79" i="5"/>
  <c r="H79" i="4"/>
  <c r="H80" i="5"/>
  <c r="H80" i="4"/>
  <c r="H81" i="5"/>
  <c r="H81" i="4"/>
  <c r="H82" i="5"/>
  <c r="H82" i="4"/>
  <c r="H83" i="5"/>
  <c r="H83" i="4"/>
  <c r="H84" i="5"/>
  <c r="H84" i="4"/>
  <c r="H85" i="5"/>
  <c r="H85" i="4"/>
  <c r="H86" i="5"/>
  <c r="H86" i="4"/>
  <c r="H87" i="5"/>
  <c r="H87" i="4"/>
  <c r="H88" i="5"/>
  <c r="H88" i="4"/>
  <c r="H89" i="5"/>
  <c r="H89" i="4"/>
  <c r="H90" i="5"/>
  <c r="H90" i="4"/>
  <c r="H91" i="5"/>
  <c r="H91" i="4"/>
  <c r="H92" i="5"/>
  <c r="H92" i="4"/>
  <c r="H93" i="5"/>
  <c r="H93" i="4"/>
  <c r="H94" i="5"/>
  <c r="H94" i="4"/>
  <c r="H95" i="5"/>
  <c r="H95" i="4"/>
  <c r="H96" i="5"/>
  <c r="H96" i="4"/>
  <c r="H97" i="5"/>
  <c r="H97" i="4"/>
  <c r="H98" i="5"/>
  <c r="H98" i="4"/>
  <c r="H99" i="5"/>
  <c r="H99" i="4"/>
  <c r="H100" i="5"/>
  <c r="H100" i="4"/>
  <c r="H101" i="5"/>
  <c r="H101" i="4"/>
  <c r="H102" i="5"/>
  <c r="H102" i="4"/>
  <c r="H103" i="5"/>
  <c r="H103" i="4"/>
  <c r="H104" i="5"/>
  <c r="H104" i="4"/>
  <c r="H105" i="5"/>
  <c r="H105" i="4"/>
  <c r="H106" i="5"/>
  <c r="H106" i="4"/>
  <c r="H107" i="5"/>
  <c r="H107" i="4"/>
  <c r="H1044" i="5"/>
  <c r="H1044" i="4"/>
  <c r="H1045" i="5"/>
  <c r="H1045" i="4"/>
  <c r="H1046" i="5"/>
  <c r="H1046" i="4"/>
  <c r="H1047" i="5"/>
  <c r="H1047" i="4"/>
  <c r="H1048" i="4"/>
  <c r="H1048" i="5"/>
  <c r="H1049" i="5"/>
  <c r="H1049" i="4"/>
  <c r="H1050" i="4"/>
  <c r="H1050" i="5"/>
  <c r="H1051" i="5"/>
  <c r="H1051" i="4"/>
  <c r="H1052" i="4"/>
  <c r="H1052" i="5"/>
  <c r="H1053" i="4"/>
  <c r="H1053" i="5"/>
  <c r="H1054" i="4"/>
  <c r="H1054" i="5"/>
  <c r="H1055" i="4"/>
  <c r="H1055" i="5"/>
  <c r="H1056" i="4"/>
  <c r="H1056" i="5"/>
  <c r="H1057" i="4"/>
  <c r="H1057" i="5"/>
  <c r="H1058" i="4"/>
  <c r="H1058" i="5"/>
  <c r="H1059" i="4"/>
  <c r="H1059" i="5"/>
  <c r="H1060" i="5"/>
  <c r="H1060" i="4"/>
  <c r="H1061" i="4"/>
  <c r="H1061" i="5"/>
  <c r="H1062" i="5"/>
  <c r="H1062" i="4"/>
  <c r="H1063" i="5"/>
  <c r="H1063" i="4"/>
  <c r="H1064" i="4"/>
  <c r="H1064" i="5"/>
  <c r="H1065" i="5"/>
  <c r="H1065" i="4"/>
  <c r="H1066" i="4"/>
  <c r="H1066" i="5"/>
  <c r="H1067" i="4"/>
  <c r="H1067" i="5"/>
  <c r="H1068" i="5"/>
  <c r="H1068" i="4"/>
  <c r="H1069" i="5"/>
  <c r="H1069" i="4"/>
  <c r="H1070" i="4"/>
  <c r="H1070" i="5"/>
  <c r="H1071" i="4"/>
  <c r="H1071" i="5"/>
  <c r="H1072" i="4"/>
  <c r="H1072" i="5"/>
  <c r="H1073" i="5"/>
  <c r="H1073" i="4"/>
  <c r="H1074" i="5"/>
  <c r="H1074" i="4"/>
  <c r="H1075" i="5"/>
  <c r="H1075" i="4"/>
  <c r="H1076" i="5"/>
  <c r="H1076" i="4"/>
  <c r="H1077" i="5"/>
  <c r="H1077" i="4"/>
  <c r="H1078" i="4"/>
  <c r="H1078" i="5"/>
  <c r="H1079" i="4"/>
  <c r="H1079" i="5"/>
  <c r="H1080" i="5"/>
  <c r="H1080" i="4"/>
  <c r="H1081" i="4"/>
  <c r="H1081" i="5"/>
  <c r="H1082" i="4"/>
  <c r="H1082" i="5"/>
  <c r="H1083" i="5"/>
  <c r="H1083" i="4"/>
  <c r="H1084" i="5"/>
  <c r="H1084" i="4"/>
  <c r="H1085" i="5"/>
  <c r="H1085" i="4"/>
  <c r="H1086" i="5"/>
  <c r="H1086" i="4"/>
  <c r="H1087" i="5"/>
  <c r="H1087" i="4"/>
  <c r="H1088" i="5"/>
  <c r="H1088" i="4"/>
  <c r="H1089" i="4"/>
  <c r="H1089" i="5"/>
  <c r="H1090" i="4"/>
  <c r="H1090" i="5"/>
  <c r="H1091" i="5"/>
  <c r="H1091" i="4"/>
  <c r="H1092" i="5"/>
  <c r="H1092" i="4"/>
  <c r="H1093" i="5"/>
  <c r="H1093" i="4"/>
  <c r="H1094" i="5"/>
  <c r="H1094" i="4"/>
  <c r="H1095" i="5"/>
  <c r="H1095" i="4"/>
  <c r="H1096" i="5"/>
  <c r="H1096" i="4"/>
  <c r="H1097" i="5"/>
  <c r="H1097" i="4"/>
  <c r="H1098" i="4"/>
  <c r="H1098" i="5"/>
  <c r="H1099" i="5"/>
  <c r="H1099" i="4"/>
  <c r="H1100" i="4"/>
  <c r="H1100" i="5"/>
  <c r="H1101" i="5"/>
  <c r="H1101" i="4"/>
  <c r="H1102" i="5"/>
  <c r="H1102" i="4"/>
  <c r="H1103" i="5"/>
  <c r="H1103" i="4"/>
  <c r="H1104" i="5"/>
  <c r="H1104" i="4"/>
  <c r="H1105" i="5"/>
  <c r="H1105" i="4"/>
  <c r="H1106" i="4"/>
  <c r="H1106" i="5"/>
  <c r="H1107" i="5"/>
  <c r="H1107" i="4"/>
  <c r="H1108" i="4"/>
  <c r="H1108" i="5"/>
  <c r="H1109" i="5"/>
  <c r="H1109" i="4"/>
  <c r="H1110" i="4"/>
  <c r="H1110" i="5"/>
  <c r="H1111" i="4"/>
  <c r="H1111" i="5"/>
  <c r="H1112" i="5"/>
  <c r="H1112" i="4"/>
  <c r="H1113" i="4"/>
  <c r="H1113" i="5"/>
  <c r="H1114" i="4"/>
  <c r="H1114" i="5"/>
  <c r="H1115" i="5"/>
  <c r="H1115" i="4"/>
  <c r="H1116" i="5"/>
  <c r="H1116" i="4"/>
  <c r="H1117" i="5"/>
  <c r="H1117" i="4"/>
  <c r="H1118" i="5"/>
  <c r="H1118" i="4"/>
  <c r="H1119" i="5"/>
  <c r="H1119" i="4"/>
  <c r="H1120" i="4"/>
  <c r="H1120" i="5"/>
  <c r="H1121" i="5"/>
  <c r="H1121" i="4"/>
  <c r="H1122" i="4"/>
  <c r="H1122" i="5"/>
  <c r="H1123" i="5"/>
  <c r="H1123" i="4"/>
  <c r="H1124" i="5"/>
  <c r="H1124" i="4"/>
  <c r="H1125" i="4"/>
  <c r="H1125" i="5"/>
  <c r="H1126" i="4"/>
  <c r="H1126" i="5"/>
  <c r="H1127" i="5"/>
  <c r="H1127" i="4"/>
  <c r="H1128" i="4"/>
  <c r="H1128" i="5"/>
  <c r="H1129" i="4"/>
  <c r="H1129" i="5"/>
  <c r="H1130" i="4"/>
  <c r="H1130" i="5"/>
  <c r="H1131" i="4"/>
  <c r="H1131" i="5"/>
  <c r="H1132" i="4"/>
  <c r="H1132" i="5"/>
  <c r="H1133" i="4"/>
  <c r="H1133" i="5"/>
  <c r="H1134" i="5"/>
  <c r="H1134" i="4"/>
  <c r="H1135" i="5"/>
  <c r="H1135" i="4"/>
  <c r="H1136" i="5"/>
  <c r="H1136" i="4"/>
  <c r="H1137" i="5"/>
  <c r="H1137" i="4"/>
  <c r="H1138" i="5"/>
  <c r="H1138" i="4"/>
  <c r="H1139" i="4"/>
  <c r="H1139" i="5"/>
  <c r="H1140" i="4"/>
  <c r="H1140" i="5"/>
  <c r="H1141" i="4"/>
  <c r="H1141" i="5"/>
  <c r="H1142" i="4"/>
  <c r="H1142" i="5"/>
  <c r="H1143" i="4"/>
  <c r="H1143" i="5"/>
  <c r="H1144" i="4"/>
  <c r="H1144" i="5"/>
  <c r="H1145" i="5"/>
  <c r="H1145" i="4"/>
  <c r="H1146" i="5"/>
  <c r="H1146" i="4"/>
  <c r="H1147" i="4"/>
  <c r="H1147" i="5"/>
  <c r="H1148" i="5"/>
  <c r="H1148" i="4"/>
  <c r="H1149" i="5"/>
  <c r="H1149" i="4"/>
  <c r="H1150" i="5"/>
  <c r="H1150" i="4"/>
  <c r="H1151" i="4"/>
  <c r="H1151" i="5"/>
  <c r="H1152" i="5"/>
  <c r="H1152" i="4"/>
  <c r="H1153" i="5"/>
  <c r="H1153" i="4"/>
  <c r="H1154" i="4"/>
  <c r="H1154" i="5"/>
  <c r="H1155" i="4"/>
  <c r="H1155" i="5"/>
  <c r="H1156" i="4"/>
  <c r="H1156" i="5"/>
  <c r="H1157" i="5"/>
  <c r="H1157" i="4"/>
  <c r="H1158" i="4"/>
  <c r="H1158" i="5"/>
  <c r="H1159" i="4"/>
  <c r="H1159" i="5"/>
  <c r="H1160" i="5"/>
  <c r="H1160" i="4"/>
  <c r="H1161" i="4"/>
  <c r="H1161" i="5"/>
  <c r="H1162" i="4"/>
  <c r="H1162" i="5"/>
  <c r="H1163" i="4"/>
  <c r="H1163" i="5"/>
  <c r="H1164" i="5"/>
  <c r="H1164" i="4"/>
  <c r="H1165" i="4"/>
  <c r="H1165" i="5"/>
  <c r="H1166" i="4"/>
  <c r="H1166" i="5"/>
  <c r="H1167" i="5"/>
  <c r="H1167" i="4"/>
  <c r="H1168" i="4"/>
  <c r="H1168" i="5"/>
  <c r="H1169" i="5"/>
  <c r="H1169" i="4"/>
  <c r="H1170" i="5"/>
  <c r="H1170" i="4"/>
  <c r="H1171" i="5"/>
  <c r="H1171" i="4"/>
  <c r="H1172" i="5"/>
  <c r="H1172" i="4"/>
  <c r="H1173" i="4"/>
  <c r="H1173" i="5"/>
  <c r="H1174" i="5"/>
  <c r="H1174" i="4"/>
  <c r="H1175" i="4"/>
  <c r="H1175" i="5"/>
  <c r="H1176" i="5"/>
  <c r="H1176" i="4"/>
  <c r="H1177" i="5"/>
  <c r="H1177" i="4"/>
  <c r="H1178" i="4"/>
  <c r="H1178" i="5"/>
  <c r="H1179" i="4"/>
  <c r="H1179" i="5"/>
  <c r="H1180" i="4"/>
  <c r="H1180" i="5"/>
  <c r="H1181" i="5"/>
  <c r="H1181" i="4"/>
  <c r="H1182" i="4"/>
  <c r="H1182" i="5"/>
  <c r="H1183" i="4"/>
  <c r="H1183" i="5"/>
  <c r="H1184" i="4"/>
  <c r="H1184" i="5"/>
  <c r="H1185" i="5"/>
  <c r="H1185" i="4"/>
  <c r="H1186" i="5"/>
  <c r="H1186" i="4"/>
  <c r="H1187" i="4"/>
  <c r="H1187" i="5"/>
  <c r="H1188" i="5"/>
  <c r="H1188" i="4"/>
  <c r="H1189" i="5"/>
  <c r="H1189" i="4"/>
  <c r="H1190" i="4"/>
  <c r="H1190" i="5"/>
  <c r="H1191" i="5"/>
  <c r="H1191" i="4"/>
  <c r="H1192" i="5"/>
  <c r="H1192" i="4"/>
  <c r="H1193" i="4"/>
  <c r="H1193" i="5"/>
  <c r="H1194" i="5"/>
  <c r="H1194" i="4"/>
  <c r="H1195" i="4"/>
  <c r="H1195" i="5"/>
  <c r="H1196" i="4"/>
  <c r="H1196" i="5"/>
  <c r="H1197" i="4"/>
  <c r="H1197" i="5"/>
  <c r="H1198" i="4"/>
  <c r="H1198" i="5"/>
  <c r="H1199" i="4"/>
  <c r="H1199" i="5"/>
  <c r="H1200" i="4"/>
  <c r="H1200" i="5"/>
  <c r="H1201" i="5"/>
  <c r="H1201" i="4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108" i="5"/>
  <c r="H208" i="4"/>
  <c r="H109" i="5"/>
  <c r="H209" i="4"/>
  <c r="H110" i="5"/>
  <c r="H210" i="4"/>
  <c r="H111" i="5"/>
  <c r="H211" i="4"/>
  <c r="H112" i="5"/>
  <c r="H212" i="4"/>
  <c r="H113" i="5"/>
  <c r="H213" i="4"/>
  <c r="H114" i="5"/>
  <c r="H214" i="4"/>
  <c r="H115" i="5"/>
  <c r="H215" i="4"/>
  <c r="H116" i="5"/>
  <c r="H216" i="4"/>
  <c r="H117" i="5"/>
  <c r="H217" i="4"/>
  <c r="H118" i="5"/>
  <c r="H218" i="4"/>
  <c r="H119" i="5"/>
  <c r="H219" i="4"/>
  <c r="H120" i="5"/>
  <c r="H220" i="4"/>
  <c r="H121" i="5"/>
  <c r="H221" i="4"/>
  <c r="H122" i="5"/>
  <c r="H222" i="4"/>
  <c r="H123" i="5"/>
  <c r="H223" i="4"/>
  <c r="H124" i="5"/>
  <c r="H224" i="4"/>
  <c r="H125" i="5"/>
  <c r="H225" i="4"/>
  <c r="H126" i="5"/>
  <c r="H226" i="4"/>
  <c r="H127" i="5"/>
  <c r="H227" i="4"/>
  <c r="H128" i="5"/>
  <c r="H228" i="4"/>
  <c r="H129" i="5"/>
  <c r="H229" i="4"/>
  <c r="H130" i="5"/>
  <c r="H230" i="4"/>
  <c r="H131" i="5"/>
  <c r="H231" i="4"/>
  <c r="H132" i="5"/>
  <c r="H232" i="4"/>
  <c r="H133" i="5"/>
  <c r="H233" i="4"/>
  <c r="H134" i="5"/>
  <c r="H234" i="4"/>
  <c r="H135" i="5"/>
  <c r="H235" i="4"/>
  <c r="H136" i="5"/>
  <c r="H236" i="4"/>
  <c r="H137" i="5"/>
  <c r="H237" i="4"/>
  <c r="H138" i="5"/>
  <c r="H238" i="4"/>
  <c r="H139" i="5"/>
  <c r="H239" i="4"/>
  <c r="H140" i="5"/>
  <c r="H240" i="4"/>
  <c r="H141" i="5"/>
  <c r="H241" i="4"/>
  <c r="H142" i="5"/>
  <c r="H242" i="4"/>
  <c r="H143" i="5"/>
  <c r="H243" i="4"/>
  <c r="H144" i="5"/>
  <c r="H244" i="4"/>
  <c r="H145" i="5"/>
  <c r="H245" i="4"/>
  <c r="H146" i="5"/>
  <c r="H246" i="4"/>
  <c r="H147" i="5"/>
  <c r="H247" i="4"/>
  <c r="H148" i="5"/>
  <c r="H248" i="4"/>
  <c r="H149" i="5"/>
  <c r="H249" i="4"/>
  <c r="H150" i="5"/>
  <c r="H250" i="4"/>
  <c r="H151" i="5"/>
  <c r="H251" i="4"/>
  <c r="H152" i="5"/>
  <c r="H252" i="4"/>
  <c r="H153" i="5"/>
  <c r="H253" i="4"/>
  <c r="H154" i="5"/>
  <c r="H254" i="4"/>
  <c r="H155" i="5"/>
  <c r="H255" i="4"/>
  <c r="H156" i="5"/>
  <c r="H256" i="4"/>
  <c r="H157" i="5"/>
  <c r="H257" i="4"/>
  <c r="H158" i="5"/>
  <c r="H258" i="4"/>
  <c r="H159" i="5"/>
  <c r="H259" i="4"/>
  <c r="H160" i="5"/>
  <c r="H260" i="4"/>
  <c r="H161" i="5"/>
  <c r="H261" i="4"/>
  <c r="H162" i="5"/>
  <c r="H262" i="4"/>
  <c r="H163" i="5"/>
  <c r="H263" i="4"/>
  <c r="H164" i="5"/>
  <c r="H264" i="4"/>
  <c r="H165" i="5"/>
  <c r="H265" i="4"/>
  <c r="H166" i="5"/>
  <c r="H266" i="4"/>
  <c r="H167" i="5"/>
  <c r="H267" i="4"/>
  <c r="H168" i="5"/>
  <c r="H268" i="4"/>
  <c r="H169" i="5"/>
  <c r="H269" i="4"/>
  <c r="H170" i="5"/>
  <c r="H270" i="4"/>
  <c r="H171" i="5"/>
  <c r="H271" i="4"/>
  <c r="H172" i="5"/>
  <c r="H272" i="4"/>
  <c r="H173" i="5"/>
  <c r="H273" i="4"/>
  <c r="H174" i="5"/>
  <c r="H274" i="4"/>
  <c r="H175" i="5"/>
  <c r="H275" i="4"/>
  <c r="H176" i="5"/>
  <c r="H276" i="4"/>
  <c r="H177" i="5"/>
  <c r="H277" i="4"/>
  <c r="H178" i="5"/>
  <c r="H278" i="4"/>
  <c r="H179" i="5"/>
  <c r="H279" i="4"/>
  <c r="H180" i="5"/>
  <c r="H280" i="4"/>
  <c r="H181" i="5"/>
  <c r="H281" i="4"/>
  <c r="H182" i="5"/>
  <c r="H282" i="4"/>
  <c r="H183" i="5"/>
  <c r="H283" i="4"/>
  <c r="H184" i="5"/>
  <c r="H284" i="4"/>
  <c r="H185" i="5"/>
  <c r="H285" i="4"/>
  <c r="H186" i="5"/>
  <c r="H286" i="4"/>
  <c r="H187" i="5"/>
  <c r="H287" i="4"/>
  <c r="H188" i="5"/>
  <c r="H288" i="4"/>
  <c r="H189" i="5"/>
  <c r="H289" i="4"/>
  <c r="H190" i="5"/>
  <c r="H290" i="4"/>
  <c r="H191" i="5"/>
  <c r="H291" i="4"/>
  <c r="H192" i="5"/>
  <c r="H292" i="4"/>
  <c r="H193" i="5"/>
  <c r="H293" i="4"/>
  <c r="H194" i="5"/>
  <c r="H294" i="4"/>
  <c r="H195" i="5"/>
  <c r="H295" i="4"/>
  <c r="H196" i="5"/>
  <c r="H296" i="4"/>
  <c r="H197" i="5"/>
  <c r="H297" i="4"/>
  <c r="H198" i="5"/>
  <c r="H298" i="4"/>
  <c r="H199" i="5"/>
  <c r="H299" i="4"/>
  <c r="H200" i="5"/>
  <c r="H300" i="4"/>
  <c r="H201" i="5"/>
  <c r="H301" i="4"/>
  <c r="H202" i="5"/>
  <c r="H302" i="4"/>
  <c r="H203" i="5"/>
  <c r="H303" i="4"/>
  <c r="H204" i="5"/>
  <c r="H304" i="4"/>
  <c r="H205" i="5"/>
  <c r="H305" i="4"/>
  <c r="H206" i="5"/>
  <c r="H306" i="4"/>
  <c r="H207" i="5"/>
  <c r="H307" i="4"/>
  <c r="H208" i="5"/>
  <c r="H308" i="4"/>
  <c r="H209" i="5"/>
  <c r="H309" i="4"/>
  <c r="H210" i="5"/>
  <c r="H310" i="4"/>
  <c r="H211" i="5"/>
  <c r="H311" i="4"/>
  <c r="H212" i="5"/>
  <c r="H312" i="4"/>
  <c r="H213" i="5"/>
  <c r="H313" i="4"/>
  <c r="H214" i="5"/>
  <c r="H314" i="4"/>
  <c r="H215" i="5"/>
  <c r="H315" i="4"/>
  <c r="H216" i="5"/>
  <c r="H316" i="4"/>
  <c r="H217" i="5"/>
  <c r="H317" i="4"/>
  <c r="H218" i="5"/>
  <c r="H318" i="4"/>
  <c r="H219" i="5"/>
  <c r="H319" i="4"/>
  <c r="H220" i="5"/>
  <c r="H320" i="4"/>
  <c r="H221" i="5"/>
  <c r="H321" i="4"/>
  <c r="H222" i="5"/>
  <c r="H322" i="4"/>
  <c r="H223" i="5"/>
  <c r="H323" i="4"/>
  <c r="H224" i="5"/>
  <c r="H324" i="4"/>
  <c r="H225" i="5"/>
  <c r="H325" i="4"/>
  <c r="H226" i="5"/>
  <c r="H326" i="4"/>
  <c r="H227" i="5"/>
  <c r="H327" i="4"/>
  <c r="H228" i="5"/>
  <c r="H328" i="4"/>
  <c r="H229" i="5"/>
  <c r="H329" i="4"/>
  <c r="H230" i="5"/>
  <c r="H330" i="4"/>
  <c r="H231" i="5"/>
  <c r="H331" i="4"/>
  <c r="H232" i="5"/>
  <c r="H332" i="4"/>
  <c r="H233" i="5"/>
  <c r="H333" i="4"/>
  <c r="H234" i="5"/>
  <c r="H334" i="4"/>
  <c r="H235" i="5"/>
  <c r="H335" i="4"/>
  <c r="H236" i="5"/>
  <c r="H336" i="4"/>
  <c r="H237" i="5"/>
  <c r="H337" i="4"/>
  <c r="H238" i="5"/>
  <c r="H338" i="4"/>
  <c r="H239" i="5"/>
  <c r="H339" i="4"/>
  <c r="H240" i="5"/>
  <c r="H340" i="4"/>
  <c r="H241" i="5"/>
  <c r="H341" i="4"/>
  <c r="H242" i="5"/>
  <c r="H342" i="4"/>
  <c r="H243" i="5"/>
  <c r="H343" i="4"/>
  <c r="H244" i="5"/>
  <c r="H344" i="4"/>
  <c r="H245" i="5"/>
  <c r="H345" i="4"/>
  <c r="H246" i="5"/>
  <c r="H346" i="4"/>
  <c r="H247" i="5"/>
  <c r="H347" i="4"/>
  <c r="H248" i="5"/>
  <c r="H348" i="4"/>
  <c r="H249" i="5"/>
  <c r="H349" i="4"/>
  <c r="H250" i="5"/>
  <c r="H350" i="4"/>
  <c r="H251" i="5"/>
  <c r="H351" i="4"/>
  <c r="H252" i="5"/>
  <c r="H352" i="4"/>
  <c r="H253" i="5"/>
  <c r="H353" i="4"/>
  <c r="H254" i="5"/>
  <c r="H354" i="4"/>
  <c r="H255" i="5"/>
  <c r="H355" i="4"/>
  <c r="H256" i="5"/>
  <c r="H356" i="4"/>
  <c r="H257" i="5"/>
  <c r="H357" i="4"/>
  <c r="H258" i="5"/>
  <c r="H358" i="4"/>
  <c r="H259" i="5"/>
  <c r="H359" i="4"/>
  <c r="H260" i="5"/>
  <c r="H360" i="4"/>
  <c r="H261" i="5"/>
  <c r="H361" i="4"/>
  <c r="H262" i="5"/>
  <c r="H362" i="4"/>
  <c r="H263" i="5"/>
  <c r="H363" i="4"/>
  <c r="H264" i="5"/>
  <c r="H364" i="4"/>
  <c r="H265" i="5"/>
  <c r="H365" i="4"/>
  <c r="H266" i="5"/>
  <c r="H366" i="4"/>
  <c r="H267" i="5"/>
  <c r="H367" i="4"/>
  <c r="H268" i="5"/>
  <c r="H368" i="4"/>
  <c r="H269" i="5"/>
  <c r="H369" i="4"/>
  <c r="H270" i="5"/>
  <c r="H370" i="4"/>
  <c r="H271" i="5"/>
  <c r="H371" i="4"/>
  <c r="H272" i="5"/>
  <c r="H372" i="4"/>
  <c r="H273" i="5"/>
  <c r="H373" i="4"/>
  <c r="H274" i="5"/>
  <c r="H374" i="4"/>
  <c r="H275" i="5"/>
  <c r="H375" i="4"/>
  <c r="H276" i="5"/>
  <c r="H376" i="4"/>
  <c r="H277" i="5"/>
  <c r="H377" i="4"/>
  <c r="H278" i="5"/>
  <c r="H378" i="4"/>
  <c r="H279" i="5"/>
  <c r="H379" i="4"/>
  <c r="H280" i="5"/>
  <c r="H380" i="4"/>
  <c r="H381" i="5"/>
  <c r="H481" i="5"/>
  <c r="H382" i="5"/>
  <c r="H482" i="5"/>
  <c r="H383" i="5"/>
  <c r="H483" i="5"/>
  <c r="H384" i="5"/>
  <c r="H484" i="5"/>
  <c r="H385" i="5"/>
  <c r="H485" i="5"/>
  <c r="H386" i="5"/>
  <c r="H486" i="5"/>
  <c r="H387" i="5"/>
  <c r="H487" i="5"/>
  <c r="H388" i="5"/>
  <c r="H488" i="5"/>
  <c r="H389" i="5"/>
  <c r="H489" i="5"/>
  <c r="H390" i="5"/>
  <c r="H490" i="5"/>
  <c r="H391" i="5"/>
  <c r="H491" i="5"/>
  <c r="H392" i="5"/>
  <c r="H492" i="5"/>
  <c r="H393" i="5"/>
  <c r="H493" i="5"/>
  <c r="H394" i="5"/>
  <c r="H494" i="5"/>
  <c r="H395" i="5"/>
  <c r="H495" i="5"/>
  <c r="H396" i="5"/>
  <c r="H496" i="5"/>
  <c r="H397" i="5"/>
  <c r="H497" i="5"/>
  <c r="H398" i="5"/>
  <c r="H498" i="5"/>
  <c r="H399" i="5"/>
  <c r="H499" i="5"/>
  <c r="H400" i="5"/>
  <c r="H500" i="5"/>
  <c r="H401" i="5"/>
  <c r="H501" i="5"/>
  <c r="H402" i="5"/>
  <c r="H502" i="5"/>
  <c r="H403" i="5"/>
  <c r="H503" i="5"/>
  <c r="H404" i="5"/>
  <c r="H504" i="5"/>
  <c r="H405" i="5"/>
  <c r="H505" i="5"/>
  <c r="H406" i="5"/>
  <c r="H506" i="5"/>
  <c r="H407" i="5"/>
  <c r="H507" i="5"/>
  <c r="H408" i="5"/>
  <c r="H508" i="5"/>
  <c r="H409" i="5"/>
  <c r="H509" i="5"/>
  <c r="H410" i="5"/>
  <c r="H510" i="5"/>
  <c r="H411" i="5"/>
  <c r="H511" i="5"/>
  <c r="H412" i="5"/>
  <c r="H512" i="5"/>
  <c r="H413" i="5"/>
  <c r="H513" i="5"/>
  <c r="H414" i="5"/>
  <c r="H514" i="5"/>
  <c r="H415" i="5"/>
  <c r="H515" i="5"/>
  <c r="H416" i="5"/>
  <c r="H516" i="5"/>
  <c r="H417" i="5"/>
  <c r="H517" i="5"/>
  <c r="H418" i="5"/>
  <c r="H518" i="5"/>
  <c r="H419" i="5"/>
  <c r="H519" i="5"/>
  <c r="H420" i="5"/>
  <c r="H520" i="5"/>
  <c r="H421" i="5"/>
  <c r="H521" i="5"/>
  <c r="H422" i="5"/>
  <c r="H522" i="5"/>
  <c r="H423" i="5"/>
  <c r="H523" i="5"/>
  <c r="H424" i="5"/>
  <c r="H524" i="5"/>
  <c r="H425" i="5"/>
  <c r="H525" i="5"/>
  <c r="H426" i="5"/>
  <c r="H526" i="5"/>
  <c r="H427" i="5"/>
  <c r="H527" i="5"/>
  <c r="H428" i="5"/>
  <c r="H528" i="5"/>
  <c r="H429" i="5"/>
  <c r="H529" i="5"/>
  <c r="H430" i="5"/>
  <c r="H530" i="5"/>
  <c r="H431" i="5"/>
  <c r="H531" i="5"/>
  <c r="H432" i="5"/>
  <c r="H532" i="5"/>
  <c r="H433" i="5"/>
  <c r="H533" i="5"/>
  <c r="H434" i="5"/>
  <c r="H534" i="5"/>
  <c r="H435" i="5"/>
  <c r="H535" i="5"/>
  <c r="H436" i="5"/>
  <c r="H536" i="5"/>
  <c r="H437" i="5"/>
  <c r="H537" i="5"/>
  <c r="H438" i="5"/>
  <c r="H538" i="5"/>
  <c r="H439" i="5"/>
  <c r="H539" i="5"/>
  <c r="H440" i="5"/>
  <c r="H540" i="5"/>
  <c r="H441" i="5"/>
  <c r="H541" i="5"/>
  <c r="H442" i="5"/>
  <c r="H542" i="5"/>
  <c r="H443" i="5"/>
  <c r="H543" i="5"/>
  <c r="H444" i="5"/>
  <c r="H544" i="5"/>
  <c r="H445" i="5"/>
  <c r="H545" i="5"/>
  <c r="H446" i="5"/>
  <c r="H546" i="5"/>
  <c r="H447" i="5"/>
  <c r="H547" i="5"/>
  <c r="H448" i="5"/>
  <c r="H548" i="5"/>
  <c r="H449" i="5"/>
  <c r="H549" i="4"/>
  <c r="H549" i="5"/>
  <c r="H450" i="5"/>
  <c r="H550" i="5"/>
  <c r="H550" i="4"/>
  <c r="H451" i="5"/>
  <c r="H551" i="5"/>
  <c r="H551" i="4"/>
  <c r="H452" i="5"/>
  <c r="H552" i="5"/>
  <c r="H552" i="4"/>
  <c r="H453" i="5"/>
  <c r="H553" i="5"/>
  <c r="H553" i="4"/>
  <c r="H454" i="5"/>
  <c r="H554" i="4"/>
  <c r="H554" i="5"/>
  <c r="H455" i="5"/>
  <c r="H555" i="5"/>
  <c r="H555" i="4"/>
  <c r="H456" i="5"/>
  <c r="H556" i="5"/>
  <c r="H556" i="4"/>
  <c r="H457" i="5"/>
  <c r="H557" i="5"/>
  <c r="H557" i="4"/>
  <c r="H458" i="5"/>
  <c r="H558" i="4"/>
  <c r="H558" i="5"/>
  <c r="H459" i="5"/>
  <c r="H559" i="5"/>
  <c r="H559" i="4"/>
  <c r="H460" i="5"/>
  <c r="H560" i="4"/>
  <c r="H560" i="5"/>
  <c r="H461" i="5"/>
  <c r="H561" i="5"/>
  <c r="H561" i="4"/>
  <c r="H462" i="5"/>
  <c r="H562" i="5"/>
  <c r="H562" i="4"/>
  <c r="H463" i="5"/>
  <c r="H563" i="5"/>
  <c r="H563" i="4"/>
  <c r="H464" i="5"/>
  <c r="H564" i="5"/>
  <c r="H564" i="4"/>
  <c r="H465" i="5"/>
  <c r="H565" i="5"/>
  <c r="H565" i="4"/>
  <c r="H466" i="5"/>
  <c r="H566" i="4"/>
  <c r="H566" i="5"/>
  <c r="H467" i="5"/>
  <c r="H567" i="4"/>
  <c r="H567" i="5"/>
  <c r="H468" i="5"/>
  <c r="H568" i="5"/>
  <c r="H568" i="4"/>
  <c r="H469" i="5"/>
  <c r="H569" i="4"/>
  <c r="H569" i="5"/>
  <c r="H470" i="5"/>
  <c r="H570" i="4"/>
  <c r="H570" i="5"/>
  <c r="H471" i="5"/>
  <c r="H571" i="4"/>
  <c r="H571" i="5"/>
  <c r="H472" i="5"/>
  <c r="H572" i="4"/>
  <c r="H572" i="5"/>
  <c r="H473" i="5"/>
  <c r="H573" i="4"/>
  <c r="H573" i="5"/>
  <c r="H474" i="5"/>
  <c r="H574" i="4"/>
  <c r="H574" i="5"/>
  <c r="H575" i="4"/>
  <c r="H575" i="5"/>
  <c r="H576" i="4"/>
  <c r="H576" i="5"/>
  <c r="H577" i="5"/>
  <c r="H577" i="4"/>
  <c r="H578" i="5"/>
  <c r="H578" i="4"/>
  <c r="H579" i="5"/>
  <c r="H579" i="4"/>
  <c r="H580" i="5"/>
  <c r="H580" i="4"/>
  <c r="H581" i="5"/>
  <c r="H581" i="4"/>
  <c r="H582" i="4"/>
  <c r="H582" i="5"/>
  <c r="H583" i="4"/>
  <c r="H583" i="5"/>
  <c r="H584" i="4"/>
  <c r="H584" i="5"/>
  <c r="H585" i="5"/>
  <c r="H585" i="4"/>
  <c r="H586" i="5"/>
  <c r="H586" i="4"/>
  <c r="H587" i="5"/>
  <c r="H587" i="4"/>
  <c r="H588" i="5"/>
  <c r="H588" i="4"/>
  <c r="H589" i="5"/>
  <c r="H589" i="4"/>
  <c r="H590" i="5"/>
  <c r="H590" i="4"/>
  <c r="H591" i="5"/>
  <c r="H591" i="4"/>
  <c r="H592" i="5"/>
  <c r="H592" i="4"/>
  <c r="H593" i="5"/>
  <c r="H593" i="4"/>
  <c r="H594" i="5"/>
  <c r="H594" i="4"/>
  <c r="H595" i="4"/>
  <c r="H595" i="5"/>
  <c r="H596" i="5"/>
  <c r="H596" i="4"/>
  <c r="H597" i="5"/>
  <c r="H597" i="4"/>
  <c r="H598" i="4"/>
  <c r="H598" i="5"/>
  <c r="H599" i="5"/>
  <c r="H599" i="4"/>
  <c r="H600" i="4"/>
  <c r="H600" i="5"/>
  <c r="H601" i="4"/>
  <c r="H601" i="5"/>
  <c r="H602" i="4"/>
  <c r="H602" i="5"/>
  <c r="H603" i="4"/>
  <c r="H603" i="5"/>
  <c r="H604" i="4"/>
  <c r="H604" i="5"/>
  <c r="H605" i="4"/>
  <c r="H605" i="5"/>
  <c r="H606" i="4"/>
  <c r="H606" i="5"/>
  <c r="H607" i="4"/>
  <c r="H607" i="5"/>
  <c r="H608" i="4"/>
  <c r="H608" i="5"/>
  <c r="H609" i="4"/>
  <c r="H609" i="5"/>
  <c r="H610" i="4"/>
  <c r="H610" i="5"/>
  <c r="H611" i="5"/>
  <c r="H611" i="4"/>
  <c r="H612" i="4"/>
  <c r="H612" i="5"/>
  <c r="H613" i="4"/>
  <c r="H613" i="5"/>
  <c r="H614" i="4"/>
  <c r="H614" i="5"/>
  <c r="H615" i="4"/>
  <c r="H615" i="5"/>
  <c r="H616" i="4"/>
  <c r="H616" i="5"/>
  <c r="H617" i="5"/>
  <c r="H617" i="4"/>
  <c r="H618" i="5"/>
  <c r="H618" i="4"/>
  <c r="H619" i="5"/>
  <c r="H619" i="4"/>
  <c r="H620" i="5"/>
  <c r="H620" i="4"/>
  <c r="H621" i="5"/>
  <c r="H621" i="4"/>
  <c r="H622" i="5"/>
  <c r="H622" i="4"/>
  <c r="H623" i="4"/>
  <c r="H623" i="5"/>
  <c r="H624" i="4"/>
  <c r="H624" i="5"/>
  <c r="H625" i="4"/>
  <c r="H725" i="5"/>
  <c r="H626" i="4"/>
  <c r="H726" i="5"/>
  <c r="H627" i="4"/>
  <c r="H727" i="5"/>
  <c r="H628" i="4"/>
  <c r="H728" i="5"/>
  <c r="H629" i="4"/>
  <c r="H729" i="5"/>
  <c r="H630" i="4"/>
  <c r="H730" i="5"/>
  <c r="H631" i="4"/>
  <c r="H731" i="5"/>
  <c r="H632" i="4"/>
  <c r="H732" i="5"/>
  <c r="H715" i="4"/>
  <c r="H815" i="5"/>
  <c r="H716" i="4"/>
  <c r="H816" i="5"/>
  <c r="H717" i="4"/>
  <c r="H817" i="5"/>
  <c r="H718" i="4"/>
  <c r="H818" i="5"/>
  <c r="H719" i="4"/>
  <c r="H819" i="5"/>
  <c r="H720" i="4"/>
  <c r="H820" i="5"/>
  <c r="H721" i="4"/>
  <c r="H821" i="5"/>
  <c r="H722" i="4"/>
  <c r="H822" i="5"/>
  <c r="H723" i="4"/>
  <c r="H823" i="5"/>
  <c r="H724" i="4"/>
  <c r="H824" i="5"/>
  <c r="H725" i="4"/>
  <c r="H825" i="5"/>
  <c r="H726" i="4"/>
  <c r="H826" i="5"/>
  <c r="H727" i="4"/>
  <c r="H827" i="5"/>
  <c r="H728" i="4"/>
  <c r="H828" i="5"/>
  <c r="H729" i="4"/>
  <c r="H829" i="5"/>
  <c r="H730" i="4"/>
  <c r="H830" i="5"/>
  <c r="H731" i="4"/>
  <c r="H831" i="5"/>
  <c r="H732" i="4"/>
  <c r="H832" i="5"/>
  <c r="H733" i="4"/>
  <c r="H833" i="5"/>
  <c r="H734" i="4"/>
  <c r="H834" i="5"/>
  <c r="H735" i="4"/>
  <c r="H835" i="5"/>
  <c r="H736" i="4"/>
  <c r="H836" i="5"/>
  <c r="H737" i="4"/>
  <c r="H837" i="5"/>
  <c r="H738" i="4"/>
  <c r="H838" i="5"/>
  <c r="H739" i="4"/>
  <c r="H839" i="5"/>
  <c r="H740" i="4"/>
  <c r="H840" i="5"/>
  <c r="H741" i="4"/>
  <c r="H841" i="5"/>
  <c r="H742" i="4"/>
  <c r="H842" i="5"/>
  <c r="H743" i="4"/>
  <c r="H843" i="5"/>
  <c r="H744" i="4"/>
  <c r="H844" i="5"/>
  <c r="H745" i="4"/>
  <c r="H845" i="5"/>
  <c r="H746" i="4"/>
  <c r="H846" i="5"/>
  <c r="H747" i="4"/>
  <c r="H847" i="5"/>
  <c r="H748" i="4"/>
  <c r="H848" i="5"/>
  <c r="H749" i="4"/>
  <c r="H849" i="5"/>
  <c r="H750" i="4"/>
  <c r="H850" i="5"/>
  <c r="H751" i="4"/>
  <c r="H851" i="5"/>
  <c r="H752" i="4"/>
  <c r="H852" i="5"/>
  <c r="H753" i="4"/>
  <c r="H853" i="5"/>
  <c r="H754" i="4"/>
  <c r="H854" i="5"/>
  <c r="H755" i="4"/>
  <c r="H855" i="5"/>
  <c r="H756" i="4"/>
  <c r="H856" i="5"/>
  <c r="H757" i="4"/>
  <c r="H857" i="5"/>
  <c r="H758" i="4"/>
  <c r="H858" i="5"/>
  <c r="H759" i="4"/>
  <c r="H859" i="5"/>
  <c r="H760" i="4"/>
  <c r="H860" i="5"/>
  <c r="H761" i="4"/>
  <c r="H861" i="5"/>
  <c r="H762" i="4"/>
  <c r="H862" i="5"/>
  <c r="H763" i="4"/>
  <c r="H863" i="5"/>
  <c r="H764" i="4"/>
  <c r="H864" i="5"/>
  <c r="H765" i="4"/>
  <c r="H865" i="5"/>
  <c r="H766" i="4"/>
  <c r="H866" i="5"/>
  <c r="H767" i="4"/>
  <c r="H867" i="5"/>
  <c r="H768" i="4"/>
  <c r="H868" i="5"/>
  <c r="H769" i="4"/>
  <c r="H869" i="5"/>
  <c r="H770" i="4"/>
  <c r="H870" i="5"/>
  <c r="H771" i="4"/>
  <c r="H871" i="5"/>
  <c r="H772" i="4"/>
  <c r="H872" i="5"/>
  <c r="H773" i="4"/>
  <c r="H873" i="5"/>
  <c r="H774" i="4"/>
  <c r="H874" i="5"/>
  <c r="H775" i="4"/>
  <c r="H875" i="5"/>
  <c r="H776" i="4"/>
  <c r="H876" i="5"/>
  <c r="H777" i="4"/>
  <c r="H877" i="5"/>
  <c r="H778" i="4"/>
  <c r="H878" i="5"/>
  <c r="H779" i="4"/>
  <c r="H879" i="5"/>
  <c r="H780" i="4"/>
  <c r="H880" i="5"/>
  <c r="H781" i="4"/>
  <c r="H881" i="5"/>
  <c r="H782" i="4"/>
  <c r="H882" i="5"/>
  <c r="H783" i="4"/>
  <c r="H883" i="5"/>
  <c r="H784" i="4"/>
  <c r="H884" i="5"/>
  <c r="H785" i="4"/>
  <c r="H885" i="5"/>
  <c r="H786" i="4"/>
  <c r="H886" i="5"/>
  <c r="H787" i="4"/>
  <c r="H887" i="5"/>
  <c r="H788" i="4"/>
  <c r="H888" i="5"/>
  <c r="H789" i="4"/>
  <c r="H889" i="5"/>
  <c r="H790" i="4"/>
  <c r="H890" i="5"/>
  <c r="H791" i="4"/>
  <c r="H891" i="5"/>
  <c r="H792" i="4"/>
  <c r="H892" i="5"/>
  <c r="H793" i="4"/>
  <c r="H893" i="5"/>
  <c r="H794" i="4"/>
  <c r="H894" i="5"/>
  <c r="H795" i="4"/>
  <c r="H895" i="5"/>
  <c r="H796" i="4"/>
  <c r="H896" i="5"/>
  <c r="H797" i="4"/>
  <c r="H897" i="5"/>
  <c r="H798" i="4"/>
  <c r="H898" i="5"/>
  <c r="H799" i="4"/>
  <c r="H899" i="5"/>
  <c r="H800" i="4"/>
  <c r="H900" i="5"/>
  <c r="H801" i="4"/>
  <c r="H901" i="5"/>
  <c r="H802" i="4"/>
  <c r="H902" i="5"/>
  <c r="H803" i="4"/>
  <c r="H903" i="5"/>
  <c r="H804" i="4"/>
  <c r="H904" i="5"/>
  <c r="H805" i="4"/>
  <c r="H905" i="5"/>
  <c r="H806" i="4"/>
  <c r="H906" i="5"/>
  <c r="H807" i="4"/>
  <c r="H907" i="5"/>
  <c r="H808" i="4"/>
  <c r="H908" i="5"/>
  <c r="H809" i="4"/>
  <c r="H909" i="5"/>
  <c r="H810" i="4"/>
  <c r="H910" i="5"/>
  <c r="H811" i="4"/>
  <c r="H911" i="5"/>
  <c r="H812" i="4"/>
  <c r="H912" i="5"/>
  <c r="H813" i="4"/>
  <c r="H913" i="5"/>
  <c r="H814" i="4"/>
  <c r="H914" i="5"/>
  <c r="H815" i="4"/>
  <c r="H915" i="5"/>
  <c r="H832" i="4"/>
  <c r="H932" i="5"/>
  <c r="H932" i="4"/>
  <c r="H833" i="4"/>
  <c r="H933" i="5"/>
  <c r="H933" i="4"/>
  <c r="H834" i="4"/>
  <c r="H934" i="4"/>
  <c r="H934" i="5"/>
  <c r="H835" i="4"/>
  <c r="H935" i="4"/>
  <c r="H935" i="5"/>
  <c r="H836" i="4"/>
  <c r="H936" i="5"/>
  <c r="H936" i="4"/>
  <c r="H837" i="4"/>
  <c r="H937" i="5"/>
  <c r="H937" i="4"/>
  <c r="H838" i="4"/>
  <c r="H938" i="5"/>
  <c r="H938" i="4"/>
  <c r="H839" i="4"/>
  <c r="H939" i="5"/>
  <c r="H939" i="4"/>
  <c r="H840" i="4"/>
  <c r="H940" i="5"/>
  <c r="H940" i="4"/>
  <c r="H841" i="4"/>
  <c r="H941" i="5"/>
  <c r="H941" i="4"/>
  <c r="H842" i="4"/>
  <c r="H942" i="5"/>
  <c r="H942" i="4"/>
  <c r="H843" i="4"/>
  <c r="H943" i="5"/>
  <c r="H943" i="4"/>
  <c r="H844" i="4"/>
  <c r="H944" i="4"/>
  <c r="H944" i="5"/>
  <c r="H845" i="4"/>
  <c r="H945" i="5"/>
  <c r="H945" i="4"/>
  <c r="H846" i="4"/>
  <c r="H946" i="5"/>
  <c r="H946" i="4"/>
  <c r="H847" i="4"/>
  <c r="H947" i="4"/>
  <c r="H947" i="5"/>
  <c r="H848" i="4"/>
  <c r="H948" i="4"/>
  <c r="H948" i="5"/>
  <c r="H849" i="4"/>
  <c r="H949" i="5"/>
  <c r="H949" i="4"/>
  <c r="H850" i="4"/>
  <c r="H950" i="5"/>
  <c r="H950" i="4"/>
  <c r="H851" i="4"/>
  <c r="H951" i="5"/>
  <c r="H951" i="4"/>
  <c r="H852" i="4"/>
  <c r="H952" i="5"/>
  <c r="H952" i="4"/>
  <c r="H853" i="4"/>
  <c r="H953" i="5"/>
  <c r="H953" i="4"/>
  <c r="H854" i="4"/>
  <c r="H954" i="5"/>
  <c r="H954" i="4"/>
  <c r="H855" i="4"/>
  <c r="H955" i="5"/>
  <c r="H955" i="4"/>
  <c r="H856" i="4"/>
  <c r="H956" i="4"/>
  <c r="H956" i="5"/>
  <c r="H857" i="4"/>
  <c r="H957" i="5"/>
  <c r="H957" i="4"/>
  <c r="H858" i="4"/>
  <c r="H958" i="4"/>
  <c r="H958" i="5"/>
  <c r="H859" i="4"/>
  <c r="H959" i="4"/>
  <c r="H959" i="5"/>
  <c r="H860" i="4"/>
  <c r="H960" i="4"/>
  <c r="H960" i="5"/>
  <c r="H861" i="4"/>
  <c r="H961" i="5"/>
  <c r="H961" i="4"/>
  <c r="H862" i="4"/>
  <c r="H962" i="4"/>
  <c r="H962" i="5"/>
  <c r="H863" i="4"/>
  <c r="H963" i="4"/>
  <c r="H963" i="5"/>
  <c r="H864" i="4"/>
  <c r="H964" i="5"/>
  <c r="H964" i="4"/>
  <c r="H865" i="4"/>
  <c r="H965" i="5"/>
  <c r="H965" i="4"/>
  <c r="H866" i="4"/>
  <c r="H966" i="5"/>
  <c r="H966" i="4"/>
  <c r="H867" i="4"/>
  <c r="H967" i="4"/>
  <c r="H967" i="5"/>
  <c r="H868" i="4"/>
  <c r="H968" i="4"/>
  <c r="H968" i="5"/>
  <c r="H869" i="4"/>
  <c r="H969" i="4"/>
  <c r="H969" i="5"/>
  <c r="H870" i="4"/>
  <c r="H970" i="4"/>
  <c r="H970" i="5"/>
  <c r="H871" i="4"/>
  <c r="H971" i="4"/>
  <c r="H971" i="5"/>
  <c r="H872" i="4"/>
  <c r="H972" i="4"/>
  <c r="H972" i="5"/>
  <c r="H873" i="4"/>
  <c r="H973" i="4"/>
  <c r="H973" i="5"/>
  <c r="H874" i="4"/>
  <c r="H974" i="4"/>
  <c r="H974" i="5"/>
  <c r="H875" i="4"/>
  <c r="H975" i="5"/>
  <c r="H975" i="4"/>
  <c r="H876" i="4"/>
  <c r="H976" i="5"/>
  <c r="H976" i="4"/>
  <c r="H877" i="4"/>
  <c r="H977" i="5"/>
  <c r="H977" i="4"/>
  <c r="H878" i="4"/>
  <c r="H978" i="5"/>
  <c r="H978" i="4"/>
  <c r="H879" i="4"/>
  <c r="H979" i="4"/>
  <c r="H979" i="5"/>
  <c r="H880" i="4"/>
  <c r="H980" i="4"/>
  <c r="H980" i="5"/>
  <c r="H881" i="4"/>
  <c r="H981" i="5"/>
  <c r="H981" i="4"/>
  <c r="H882" i="4"/>
  <c r="H982" i="4"/>
  <c r="H982" i="5"/>
  <c r="H883" i="4"/>
  <c r="H983" i="4"/>
  <c r="H983" i="5"/>
  <c r="H884" i="4"/>
  <c r="H984" i="4"/>
  <c r="H984" i="5"/>
  <c r="H885" i="4"/>
  <c r="H985" i="4"/>
  <c r="H985" i="5"/>
  <c r="H886" i="4"/>
  <c r="H986" i="4"/>
  <c r="H986" i="5"/>
  <c r="H887" i="4"/>
  <c r="H987" i="4"/>
  <c r="H987" i="5"/>
  <c r="H888" i="4"/>
  <c r="H988" i="4"/>
  <c r="H988" i="5"/>
  <c r="H889" i="4"/>
  <c r="H989" i="4"/>
  <c r="H989" i="5"/>
  <c r="H890" i="4"/>
  <c r="H990" i="4"/>
  <c r="H990" i="5"/>
  <c r="H891" i="4"/>
  <c r="H991" i="5"/>
  <c r="H991" i="4"/>
  <c r="H892" i="4"/>
  <c r="H992" i="5"/>
  <c r="H992" i="4"/>
  <c r="H893" i="4"/>
  <c r="H993" i="5"/>
  <c r="H993" i="4"/>
  <c r="H894" i="4"/>
  <c r="H994" i="5"/>
  <c r="H994" i="4"/>
  <c r="H895" i="4"/>
  <c r="H995" i="5"/>
  <c r="H995" i="4"/>
  <c r="H896" i="4"/>
  <c r="H996" i="5"/>
  <c r="H996" i="4"/>
  <c r="H897" i="4"/>
  <c r="H997" i="5"/>
  <c r="H997" i="4"/>
  <c r="H898" i="4"/>
  <c r="H998" i="5"/>
  <c r="H998" i="4"/>
  <c r="H899" i="4"/>
  <c r="H999" i="5"/>
  <c r="H999" i="4"/>
  <c r="H900" i="4"/>
  <c r="H1000" i="4"/>
  <c r="H1000" i="5"/>
  <c r="H901" i="4"/>
  <c r="H1001" i="5"/>
  <c r="H1001" i="4"/>
  <c r="H902" i="4"/>
  <c r="H1002" i="5"/>
  <c r="H1002" i="4"/>
  <c r="H903" i="4"/>
  <c r="H1003" i="5"/>
  <c r="H1003" i="4"/>
  <c r="H904" i="4"/>
  <c r="H1004" i="5"/>
  <c r="H1004" i="4"/>
  <c r="H905" i="4"/>
  <c r="H1005" i="5"/>
  <c r="H1005" i="4"/>
  <c r="H906" i="4"/>
  <c r="H1006" i="5"/>
  <c r="H1006" i="4"/>
  <c r="H907" i="4"/>
  <c r="H1007" i="5"/>
  <c r="H1007" i="4"/>
  <c r="H908" i="4"/>
  <c r="H1008" i="5"/>
  <c r="H1008" i="4"/>
  <c r="H909" i="4"/>
  <c r="H1009" i="5"/>
  <c r="H1009" i="4"/>
  <c r="H910" i="4"/>
  <c r="H1010" i="4"/>
  <c r="H1010" i="5"/>
  <c r="H911" i="4"/>
  <c r="H1011" i="4"/>
  <c r="H1011" i="5"/>
  <c r="H912" i="4"/>
  <c r="H1012" i="4"/>
  <c r="H1012" i="5"/>
  <c r="H913" i="4"/>
  <c r="H1013" i="4"/>
  <c r="H1013" i="5"/>
  <c r="H914" i="4"/>
  <c r="H1014" i="4"/>
  <c r="H1014" i="5"/>
  <c r="H915" i="4"/>
  <c r="H1015" i="4"/>
  <c r="H1015" i="5"/>
  <c r="H1016" i="4"/>
  <c r="H1016" i="5"/>
  <c r="H1017" i="4"/>
  <c r="H1017" i="5"/>
  <c r="H1018" i="5"/>
  <c r="H1018" i="4"/>
  <c r="H1019" i="5"/>
  <c r="H1019" i="4"/>
  <c r="H1020" i="5"/>
  <c r="H1020" i="4"/>
  <c r="H1021" i="5"/>
  <c r="H1021" i="4"/>
  <c r="H1022" i="5"/>
  <c r="H1022" i="4"/>
  <c r="H1023" i="5"/>
  <c r="H1023" i="4"/>
  <c r="H1024" i="4"/>
  <c r="H1024" i="5"/>
  <c r="H1025" i="5"/>
  <c r="H1025" i="4"/>
  <c r="H1026" i="4"/>
  <c r="H1026" i="5"/>
  <c r="H1027" i="5"/>
  <c r="H1027" i="4"/>
  <c r="H1028" i="5"/>
  <c r="H1028" i="4"/>
  <c r="H1029" i="5"/>
  <c r="H1029" i="4"/>
  <c r="H1030" i="5"/>
  <c r="H1030" i="4"/>
  <c r="H1031" i="5"/>
  <c r="H1031" i="4"/>
  <c r="H1032" i="5"/>
  <c r="H1032" i="4"/>
  <c r="H1033" i="5"/>
  <c r="H1033" i="4"/>
  <c r="H1034" i="5"/>
  <c r="H1034" i="4"/>
  <c r="H1035" i="4"/>
  <c r="H1035" i="5"/>
  <c r="H1036" i="4"/>
  <c r="H1036" i="5"/>
  <c r="H1037" i="4"/>
  <c r="H1037" i="5"/>
  <c r="H1038" i="4"/>
  <c r="H1038" i="5"/>
  <c r="H1039" i="4"/>
  <c r="H1039" i="5"/>
  <c r="H1040" i="4"/>
  <c r="H1040" i="5"/>
  <c r="H1041" i="4"/>
  <c r="H1041" i="5"/>
  <c r="H1042" i="4"/>
  <c r="H1042" i="5"/>
  <c r="H1043" i="4"/>
  <c r="H1043" i="5"/>
  <c r="H2" i="4"/>
  <c r="H2" i="5"/>
  <c r="H3" i="4"/>
  <c r="H3" i="5"/>
  <c r="H4" i="4"/>
  <c r="H4" i="5"/>
  <c r="H5" i="5"/>
  <c r="H5" i="4"/>
  <c r="H6" i="4"/>
  <c r="H6" i="5"/>
  <c r="H7" i="4"/>
  <c r="H7" i="5"/>
  <c r="H8" i="4"/>
  <c r="H8" i="5"/>
  <c r="H9" i="4"/>
  <c r="H9" i="5"/>
  <c r="H10" i="5"/>
  <c r="H10" i="4"/>
  <c r="H11" i="5"/>
  <c r="H11" i="4"/>
  <c r="H12" i="5"/>
  <c r="H12" i="4"/>
  <c r="H13" i="5"/>
  <c r="H13" i="4"/>
  <c r="H14" i="5"/>
  <c r="H14" i="4"/>
  <c r="H15" i="5"/>
  <c r="H15" i="4"/>
  <c r="H16" i="4"/>
  <c r="H16" i="5"/>
  <c r="H17" i="5"/>
  <c r="H17" i="4"/>
  <c r="H916" i="5"/>
  <c r="H916" i="4"/>
  <c r="H917" i="5"/>
  <c r="H917" i="4"/>
  <c r="H918" i="5"/>
  <c r="H918" i="4"/>
  <c r="H919" i="5"/>
  <c r="H919" i="4"/>
  <c r="H920" i="5"/>
  <c r="H920" i="4"/>
  <c r="H921" i="5"/>
  <c r="H921" i="4"/>
  <c r="H922" i="5"/>
  <c r="H922" i="4"/>
  <c r="H923" i="4"/>
  <c r="H923" i="5"/>
  <c r="H924" i="4"/>
  <c r="H924" i="5"/>
  <c r="H925" i="4"/>
  <c r="H925" i="5"/>
  <c r="H926" i="4"/>
  <c r="H926" i="5"/>
  <c r="H927" i="4"/>
  <c r="H927" i="5"/>
  <c r="H928" i="5"/>
  <c r="H928" i="4"/>
  <c r="H929" i="5"/>
  <c r="H929" i="4"/>
  <c r="H930" i="5"/>
  <c r="H930" i="4"/>
  <c r="H931" i="4"/>
  <c r="H931" i="5"/>
</calcChain>
</file>

<file path=xl/sharedStrings.xml><?xml version="1.0" encoding="utf-8"?>
<sst xmlns="http://schemas.openxmlformats.org/spreadsheetml/2006/main" count="8953" uniqueCount="346">
  <si>
    <t>OVP60227cf</t>
  </si>
  <si>
    <t>WNJ39833gm</t>
  </si>
  <si>
    <t>GZR74544gy</t>
  </si>
  <si>
    <t>JCG46776vt</t>
  </si>
  <si>
    <t>BZY84392al</t>
  </si>
  <si>
    <t>VAI27858eo</t>
  </si>
  <si>
    <t>WLA72030fi</t>
  </si>
  <si>
    <t>LPB30949bv</t>
  </si>
  <si>
    <t>GOC42881px</t>
  </si>
  <si>
    <t>XDF12820ir</t>
  </si>
  <si>
    <t>JTY66568ab</t>
  </si>
  <si>
    <t>PCY81777xu</t>
  </si>
  <si>
    <t>JGD49544db</t>
  </si>
  <si>
    <t>MJZ74276gm</t>
  </si>
  <si>
    <t>BMJ31234eq</t>
  </si>
  <si>
    <t>ABS01137oq</t>
  </si>
  <si>
    <t>PBR62140zd</t>
  </si>
  <si>
    <t>WBO33198ot</t>
  </si>
  <si>
    <t>VJT76037py</t>
  </si>
  <si>
    <t>XHW94189wg</t>
  </si>
  <si>
    <t>BQY08319vl</t>
  </si>
  <si>
    <t>ZOA34374mt</t>
  </si>
  <si>
    <t>RQP11655zi</t>
  </si>
  <si>
    <t>YFB97062xj</t>
  </si>
  <si>
    <t>HPT27954kx</t>
  </si>
  <si>
    <t>CKQ72473xh</t>
  </si>
  <si>
    <t>SDI07287zg</t>
  </si>
  <si>
    <t>QJY78975xx</t>
  </si>
  <si>
    <t>BAK65354tq</t>
  </si>
  <si>
    <t>LQK10370cq</t>
  </si>
  <si>
    <t>OFD38290ot</t>
  </si>
  <si>
    <t>YOB39332fb</t>
  </si>
  <si>
    <t>OXQ92940zy</t>
  </si>
  <si>
    <t>APP25444qf</t>
  </si>
  <si>
    <t>MCP47147zi</t>
  </si>
  <si>
    <t>XAD87761af</t>
  </si>
  <si>
    <t>DRI02640jp</t>
  </si>
  <si>
    <t>BUP87361ic</t>
  </si>
  <si>
    <t>TVC53544pg</t>
  </si>
  <si>
    <t>ZYA28990gg</t>
  </si>
  <si>
    <t>QUD09671nj</t>
  </si>
  <si>
    <t>CQJ42395dk</t>
  </si>
  <si>
    <t>ZGO86289zp</t>
  </si>
  <si>
    <t>YBP06973su</t>
  </si>
  <si>
    <t>PGA57952tx</t>
  </si>
  <si>
    <t>YKM51345rw</t>
  </si>
  <si>
    <t>LRR57611gc</t>
  </si>
  <si>
    <t>ARC26851vu</t>
  </si>
  <si>
    <t>NNY89064ob</t>
  </si>
  <si>
    <t>JSS50609th</t>
  </si>
  <si>
    <t>CPL55956ua</t>
  </si>
  <si>
    <t>KNH99031ok</t>
  </si>
  <si>
    <t>CJR13440zu</t>
  </si>
  <si>
    <t>TXE16784vj</t>
  </si>
  <si>
    <t>EKL10338nr</t>
  </si>
  <si>
    <t>UBA60393vv</t>
  </si>
  <si>
    <t>PQU83927tz</t>
  </si>
  <si>
    <t>LPA00333yf</t>
  </si>
  <si>
    <t>RXY39708bo</t>
  </si>
  <si>
    <t>XBV42166np</t>
  </si>
  <si>
    <t>VRT72609qa</t>
  </si>
  <si>
    <t>NEN34186mr</t>
  </si>
  <si>
    <t>IGE52059rs</t>
  </si>
  <si>
    <t>KSA79823ta</t>
  </si>
  <si>
    <t>AWE86553lb</t>
  </si>
  <si>
    <t>USJ25734gc</t>
  </si>
  <si>
    <t>RCA91956mi</t>
  </si>
  <si>
    <t>UXC51133bj</t>
  </si>
  <si>
    <t>URL96021wh</t>
  </si>
  <si>
    <t>GMM05130fq</t>
  </si>
  <si>
    <t>LCF17413kn</t>
  </si>
  <si>
    <t>KDF35765ns</t>
  </si>
  <si>
    <t>CGL78428bi</t>
  </si>
  <si>
    <t>QWP09696fv</t>
  </si>
  <si>
    <t>XWI39898cl</t>
  </si>
  <si>
    <t>BSZ15393or</t>
  </si>
  <si>
    <t>QWR73562fp</t>
  </si>
  <si>
    <t>RXY68626yj</t>
  </si>
  <si>
    <t>NPA40850el</t>
  </si>
  <si>
    <t>DMJ60585ex</t>
  </si>
  <si>
    <t>DWS80052jt</t>
  </si>
  <si>
    <t>PBW91252br</t>
  </si>
  <si>
    <t>XRJ71787yc</t>
  </si>
  <si>
    <t>UDT27710qe</t>
  </si>
  <si>
    <t>DAS61546hl</t>
  </si>
  <si>
    <t>QQY75684zh</t>
  </si>
  <si>
    <t>QFZ47094lj</t>
  </si>
  <si>
    <t>TCO48434zf</t>
  </si>
  <si>
    <t>YWP66519xo</t>
  </si>
  <si>
    <t>UAM51525zs</t>
  </si>
  <si>
    <t>UOT01483nx</t>
  </si>
  <si>
    <t>KXJ20268ur</t>
  </si>
  <si>
    <t>UPF42692ng</t>
  </si>
  <si>
    <t>LVY78103rt</t>
  </si>
  <si>
    <t>None</t>
  </si>
  <si>
    <t>MMT85033aa</t>
  </si>
  <si>
    <t>XOU76011bq</t>
  </si>
  <si>
    <t>UGG38599vg</t>
  </si>
  <si>
    <t>NUC71080hy</t>
  </si>
  <si>
    <t>IMK68238zx</t>
  </si>
  <si>
    <t>AOY53449sm</t>
  </si>
  <si>
    <t>1+C18:C32</t>
  </si>
  <si>
    <t>Solar Panels</t>
  </si>
  <si>
    <t>Electricity supplier</t>
  </si>
  <si>
    <t>Bedrooms</t>
  </si>
  <si>
    <t>Electric Reading (Price)</t>
  </si>
  <si>
    <t>Gas Reading (Price)</t>
  </si>
  <si>
    <t>Reading Year</t>
  </si>
  <si>
    <t>Reading Month</t>
  </si>
  <si>
    <t>Reading Day</t>
  </si>
  <si>
    <t>Customer ID</t>
  </si>
  <si>
    <t>F</t>
  </si>
  <si>
    <t>Mpower</t>
  </si>
  <si>
    <t>Variable</t>
  </si>
  <si>
    <t>Gas</t>
  </si>
  <si>
    <t>Semi Detached</t>
  </si>
  <si>
    <t>26 Hill Street, North Leon, Worcestershire, W1S 9BD</t>
  </si>
  <si>
    <t>Matthias Edwin-Ampofo</t>
  </si>
  <si>
    <t>A</t>
  </si>
  <si>
    <t>Scottish Gas</t>
  </si>
  <si>
    <t>Welsh Power</t>
  </si>
  <si>
    <t>Fixed</t>
  </si>
  <si>
    <t>Bungalow</t>
  </si>
  <si>
    <t>19 Roberts Green, Daleton, Monmouthshire, N34 2SW</t>
  </si>
  <si>
    <t>Yan Jones</t>
  </si>
  <si>
    <t>Electric</t>
  </si>
  <si>
    <t>26 Savage Green, East Liamberg, Worcestershire, M91 7RG</t>
  </si>
  <si>
    <t>Oliver Hunt-Magrath</t>
  </si>
  <si>
    <t>B</t>
  </si>
  <si>
    <t>Maisonette</t>
  </si>
  <si>
    <t>38 Hudson Way, Christineport, Armagh, LE5 9BR</t>
  </si>
  <si>
    <t>Karl Macdonald</t>
  </si>
  <si>
    <t>74 Peters Avenue, Katiefort, Worcestershire, ME9P 8BX</t>
  </si>
  <si>
    <t>Ragnhild Nielsen-Iversen</t>
  </si>
  <si>
    <t>E</t>
  </si>
  <si>
    <t>SSW</t>
  </si>
  <si>
    <t>Squid Energy</t>
  </si>
  <si>
    <t>End of Terrace</t>
  </si>
  <si>
    <t>52 Taylor Street, New Glenhaven, Shetland Islands, L6W 8ZL</t>
  </si>
  <si>
    <t>Beverley Amoasi-Asamoa</t>
  </si>
  <si>
    <t>5 Harper Avenue, West Geoffrey, West Sussex, G0 8SJ</t>
  </si>
  <si>
    <t>Nicola Steffensen</t>
  </si>
  <si>
    <t>Flat</t>
  </si>
  <si>
    <t>Flat 16, 59 Newton Green, South Fionashire, Armagh, E7F 2GA</t>
  </si>
  <si>
    <t>Caroline Edwards</t>
  </si>
  <si>
    <t>Mid Terrace</t>
  </si>
  <si>
    <t>56 Barber Way, New Gordon, Suffolk, BT2B 5LB</t>
  </si>
  <si>
    <t>Valentine Nyaako-Boulanger</t>
  </si>
  <si>
    <t>55 Browne Avenue, New Anthony, South Ayrshire, S1T 7ZL</t>
  </si>
  <si>
    <t>Alex Bruun</t>
  </si>
  <si>
    <t>C</t>
  </si>
  <si>
    <t>Detached</t>
  </si>
  <si>
    <t>46 Barker Road, South Yvonnebury, West Midlands, N0S 0DH</t>
  </si>
  <si>
    <t>Michelle Jørgensen-Georges</t>
  </si>
  <si>
    <t>Flat 24, 47 Ahmed Way, Newtonstad, Shetland Islands, RG0 2SL</t>
  </si>
  <si>
    <t>Lucas Kusi</t>
  </si>
  <si>
    <t>47 Boyle Street, Hamiltonfurt, Monmouthshire, PL9 9ZX</t>
  </si>
  <si>
    <t>Georgia Nestor</t>
  </si>
  <si>
    <t>12 George Green, North Junemouth, Dorset, NN8X 6DW</t>
  </si>
  <si>
    <t>Charlie Schmitt</t>
  </si>
  <si>
    <t>D</t>
  </si>
  <si>
    <t>2 Phillips Road, West Matthew, West Midlands, EC1B 8RZ</t>
  </si>
  <si>
    <t>Aidan Chhabra</t>
  </si>
  <si>
    <t>22 Moss Way, Bethshire, Antrim, W9W 2RJ</t>
  </si>
  <si>
    <t>Joanna Waters</t>
  </si>
  <si>
    <t>52 Stone Court, Philipton, Anglesey, S13 0NE</t>
  </si>
  <si>
    <t>Logan Douglas</t>
  </si>
  <si>
    <t>71 Wood Avenue, East Ambermouth, Radnorshire, L5G 9XE</t>
  </si>
  <si>
    <t>Kathy Maillot</t>
  </si>
  <si>
    <t>18 Smith Street, Port Geoffreyhaven, Dumfries and Galloway, SA5A 8TN</t>
  </si>
  <si>
    <t>Rebecca Quilty-Delaney</t>
  </si>
  <si>
    <t>78 Mitchell Way, North Jasmineborough, Angus, M1 7TQ</t>
  </si>
  <si>
    <t>Kyle Oppong</t>
  </si>
  <si>
    <t>57 North Avenue, Kennedymouth, City of Edinburgh, B6 7XP</t>
  </si>
  <si>
    <t>Carla Peron</t>
  </si>
  <si>
    <t>18 Shah Avenue, Johnsonland, Surrey, M0 6BQ</t>
  </si>
  <si>
    <t>Linda Smith-Perrot</t>
  </si>
  <si>
    <t>49 Short Street, Gillianview, Armagh, M0G 1HA</t>
  </si>
  <si>
    <t>Indranil Acheampong</t>
  </si>
  <si>
    <t>25 Webb Court, South Gailville, East Sussex, M8 6TG</t>
  </si>
  <si>
    <t>Rohan Davies</t>
  </si>
  <si>
    <t>64 James Road, Juliaburgh, Somerset, W72 6UF</t>
  </si>
  <si>
    <t>Léon Schultz-Thompson</t>
  </si>
  <si>
    <t>69 Wheeler Street, Jeanchester, North Lanarkshire, M5 9QA</t>
  </si>
  <si>
    <t>Janet Davies</t>
  </si>
  <si>
    <t>30 Watson Way, New Louisehaven, Surrey, RG3A 6PX</t>
  </si>
  <si>
    <t>Alanna Kneafsey</t>
  </si>
  <si>
    <t>13 Andrews Court, Danielberg, Falkirk, E38 5JJ</t>
  </si>
  <si>
    <t>Ulf Dawson</t>
  </si>
  <si>
    <t>Flat 3, 48 Oliver Street, Smithfurt, Surrey, PE74 2XE</t>
  </si>
  <si>
    <t>Karina Akyeampong</t>
  </si>
  <si>
    <t>Flat 4, 48 Brown Green, Port Suzanne, Denbighshire, DE4 0QH</t>
  </si>
  <si>
    <t>Agnès Matthews</t>
  </si>
  <si>
    <t>80 Swift Court, Chandlerfurt, Greater Manchester, RM3A 1RN</t>
  </si>
  <si>
    <t>Thea Patel</t>
  </si>
  <si>
    <t>Flat 24, 22 Reed Street, New Denise, Antrim, M95 8LZ</t>
  </si>
  <si>
    <t>Virginie Allard</t>
  </si>
  <si>
    <t>38 Wright Way, Lake Trevormouth, West Lothian, S7J 1DU</t>
  </si>
  <si>
    <t>Olivia Ahluwalia-Valette</t>
  </si>
  <si>
    <t>54 Bond Avenue, North Rachael, Denbighshire, UB7 8ZU</t>
  </si>
  <si>
    <t>Jeffrey Flavin-Wright</t>
  </si>
  <si>
    <t>56 Schofield Way, South Rogerfort, Denbighshire, TF84 7UQ</t>
  </si>
  <si>
    <t>Akwasi Toft</t>
  </si>
  <si>
    <t>Flat 21, 58 Ahmed Green, West Kerryshire, West Yorkshire, G16 1SH</t>
  </si>
  <si>
    <t>Mathew Wiafe</t>
  </si>
  <si>
    <t>40 Woodward Road, Kirstyshire, Pembrokeshire, IM1B 4LR</t>
  </si>
  <si>
    <t>Marlene Bertelsen</t>
  </si>
  <si>
    <t>46 Saunders Avenue, Elliotttown, Merseyside, GY7 7WZ</t>
  </si>
  <si>
    <t>Adam Ata</t>
  </si>
  <si>
    <t>26 Welch Way, Neilshire, South Lanarkshire, G8 7EE</t>
  </si>
  <si>
    <t>Piaras Bech</t>
  </si>
  <si>
    <t>76 Johnson Court, North Amelia, West Dunbartonshire, TQ1 5XY</t>
  </si>
  <si>
    <t>Zacharie Lauridsen-Nash</t>
  </si>
  <si>
    <t>70 Young Way, Lake Frankmouth, Norfolk, L21 9WJ</t>
  </si>
  <si>
    <t>Aimé McRann-Flynn</t>
  </si>
  <si>
    <t>14 Hope Avenue, New George, Merseyside, TW27 4QE</t>
  </si>
  <si>
    <t>Prerak Ghosh</t>
  </si>
  <si>
    <t>44 Williams Road, Lake Billymouth, Lincolnshire, N6 7DY</t>
  </si>
  <si>
    <t>Vivaan Kermody</t>
  </si>
  <si>
    <t>DEF Energy</t>
  </si>
  <si>
    <t>58 Law Court, Lake Jemma, East Renfrewshire, B8J 5YL</t>
  </si>
  <si>
    <t>Hollie West</t>
  </si>
  <si>
    <t>77 Watkins Green, Lawrenceborough, Perth and Kinross, E5B 3QH</t>
  </si>
  <si>
    <t>Esben Simmons</t>
  </si>
  <si>
    <t>12 Taylor Road, West Helen, Norfolk, OL60 3EW</t>
  </si>
  <si>
    <t>Samantha Stanley</t>
  </si>
  <si>
    <t>37 Bruce Way, East Natashabury, Shetland Islands, G8 4QL</t>
  </si>
  <si>
    <t>Umang Sodhi</t>
  </si>
  <si>
    <t>Flat 7, 66 Wilkinson Road, Phillipsberg, Carmarthenshire, S0A 6QF</t>
  </si>
  <si>
    <t>Sara Hunt</t>
  </si>
  <si>
    <t>Flat 24, 27 Gray Avenue, Rickyshire, Angus, L1 2YQ</t>
  </si>
  <si>
    <t>Nicholas Dos Santos</t>
  </si>
  <si>
    <t>Flat 17, 22 Chan Road, Lake Leannehaven, Shropshire, IV63 7ZL</t>
  </si>
  <si>
    <t>Auguste Sarpong-Ansomah</t>
  </si>
  <si>
    <t>77 Slater Green, New Ryanstad, North Lanarkshire, M73 5WR</t>
  </si>
  <si>
    <t>Tonicha Agyapong</t>
  </si>
  <si>
    <t>55 Williams Court, Allenland, Lancashire, DT15 8XH</t>
  </si>
  <si>
    <t>Amelia O'Hurley</t>
  </si>
  <si>
    <t>52 White Court, Port Jeffrey, Cornwall, M5 7PD</t>
  </si>
  <si>
    <t>Nicole Pons</t>
  </si>
  <si>
    <t>17 Miller Street, Lake James, Perth and Kinross, SG2N 6WQ</t>
  </si>
  <si>
    <t>Rohan Hope</t>
  </si>
  <si>
    <t>59 Bradley Court, East Brendaland, Carmarthenshire, E3 0YA</t>
  </si>
  <si>
    <t>Amy Adu</t>
  </si>
  <si>
    <t>65 Evans Road, Port Kennethport, City of Edinburgh, E9G 5RY</t>
  </si>
  <si>
    <t>Mik Owen</t>
  </si>
  <si>
    <t>40 Bryant Way, West Abigailfurt, Down, WD27 8JP</t>
  </si>
  <si>
    <t>Janet Iversen</t>
  </si>
  <si>
    <t>3 Carroll Green, Nathanmouth, Oxfordshire, GY35 9DP</t>
  </si>
  <si>
    <t>Rita Griffin</t>
  </si>
  <si>
    <t>47 Brennan Way, North Nicholas, Tyne and Wear, G6F 1BD</t>
  </si>
  <si>
    <t>Mik Besson</t>
  </si>
  <si>
    <t>72 Welch Road, Laurenshire, Shropshire, CW70 7UJ</t>
  </si>
  <si>
    <t>Susanne Bonsra</t>
  </si>
  <si>
    <t>27 Johnson Road, Markville, Moray, W3 1HS</t>
  </si>
  <si>
    <t>Martin Amponsah</t>
  </si>
  <si>
    <t>38 Higgins Road, Williamsport, Nottinghamshire, N2 9PX</t>
  </si>
  <si>
    <t>Aayush Lauritsen</t>
  </si>
  <si>
    <t>2 Chambers Street, Morleytown, Merionethshire, M2 9SD</t>
  </si>
  <si>
    <t>Odeline Nyame</t>
  </si>
  <si>
    <t>71 Williams Way, Phillipsstad, West Dunbartonshire, ML3V 7GH</t>
  </si>
  <si>
    <t>Robert McKevitt-Chevallier</t>
  </si>
  <si>
    <t>75 Ali Green, Dobsonville, Stirling, HA3 0TT</t>
  </si>
  <si>
    <t>Katy Faull</t>
  </si>
  <si>
    <t>71 Ellis Way, West Marian, Oxfordshire, PL0B 2ZW</t>
  </si>
  <si>
    <t>Ronnie Beatty</t>
  </si>
  <si>
    <t>22 Williams Street, Evanston, West Dunbartonshire, DN4E 7UD</t>
  </si>
  <si>
    <t>Diya Bryant-Neveu</t>
  </si>
  <si>
    <t>42 Robertson Way, Port Jenniferview, Essex, L64 2UJ</t>
  </si>
  <si>
    <t>Lynne Thomas</t>
  </si>
  <si>
    <t>22 Turner Green, Nashbury, Perth and Kinross, ZE1E 5LS</t>
  </si>
  <si>
    <t>Lærke Kilmore</t>
  </si>
  <si>
    <t>47 Young Green, East Hollie, Tyrone, B6D 4HE</t>
  </si>
  <si>
    <t>Marie Wali</t>
  </si>
  <si>
    <t>50 Brown Road, Dianebury, Clackmannanshire, N34 8DN</t>
  </si>
  <si>
    <t>Mary Wood</t>
  </si>
  <si>
    <t>41 Ali Road, North Billy, Greater Manchester, WR8A 8AD</t>
  </si>
  <si>
    <t>Kanav Goff</t>
  </si>
  <si>
    <t>33 Cook Way, Rileyshire, Armagh, W2T 0SS</t>
  </si>
  <si>
    <t>Judith Jones-Vestergaard</t>
  </si>
  <si>
    <t>50 Farmer Green, New Alexburgh, Eilean Siar, E30 1NB</t>
  </si>
  <si>
    <t>Misha Agyapong-Ghosh</t>
  </si>
  <si>
    <t>50 Kelly Way, Owenville, Essex, AB92 5US</t>
  </si>
  <si>
    <t>Antoine Ravi</t>
  </si>
  <si>
    <t>44 Reid Green, Kellymouth, North Ayrshire, E5A 5GN</t>
  </si>
  <si>
    <t>Amalie Holst</t>
  </si>
  <si>
    <t>28 Duncan Green, Griffithshaven, Fermanagh, HP4N 5HS</t>
  </si>
  <si>
    <t>Rati Amoako-Batta</t>
  </si>
  <si>
    <t>E. OFF.</t>
  </si>
  <si>
    <t>15 Morris Street, McDonaldborough, North Lanarkshire, DE17 4DF</t>
  </si>
  <si>
    <t>Gemma Swift-Sha</t>
  </si>
  <si>
    <t>44 Roberts Avenue, North Brettville, Cambridgeshire, DH3 3XT</t>
  </si>
  <si>
    <t>Gina Morel</t>
  </si>
  <si>
    <t>33 Davies Way, New Josephineberg, Cambridgeshire, M4W 6EL</t>
  </si>
  <si>
    <t>Pierce O'Shiel</t>
  </si>
  <si>
    <t>68 Foster Avenue, Port Kellystad, Falkirk, HA82 3RS</t>
  </si>
  <si>
    <t>Naoimh Koch</t>
  </si>
  <si>
    <t>Flat 4, 72 Cole Way, New Georgemouth, Greater London, ML1 2DT</t>
  </si>
  <si>
    <t>Rowan Burke</t>
  </si>
  <si>
    <t>70 Parker Green, Palmerburgh, Dumfries and Galloway, CF8 6HR</t>
  </si>
  <si>
    <t>Lucy Darko</t>
  </si>
  <si>
    <t>21 Gregory Road, Wellstown, Inverclyde, RM4 8YX</t>
  </si>
  <si>
    <t>Tonny MacGill</t>
  </si>
  <si>
    <t>32 Collins Road, South Reece, Durham, M6J 1XN</t>
  </si>
  <si>
    <t>Padraic Dada</t>
  </si>
  <si>
    <t>26 Harris Green, Charlenestad, Scottish Borders, L8 2SH</t>
  </si>
  <si>
    <t>Margot Hamon</t>
  </si>
  <si>
    <t>29 Carpenter Avenue, East Samantha, Orkney Islands, G2T 9YD</t>
  </si>
  <si>
    <t>Emer Agyemang</t>
  </si>
  <si>
    <t>18 Turner Green, West Samuelfurt, Shropshire, L00 2AN</t>
  </si>
  <si>
    <t>Denise Tailor</t>
  </si>
  <si>
    <t>5 Adams Avenue, Porterville, Hampshire, N1A 6YL</t>
  </si>
  <si>
    <t>Mads Shankar</t>
  </si>
  <si>
    <t>2 Singh Avenue, North Lydiachester, Greater Manchester, E25 9AN</t>
  </si>
  <si>
    <t>Bradley Cole</t>
  </si>
  <si>
    <t>69 Young Green, Ashleyborough, North Ayrshire, AB8 7AU</t>
  </si>
  <si>
    <t>Fiifi Phillips</t>
  </si>
  <si>
    <t>72 Holmes Street, New Alicemouth, Buckinghamshire, B81 9JJ</t>
  </si>
  <si>
    <t>Lawrence Sem-Leroux</t>
  </si>
  <si>
    <t>5 Gibbons Green, North Kellytown, Northamptonshire, BH1 0NR</t>
  </si>
  <si>
    <t>Sheree Brown</t>
  </si>
  <si>
    <t>9 Morton Court, Graemestad, Wiltshire, N66 0HZ</t>
  </si>
  <si>
    <t>Ishita Deshpande</t>
  </si>
  <si>
    <t>9 Henderson Court, South Paigeview, Somerset, SS9 1NF</t>
  </si>
  <si>
    <t>Danielle Harris</t>
  </si>
  <si>
    <t>20 Humphries Green, West Jeremymouth, Greater London, SK55 1AF</t>
  </si>
  <si>
    <t>Gorm Tuohey-Martel</t>
  </si>
  <si>
    <t>47 Johnson Avenue, North Linda, Moray, E31 8TA</t>
  </si>
  <si>
    <t>Einar Afrakomaa</t>
  </si>
  <si>
    <t>20 Oliver Road, West Lesley, Fife, G19 5UG</t>
  </si>
  <si>
    <t>Maria Hamel</t>
  </si>
  <si>
    <t>75 Frost Avenue, New Garry, Clackmannanshire, W8K 7UE</t>
  </si>
  <si>
    <t>Anouk Venkataraman</t>
  </si>
  <si>
    <t>10 Greenwood Green, East Leahland, East Lothian, W19 8SB</t>
  </si>
  <si>
    <t>Tove Okyere-Field</t>
  </si>
  <si>
    <t>Insulated</t>
  </si>
  <si>
    <t>EPC Rating</t>
  </si>
  <si>
    <t>Electricity Supplier</t>
  </si>
  <si>
    <t>Gas Supplier</t>
  </si>
  <si>
    <t>Renewable Sources</t>
  </si>
  <si>
    <t>Tariff Type</t>
  </si>
  <si>
    <t>Boiler Fuel Type</t>
  </si>
  <si>
    <t>House Type</t>
  </si>
  <si>
    <t>Customer Address</t>
  </si>
  <si>
    <t>Account Holder</t>
  </si>
  <si>
    <t>solar panels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</si>
</sst>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Normal" xfId="0" builtinId="0"/>
    <cellStyle name="Normal 2" xfId="1" xr:uid="{AC3424F4-FC32-3742-91EB-AD132277A4DD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6574-D31A-454D-8560-DABC3FF2637F}">
  <sheetPr filterMode="1">
    <outlinePr summaryBelow="0" summaryRight="0"/>
  </sheetPr>
  <dimension ref="A1:J2401"/>
  <sheetViews>
    <sheetView workbookViewId="0">
      <selection sqref="A1:F2387"/>
    </sheetView>
  </sheetViews>
  <sheetFormatPr baseColWidth="10" defaultColWidth="12.6640625" defaultRowHeight="15.75" customHeight="1" x14ac:dyDescent="0.2"/>
  <cols>
    <col min="1" max="4" width="12.6640625" style="1"/>
    <col min="5" max="5" width="12.5" style="1" customWidth="1"/>
    <col min="6" max="16384" width="12.6640625" style="1"/>
  </cols>
  <sheetData>
    <row r="1" spans="1:10" ht="15.75" customHeight="1" x14ac:dyDescent="0.2">
      <c r="A1" s="2" t="s">
        <v>110</v>
      </c>
      <c r="B1" s="2" t="s">
        <v>109</v>
      </c>
      <c r="C1" s="2" t="s">
        <v>108</v>
      </c>
      <c r="D1" s="2" t="s">
        <v>107</v>
      </c>
      <c r="E1" s="2" t="s">
        <v>106</v>
      </c>
      <c r="F1" s="2" t="s">
        <v>105</v>
      </c>
      <c r="H1" s="2" t="s">
        <v>104</v>
      </c>
      <c r="I1" s="2" t="s">
        <v>103</v>
      </c>
      <c r="J1" s="2" t="s">
        <v>102</v>
      </c>
    </row>
    <row r="2" spans="1:10" ht="15.75" customHeight="1" x14ac:dyDescent="0.2">
      <c r="A2" s="2" t="s">
        <v>32</v>
      </c>
      <c r="B2" s="2">
        <v>17</v>
      </c>
      <c r="C2" s="2">
        <v>12</v>
      </c>
      <c r="D2" s="2">
        <v>2021</v>
      </c>
      <c r="E2" s="1" t="s">
        <v>94</v>
      </c>
      <c r="F2" s="2">
        <v>272.49</v>
      </c>
      <c r="H2" s="1">
        <f>_xlfn.XLOOKUP('Customer Info'!A1202,'Customer Info'!A1202:A1301,'Customer Info'!E1202:E1301,0,0)</f>
        <v>0</v>
      </c>
      <c r="J2" s="1">
        <f>_xlfn.XLOOKUP('Customer Info'!A1202,'Customer Info'!A1202:A1301,'Customer Info'!M1202:M1301)</f>
        <v>0</v>
      </c>
    </row>
    <row r="3" spans="1:10" ht="15.75" customHeight="1" x14ac:dyDescent="0.2">
      <c r="A3" s="2" t="s">
        <v>32</v>
      </c>
      <c r="B3" s="2">
        <v>17</v>
      </c>
      <c r="C3" s="2">
        <v>1</v>
      </c>
      <c r="D3" s="2">
        <v>2021</v>
      </c>
      <c r="E3" s="2">
        <v>0</v>
      </c>
      <c r="F3" s="2">
        <v>256.37</v>
      </c>
      <c r="H3" s="1">
        <f>_xlfn.XLOOKUP('Customer Info'!A2071,'Customer Info'!A2071:A2170,'Customer Info'!E2071:E2170,0,0)</f>
        <v>0</v>
      </c>
      <c r="J3" s="1">
        <f>_xlfn.XLOOKUP('Customer Info'!A2071,'Customer Info'!A2071:A2170,'Customer Info'!M2071:M2170)</f>
        <v>0</v>
      </c>
    </row>
    <row r="4" spans="1:10" ht="15.75" customHeight="1" x14ac:dyDescent="0.2">
      <c r="A4" s="2" t="s">
        <v>30</v>
      </c>
      <c r="B4" s="2">
        <v>2</v>
      </c>
      <c r="C4" s="2">
        <v>1</v>
      </c>
      <c r="D4" s="2">
        <v>2021</v>
      </c>
      <c r="E4" s="2">
        <v>0</v>
      </c>
      <c r="F4" s="2">
        <v>246.45</v>
      </c>
      <c r="H4" s="1">
        <f>_xlfn.XLOOKUP('Customer Info'!A2072,'Customer Info'!A2072:A2171,'Customer Info'!E2072:E2171,0,0)</f>
        <v>0</v>
      </c>
      <c r="J4" s="1">
        <f>_xlfn.XLOOKUP('Customer Info'!A2072,'Customer Info'!A2072:A2171,'Customer Info'!M2072:M2171)</f>
        <v>0</v>
      </c>
    </row>
    <row r="5" spans="1:10" ht="15.75" hidden="1" customHeight="1" x14ac:dyDescent="0.2">
      <c r="A5" s="2" t="s">
        <v>32</v>
      </c>
      <c r="B5" s="2">
        <v>17</v>
      </c>
      <c r="C5" s="2">
        <v>12</v>
      </c>
      <c r="D5" s="2">
        <v>2020</v>
      </c>
      <c r="E5" s="1" t="s">
        <v>94</v>
      </c>
      <c r="F5" s="2">
        <v>244.9</v>
      </c>
      <c r="H5" s="1">
        <f>_xlfn.XLOOKUP('Customer Info'!A2,'Customer Info'!A2:A101,'Customer Info'!E2:E101,0,0)</f>
        <v>2</v>
      </c>
      <c r="I5" s="1" t="str">
        <f>_xlfn.XLOOKUP('Customer Info'!A2,'Customer Info'!A2:A101,'Customer Info'!J2:J101,0)</f>
        <v>Scottish Gas</v>
      </c>
      <c r="J5" s="1" t="b">
        <f>_xlfn.XLOOKUP('Customer Info'!A2,'Customer Info'!A2:A101,'Customer Info'!M2:M101)</f>
        <v>0</v>
      </c>
    </row>
    <row r="6" spans="1:10" ht="15.75" customHeight="1" x14ac:dyDescent="0.2">
      <c r="A6" s="2" t="s">
        <v>30</v>
      </c>
      <c r="B6" s="2">
        <v>2</v>
      </c>
      <c r="C6" s="2">
        <v>12</v>
      </c>
      <c r="D6" s="2">
        <v>2021</v>
      </c>
      <c r="E6" s="2">
        <v>0</v>
      </c>
      <c r="F6" s="2">
        <v>243.35</v>
      </c>
      <c r="H6" s="1">
        <f>_xlfn.XLOOKUP('Customer Info'!A2073,'Customer Info'!A2073:A2172,'Customer Info'!E2073:E2172,0,0)</f>
        <v>0</v>
      </c>
      <c r="J6" s="1">
        <f>_xlfn.XLOOKUP('Customer Info'!A2073,'Customer Info'!A2073:A2172,'Customer Info'!M2073:M2172)</f>
        <v>0</v>
      </c>
    </row>
    <row r="7" spans="1:10" ht="15.75" customHeight="1" x14ac:dyDescent="0.2">
      <c r="A7" s="2" t="s">
        <v>32</v>
      </c>
      <c r="B7" s="2">
        <v>17</v>
      </c>
      <c r="C7" s="2">
        <v>11</v>
      </c>
      <c r="D7" s="2">
        <v>2021</v>
      </c>
      <c r="E7" s="2">
        <v>0</v>
      </c>
      <c r="F7" s="2">
        <v>237.9</v>
      </c>
      <c r="H7" s="1">
        <f>_xlfn.XLOOKUP('Customer Info'!A2074,'Customer Info'!A2074:A2173,'Customer Info'!E2074:E2173,0,0)</f>
        <v>0</v>
      </c>
      <c r="J7" s="1">
        <f>_xlfn.XLOOKUP('Customer Info'!A2074,'Customer Info'!A2074:A2173,'Customer Info'!M2074:M2173)</f>
        <v>0</v>
      </c>
    </row>
    <row r="8" spans="1:10" ht="15.75" hidden="1" customHeight="1" x14ac:dyDescent="0.2">
      <c r="A8" s="2" t="s">
        <v>31</v>
      </c>
      <c r="B8" s="2">
        <v>14</v>
      </c>
      <c r="C8" s="2">
        <v>11</v>
      </c>
      <c r="D8" s="2">
        <v>2020</v>
      </c>
      <c r="E8" s="2">
        <v>0</v>
      </c>
      <c r="F8" s="2">
        <v>234.3</v>
      </c>
      <c r="H8" s="1">
        <f>_xlfn.XLOOKUP('Customer Info'!A877,'Customer Info'!A877:A976,'Customer Info'!E877:E976,0,0)</f>
        <v>0</v>
      </c>
      <c r="J8" s="1">
        <f>_xlfn.XLOOKUP('Customer Info'!A877,'Customer Info'!A877:A976,'Customer Info'!M877:M976)</f>
        <v>0</v>
      </c>
    </row>
    <row r="9" spans="1:10" ht="15.75" customHeight="1" x14ac:dyDescent="0.2">
      <c r="A9" s="2" t="s">
        <v>31</v>
      </c>
      <c r="B9" s="2">
        <v>14</v>
      </c>
      <c r="C9" s="2">
        <v>1</v>
      </c>
      <c r="D9" s="2">
        <v>2021</v>
      </c>
      <c r="E9" s="2">
        <v>0</v>
      </c>
      <c r="F9" s="2">
        <v>233.74</v>
      </c>
      <c r="H9" s="1">
        <f>_xlfn.XLOOKUP('Customer Info'!A2075,'Customer Info'!A2075:A2174,'Customer Info'!E2075:E2174,0,0)</f>
        <v>0</v>
      </c>
      <c r="J9" s="1">
        <f>_xlfn.XLOOKUP('Customer Info'!A2075,'Customer Info'!A2075:A2174,'Customer Info'!M2075:M2174)</f>
        <v>0</v>
      </c>
    </row>
    <row r="10" spans="1:10" ht="15.75" customHeight="1" x14ac:dyDescent="0.2">
      <c r="A10" s="2" t="s">
        <v>26</v>
      </c>
      <c r="B10" s="2">
        <v>22</v>
      </c>
      <c r="C10" s="2">
        <v>11</v>
      </c>
      <c r="D10" s="2">
        <v>2021</v>
      </c>
      <c r="E10" s="2">
        <v>0</v>
      </c>
      <c r="F10" s="2">
        <v>231.9</v>
      </c>
      <c r="H10" s="1">
        <f>_xlfn.XLOOKUP('Customer Info'!A2076,'Customer Info'!A2076:A2175,'Customer Info'!E2076:E2175,0,0)</f>
        <v>0</v>
      </c>
      <c r="J10" s="1">
        <f>_xlfn.XLOOKUP('Customer Info'!A2076,'Customer Info'!A2076:A2175,'Customer Info'!M2076:M2175)</f>
        <v>0</v>
      </c>
    </row>
    <row r="11" spans="1:10" ht="15.75" customHeight="1" x14ac:dyDescent="0.2">
      <c r="A11" s="2" t="s">
        <v>30</v>
      </c>
      <c r="B11" s="2">
        <v>2</v>
      </c>
      <c r="C11" s="2">
        <v>11</v>
      </c>
      <c r="D11" s="2">
        <v>2021</v>
      </c>
      <c r="E11" s="1" t="s">
        <v>94</v>
      </c>
      <c r="F11" s="2">
        <v>226.8</v>
      </c>
      <c r="H11" s="1">
        <f>_xlfn.XLOOKUP('Customer Info'!A1203,'Customer Info'!A1203:A1302,'Customer Info'!E1203:E1302,0,0)</f>
        <v>0</v>
      </c>
      <c r="J11" s="1">
        <f>_xlfn.XLOOKUP('Customer Info'!A1203,'Customer Info'!A1203:A1302,'Customer Info'!M1203:M1302)</f>
        <v>0</v>
      </c>
    </row>
    <row r="12" spans="1:10" ht="15.75" customHeight="1" x14ac:dyDescent="0.2">
      <c r="A12" s="2" t="s">
        <v>28</v>
      </c>
      <c r="B12" s="2">
        <v>5</v>
      </c>
      <c r="C12" s="2">
        <v>11</v>
      </c>
      <c r="D12" s="2">
        <v>2021</v>
      </c>
      <c r="E12" s="2">
        <v>0</v>
      </c>
      <c r="F12" s="2">
        <v>224.1</v>
      </c>
      <c r="H12" s="1">
        <f>_xlfn.XLOOKUP('Customer Info'!A2077,'Customer Info'!A2077:A2176,'Customer Info'!E2077:E2176,0,0)</f>
        <v>0</v>
      </c>
      <c r="J12" s="1">
        <f>_xlfn.XLOOKUP('Customer Info'!A2077,'Customer Info'!A2077:A2176,'Customer Info'!M2077:M2176)</f>
        <v>0</v>
      </c>
    </row>
    <row r="13" spans="1:10" ht="15.75" hidden="1" customHeight="1" x14ac:dyDescent="0.2">
      <c r="A13" s="2" t="s">
        <v>32</v>
      </c>
      <c r="B13" s="2">
        <v>17</v>
      </c>
      <c r="C13" s="2">
        <v>2</v>
      </c>
      <c r="D13" s="2">
        <v>2020</v>
      </c>
      <c r="E13" s="2">
        <v>0</v>
      </c>
      <c r="F13" s="2">
        <v>223.72</v>
      </c>
      <c r="H13" s="1">
        <f>_xlfn.XLOOKUP('Customer Info'!A878,'Customer Info'!A878:A977,'Customer Info'!E878:E977,0,0)</f>
        <v>0</v>
      </c>
      <c r="J13" s="1">
        <f>_xlfn.XLOOKUP('Customer Info'!A878,'Customer Info'!A878:A977,'Customer Info'!M878:M977)</f>
        <v>0</v>
      </c>
    </row>
    <row r="14" spans="1:10" ht="15.75" customHeight="1" x14ac:dyDescent="0.2">
      <c r="A14" s="2" t="s">
        <v>28</v>
      </c>
      <c r="B14" s="2">
        <v>5</v>
      </c>
      <c r="C14" s="2">
        <v>12</v>
      </c>
      <c r="D14" s="2">
        <v>2021</v>
      </c>
      <c r="E14" s="1" t="s">
        <v>94</v>
      </c>
      <c r="F14" s="2">
        <v>222.89</v>
      </c>
      <c r="H14" s="1">
        <f>_xlfn.XLOOKUP('Customer Info'!A1204,'Customer Info'!A1204:A1303,'Customer Info'!E1204:E1303,0,0)</f>
        <v>0</v>
      </c>
      <c r="J14" s="1">
        <f>_xlfn.XLOOKUP('Customer Info'!A1204,'Customer Info'!A1204:A1303,'Customer Info'!M1204:M1303)</f>
        <v>0</v>
      </c>
    </row>
    <row r="15" spans="1:10" ht="15.75" customHeight="1" x14ac:dyDescent="0.2">
      <c r="A15" s="2" t="s">
        <v>27</v>
      </c>
      <c r="B15" s="2">
        <v>1</v>
      </c>
      <c r="C15" s="2">
        <v>1</v>
      </c>
      <c r="D15" s="2">
        <v>2021</v>
      </c>
      <c r="E15" s="2">
        <v>0</v>
      </c>
      <c r="F15" s="2">
        <v>222.89</v>
      </c>
      <c r="H15" s="1">
        <f>_xlfn.XLOOKUP('Customer Info'!A2078,'Customer Info'!A2078:A2177,'Customer Info'!E2078:E2177,0,0)</f>
        <v>0</v>
      </c>
      <c r="J15" s="1">
        <f>_xlfn.XLOOKUP('Customer Info'!A2078,'Customer Info'!A2078:A2177,'Customer Info'!M2078:M2177)</f>
        <v>0</v>
      </c>
    </row>
    <row r="16" spans="1:10" ht="15.75" customHeight="1" x14ac:dyDescent="0.2">
      <c r="A16" s="2" t="s">
        <v>23</v>
      </c>
      <c r="B16" s="2">
        <v>5</v>
      </c>
      <c r="C16" s="2">
        <v>12</v>
      </c>
      <c r="D16" s="2">
        <v>2021</v>
      </c>
      <c r="E16" s="2">
        <v>0</v>
      </c>
      <c r="F16" s="2">
        <v>221.03</v>
      </c>
      <c r="H16" s="1">
        <f>_xlfn.XLOOKUP('Customer Info'!A2079,'Customer Info'!A2079:A2178,'Customer Info'!E2079:E2178,0,0)</f>
        <v>0</v>
      </c>
      <c r="J16" s="1">
        <f>_xlfn.XLOOKUP('Customer Info'!A2079,'Customer Info'!A2079:A2178,'Customer Info'!M2079:M2178)</f>
        <v>0</v>
      </c>
    </row>
    <row r="17" spans="1:10" ht="15.75" hidden="1" customHeight="1" x14ac:dyDescent="0.2">
      <c r="A17" s="2" t="s">
        <v>32</v>
      </c>
      <c r="B17" s="2">
        <v>17</v>
      </c>
      <c r="C17" s="2">
        <v>1</v>
      </c>
      <c r="D17" s="2">
        <v>2020</v>
      </c>
      <c r="E17" s="2">
        <v>0</v>
      </c>
      <c r="F17" s="2">
        <v>220.72</v>
      </c>
      <c r="H17" s="1">
        <f>_xlfn.XLOOKUP('Customer Info'!A879,'Customer Info'!A879:A978,'Customer Info'!E879:E978,0,0)</f>
        <v>0</v>
      </c>
      <c r="J17" s="1">
        <f>_xlfn.XLOOKUP('Customer Info'!A879,'Customer Info'!A879:A978,'Customer Info'!M879:M978)</f>
        <v>0</v>
      </c>
    </row>
    <row r="18" spans="1:10" ht="15.75" hidden="1" customHeight="1" x14ac:dyDescent="0.2">
      <c r="A18" s="2" t="s">
        <v>25</v>
      </c>
      <c r="B18" s="2">
        <v>8</v>
      </c>
      <c r="C18" s="2">
        <v>1</v>
      </c>
      <c r="D18" s="2">
        <v>2020</v>
      </c>
      <c r="E18" s="2">
        <v>0</v>
      </c>
      <c r="F18" s="2">
        <v>219.48</v>
      </c>
      <c r="H18" s="1">
        <f>_xlfn.XLOOKUP('Customer Info'!A880,'Customer Info'!A880:A979,'Customer Info'!E880:E979,0,0)</f>
        <v>0</v>
      </c>
      <c r="J18" s="1">
        <f>_xlfn.XLOOKUP('Customer Info'!A880,'Customer Info'!A880:A979,'Customer Info'!M880:M979)</f>
        <v>0</v>
      </c>
    </row>
    <row r="19" spans="1:10" ht="15.75" customHeight="1" x14ac:dyDescent="0.2">
      <c r="A19" s="2" t="s">
        <v>28</v>
      </c>
      <c r="B19" s="2">
        <v>5</v>
      </c>
      <c r="C19" s="2">
        <v>1</v>
      </c>
      <c r="D19" s="2">
        <v>2021</v>
      </c>
      <c r="E19" s="2">
        <v>0</v>
      </c>
      <c r="F19" s="2">
        <v>219.17</v>
      </c>
      <c r="H19" s="1">
        <f>_xlfn.XLOOKUP('Customer Info'!A2080,'Customer Info'!A2080:A2179,'Customer Info'!E2080:E2179,0,0)</f>
        <v>0</v>
      </c>
      <c r="J19" s="1">
        <f>_xlfn.XLOOKUP('Customer Info'!A2080,'Customer Info'!A2080:A2179,'Customer Info'!M2080:M2179)</f>
        <v>0</v>
      </c>
    </row>
    <row r="20" spans="1:10" ht="15.75" customHeight="1" x14ac:dyDescent="0.2">
      <c r="A20" s="2" t="s">
        <v>16</v>
      </c>
      <c r="B20" s="2">
        <v>14</v>
      </c>
      <c r="C20" s="2">
        <v>1</v>
      </c>
      <c r="D20" s="2">
        <v>2021</v>
      </c>
      <c r="E20" s="2">
        <v>0</v>
      </c>
      <c r="F20" s="2">
        <v>218.86</v>
      </c>
      <c r="H20" s="1">
        <f>_xlfn.XLOOKUP('Customer Info'!A2081,'Customer Info'!A2081:A2180,'Customer Info'!E2081:E2180,0,0)</f>
        <v>0</v>
      </c>
      <c r="J20" s="1">
        <f>_xlfn.XLOOKUP('Customer Info'!A2081,'Customer Info'!A2081:A2180,'Customer Info'!M2081:M2180)</f>
        <v>0</v>
      </c>
    </row>
    <row r="21" spans="1:10" ht="15.75" hidden="1" customHeight="1" x14ac:dyDescent="0.2">
      <c r="A21" s="2" t="s">
        <v>26</v>
      </c>
      <c r="B21" s="2">
        <v>22</v>
      </c>
      <c r="C21" s="2">
        <v>11</v>
      </c>
      <c r="D21" s="2">
        <v>2020</v>
      </c>
      <c r="E21" s="2">
        <v>0</v>
      </c>
      <c r="F21" s="2">
        <v>217.5</v>
      </c>
      <c r="H21" s="1">
        <f>_xlfn.XLOOKUP('Customer Info'!A881,'Customer Info'!A881:A980,'Customer Info'!E881:E980,0,0)</f>
        <v>0</v>
      </c>
      <c r="J21" s="1">
        <f>_xlfn.XLOOKUP('Customer Info'!A881,'Customer Info'!A881:A980,'Customer Info'!M881:M980)</f>
        <v>0</v>
      </c>
    </row>
    <row r="22" spans="1:10" ht="15.75" customHeight="1" x14ac:dyDescent="0.2">
      <c r="A22" s="2" t="s">
        <v>11</v>
      </c>
      <c r="B22" s="2">
        <v>15</v>
      </c>
      <c r="C22" s="2">
        <v>11</v>
      </c>
      <c r="D22" s="2">
        <v>2021</v>
      </c>
      <c r="E22" s="2">
        <v>0</v>
      </c>
      <c r="F22" s="2">
        <v>216.9</v>
      </c>
      <c r="H22" s="1">
        <f>_xlfn.XLOOKUP('Customer Info'!A2082,'Customer Info'!A2082:A2181,'Customer Info'!E2082:E2181,0,0)</f>
        <v>0</v>
      </c>
      <c r="J22" s="1">
        <f>_xlfn.XLOOKUP('Customer Info'!A2082,'Customer Info'!A2082:A2181,'Customer Info'!M2082:M2181)</f>
        <v>0</v>
      </c>
    </row>
    <row r="23" spans="1:10" ht="15.75" customHeight="1" x14ac:dyDescent="0.2">
      <c r="A23" s="2" t="s">
        <v>32</v>
      </c>
      <c r="B23" s="2">
        <v>17</v>
      </c>
      <c r="C23" s="2">
        <v>2</v>
      </c>
      <c r="D23" s="2">
        <v>2021</v>
      </c>
      <c r="E23" s="2">
        <v>0</v>
      </c>
      <c r="F23" s="2">
        <v>214.48</v>
      </c>
      <c r="H23" s="1">
        <f>_xlfn.XLOOKUP('Customer Info'!A2083,'Customer Info'!A2083:A2182,'Customer Info'!E2083:E2182,0,0)</f>
        <v>0</v>
      </c>
      <c r="J23" s="1">
        <f>_xlfn.XLOOKUP('Customer Info'!A2083,'Customer Info'!A2083:A2182,'Customer Info'!M2083:M2182)</f>
        <v>0</v>
      </c>
    </row>
    <row r="24" spans="1:10" ht="15.75" hidden="1" customHeight="1" x14ac:dyDescent="0.2">
      <c r="A24" s="2" t="s">
        <v>32</v>
      </c>
      <c r="B24" s="2">
        <v>17</v>
      </c>
      <c r="C24" s="2">
        <v>11</v>
      </c>
      <c r="D24" s="2">
        <v>2020</v>
      </c>
      <c r="E24" s="2">
        <v>0</v>
      </c>
      <c r="F24" s="2">
        <v>213.9</v>
      </c>
      <c r="H24" s="1">
        <f>_xlfn.XLOOKUP('Customer Info'!A882,'Customer Info'!A882:A981,'Customer Info'!E882:E981,0,0)</f>
        <v>0</v>
      </c>
      <c r="J24" s="1">
        <f>_xlfn.XLOOKUP('Customer Info'!A882,'Customer Info'!A882:A981,'Customer Info'!M882:M981)</f>
        <v>0</v>
      </c>
    </row>
    <row r="25" spans="1:10" ht="15.75" customHeight="1" x14ac:dyDescent="0.2">
      <c r="A25" s="2" t="s">
        <v>18</v>
      </c>
      <c r="B25" s="2">
        <v>5</v>
      </c>
      <c r="C25" s="2">
        <v>11</v>
      </c>
      <c r="D25" s="2">
        <v>2021</v>
      </c>
      <c r="E25" s="2">
        <v>0</v>
      </c>
      <c r="F25" s="2">
        <v>213.9</v>
      </c>
      <c r="H25" s="1">
        <f>_xlfn.XLOOKUP('Customer Info'!A2084,'Customer Info'!A2084:A2183,'Customer Info'!E2084:E2183,0,0)</f>
        <v>0</v>
      </c>
      <c r="J25" s="1">
        <f>_xlfn.XLOOKUP('Customer Info'!A2084,'Customer Info'!A2084:A2183,'Customer Info'!M2084:M2183)</f>
        <v>0</v>
      </c>
    </row>
    <row r="26" spans="1:10" ht="15.75" customHeight="1" x14ac:dyDescent="0.2">
      <c r="A26" s="2" t="s">
        <v>27</v>
      </c>
      <c r="B26" s="2">
        <v>1</v>
      </c>
      <c r="C26" s="2">
        <v>12</v>
      </c>
      <c r="D26" s="2">
        <v>2021</v>
      </c>
      <c r="E26" s="1" t="s">
        <v>94</v>
      </c>
      <c r="F26" s="2">
        <v>211.73</v>
      </c>
      <c r="H26" s="1">
        <f>_xlfn.XLOOKUP('Customer Info'!A1205,'Customer Info'!A1205:A1304,'Customer Info'!E1205:E1304,0,0)</f>
        <v>0</v>
      </c>
      <c r="J26" s="1">
        <f>_xlfn.XLOOKUP('Customer Info'!A1205,'Customer Info'!A1205:A1304,'Customer Info'!M1205:M1304)</f>
        <v>0</v>
      </c>
    </row>
    <row r="27" spans="1:10" ht="15.75" hidden="1" customHeight="1" x14ac:dyDescent="0.2">
      <c r="A27" s="2" t="s">
        <v>22</v>
      </c>
      <c r="B27" s="2">
        <v>22</v>
      </c>
      <c r="C27" s="2">
        <v>12</v>
      </c>
      <c r="D27" s="2">
        <v>2020</v>
      </c>
      <c r="E27" s="2">
        <v>0</v>
      </c>
      <c r="F27" s="2">
        <v>209.87</v>
      </c>
      <c r="H27" s="1">
        <f>_xlfn.XLOOKUP('Customer Info'!A883,'Customer Info'!A883:A982,'Customer Info'!E883:E982,0,0)</f>
        <v>0</v>
      </c>
      <c r="J27" s="1">
        <f>_xlfn.XLOOKUP('Customer Info'!A883,'Customer Info'!A883:A982,'Customer Info'!M883:M982)</f>
        <v>0</v>
      </c>
    </row>
    <row r="28" spans="1:10" ht="15.75" hidden="1" customHeight="1" x14ac:dyDescent="0.2">
      <c r="A28" s="2" t="s">
        <v>30</v>
      </c>
      <c r="B28" s="2">
        <v>2</v>
      </c>
      <c r="C28" s="2">
        <v>1</v>
      </c>
      <c r="D28" s="2">
        <v>2020</v>
      </c>
      <c r="E28" s="2">
        <v>0</v>
      </c>
      <c r="F28" s="2">
        <v>209.25</v>
      </c>
      <c r="H28" s="1">
        <f>_xlfn.XLOOKUP('Customer Info'!A884,'Customer Info'!A884:A983,'Customer Info'!E884:E983,0,0)</f>
        <v>0</v>
      </c>
      <c r="J28" s="1">
        <f>_xlfn.XLOOKUP('Customer Info'!A884,'Customer Info'!A884:A983,'Customer Info'!M884:M983)</f>
        <v>0</v>
      </c>
    </row>
    <row r="29" spans="1:10" ht="15.75" hidden="1" customHeight="1" x14ac:dyDescent="0.2">
      <c r="A29" s="2" t="s">
        <v>22</v>
      </c>
      <c r="B29" s="2">
        <v>22</v>
      </c>
      <c r="C29" s="2">
        <v>1</v>
      </c>
      <c r="D29" s="2">
        <v>2020</v>
      </c>
      <c r="E29" s="2">
        <v>0</v>
      </c>
      <c r="F29" s="2">
        <v>209.25</v>
      </c>
      <c r="H29" s="1">
        <f>_xlfn.XLOOKUP('Customer Info'!A885,'Customer Info'!A885:A984,'Customer Info'!E885:E984,0,0)</f>
        <v>0</v>
      </c>
      <c r="J29" s="1">
        <f>_xlfn.XLOOKUP('Customer Info'!A885,'Customer Info'!A885:A984,'Customer Info'!M885:M984)</f>
        <v>0</v>
      </c>
    </row>
    <row r="30" spans="1:10" ht="15.75" customHeight="1" x14ac:dyDescent="0.2">
      <c r="A30" s="2" t="s">
        <v>12</v>
      </c>
      <c r="B30" s="2">
        <v>2</v>
      </c>
      <c r="C30" s="2">
        <v>1</v>
      </c>
      <c r="D30" s="2">
        <v>2021</v>
      </c>
      <c r="E30" s="2">
        <v>0</v>
      </c>
      <c r="F30" s="2">
        <v>208.01</v>
      </c>
      <c r="H30" s="1">
        <f>_xlfn.XLOOKUP('Customer Info'!A2085,'Customer Info'!A2085:A2184,'Customer Info'!E2085:E2184,0,0)</f>
        <v>0</v>
      </c>
      <c r="J30" s="1">
        <f>_xlfn.XLOOKUP('Customer Info'!A2085,'Customer Info'!A2085:A2184,'Customer Info'!M2085:M2184)</f>
        <v>0</v>
      </c>
    </row>
    <row r="31" spans="1:10" ht="15.75" customHeight="1" x14ac:dyDescent="0.2">
      <c r="A31" s="2" t="s">
        <v>20</v>
      </c>
      <c r="B31" s="2">
        <v>12</v>
      </c>
      <c r="C31" s="2">
        <v>12</v>
      </c>
      <c r="D31" s="2">
        <v>2021</v>
      </c>
      <c r="E31" s="2">
        <v>0</v>
      </c>
      <c r="F31" s="2">
        <v>206.77</v>
      </c>
      <c r="H31" s="1">
        <f>_xlfn.XLOOKUP('Customer Info'!A2086,'Customer Info'!A2086:A2185,'Customer Info'!E2086:E2185,0,0)</f>
        <v>0</v>
      </c>
      <c r="J31" s="1">
        <f>_xlfn.XLOOKUP('Customer Info'!A2086,'Customer Info'!A2086:A2185,'Customer Info'!M2086:M2185)</f>
        <v>0</v>
      </c>
    </row>
    <row r="32" spans="1:10" ht="15.75" hidden="1" customHeight="1" x14ac:dyDescent="0.2">
      <c r="A32" s="2" t="s">
        <v>29</v>
      </c>
      <c r="B32" s="2">
        <v>20</v>
      </c>
      <c r="C32" s="2">
        <v>12</v>
      </c>
      <c r="D32" s="2">
        <v>2020</v>
      </c>
      <c r="E32" s="1" t="s">
        <v>94</v>
      </c>
      <c r="F32" s="2">
        <v>206.46</v>
      </c>
      <c r="H32" s="1">
        <f>_xlfn.XLOOKUP('Customer Info'!A3,'Customer Info'!A3:A102,'Customer Info'!E3:E102,0,0)</f>
        <v>3</v>
      </c>
      <c r="I32" s="1" t="str">
        <f>_xlfn.XLOOKUP('Customer Info'!A3,'Customer Info'!A3:A102,'Customer Info'!J3:J102,0)</f>
        <v>Scottish Gas</v>
      </c>
      <c r="J32" s="1" t="b">
        <f>_xlfn.XLOOKUP('Customer Info'!A3,'Customer Info'!A3:A102,'Customer Info'!M3:M102)</f>
        <v>0</v>
      </c>
    </row>
    <row r="33" spans="1:10" ht="15.75" hidden="1" customHeight="1" x14ac:dyDescent="0.2">
      <c r="A33" s="2" t="s">
        <v>29</v>
      </c>
      <c r="B33" s="2">
        <v>20</v>
      </c>
      <c r="C33" s="2">
        <v>11</v>
      </c>
      <c r="D33" s="2">
        <v>2020</v>
      </c>
      <c r="E33" s="2">
        <v>0</v>
      </c>
      <c r="F33" s="2">
        <v>206.4</v>
      </c>
      <c r="H33" s="1">
        <f>_xlfn.XLOOKUP('Customer Info'!A886,'Customer Info'!A886:A985,'Customer Info'!E886:E985,0,0)</f>
        <v>0</v>
      </c>
      <c r="J33" s="1">
        <f>_xlfn.XLOOKUP('Customer Info'!A886,'Customer Info'!A886:A985,'Customer Info'!M886:M985)</f>
        <v>0</v>
      </c>
    </row>
    <row r="34" spans="1:10" ht="15.75" hidden="1" customHeight="1" x14ac:dyDescent="0.2">
      <c r="A34" s="2" t="s">
        <v>28</v>
      </c>
      <c r="B34" s="2">
        <v>5</v>
      </c>
      <c r="C34" s="2">
        <v>11</v>
      </c>
      <c r="D34" s="2">
        <v>2020</v>
      </c>
      <c r="E34" s="1" t="s">
        <v>94</v>
      </c>
      <c r="F34" s="2">
        <v>206.1</v>
      </c>
      <c r="H34" s="1">
        <f>_xlfn.XLOOKUP('Customer Info'!A4,'Customer Info'!A4:A103,'Customer Info'!E4:E103,0,0)</f>
        <v>2</v>
      </c>
      <c r="I34" s="1" t="str">
        <f>_xlfn.XLOOKUP('Customer Info'!A4,'Customer Info'!A4:A103,'Customer Info'!J4:J103,0)</f>
        <v>SSW</v>
      </c>
      <c r="J34" s="1" t="b">
        <f>_xlfn.XLOOKUP('Customer Info'!A4,'Customer Info'!A4:A103,'Customer Info'!M4:M103)</f>
        <v>0</v>
      </c>
    </row>
    <row r="35" spans="1:10" ht="15.75" customHeight="1" x14ac:dyDescent="0.2">
      <c r="A35" s="2" t="s">
        <v>27</v>
      </c>
      <c r="B35" s="2">
        <v>1</v>
      </c>
      <c r="C35" s="2">
        <v>11</v>
      </c>
      <c r="D35" s="2">
        <v>2021</v>
      </c>
      <c r="E35" s="2">
        <v>0</v>
      </c>
      <c r="F35" s="2">
        <v>206.1</v>
      </c>
      <c r="H35" s="1">
        <f>_xlfn.XLOOKUP('Customer Info'!A2087,'Customer Info'!A2087:A2186,'Customer Info'!E2087:E2186,0,0)</f>
        <v>0</v>
      </c>
      <c r="J35" s="1">
        <f>_xlfn.XLOOKUP('Customer Info'!A2087,'Customer Info'!A2087:A2186,'Customer Info'!M2087:M2186)</f>
        <v>0</v>
      </c>
    </row>
    <row r="36" spans="1:10" ht="15.75" hidden="1" customHeight="1" x14ac:dyDescent="0.2">
      <c r="A36" s="2" t="s">
        <v>28</v>
      </c>
      <c r="B36" s="2">
        <v>5</v>
      </c>
      <c r="C36" s="2">
        <v>1</v>
      </c>
      <c r="D36" s="2">
        <v>2020</v>
      </c>
      <c r="E36" s="2">
        <v>0</v>
      </c>
      <c r="F36" s="2">
        <v>205.84</v>
      </c>
      <c r="H36" s="1">
        <f>_xlfn.XLOOKUP('Customer Info'!A887,'Customer Info'!A887:A986,'Customer Info'!E887:E986,0,0)</f>
        <v>0</v>
      </c>
      <c r="J36" s="1">
        <f>_xlfn.XLOOKUP('Customer Info'!A887,'Customer Info'!A887:A986,'Customer Info'!M887:M986)</f>
        <v>0</v>
      </c>
    </row>
    <row r="37" spans="1:10" ht="15.75" customHeight="1" x14ac:dyDescent="0.2">
      <c r="A37" s="2" t="s">
        <v>8</v>
      </c>
      <c r="B37" s="2">
        <v>5</v>
      </c>
      <c r="C37" s="2">
        <v>12</v>
      </c>
      <c r="D37" s="2">
        <v>2021</v>
      </c>
      <c r="E37" s="2">
        <v>0</v>
      </c>
      <c r="F37" s="2">
        <v>205.53</v>
      </c>
      <c r="H37" s="1">
        <f>_xlfn.XLOOKUP('Customer Info'!A2088,'Customer Info'!A2088:A2187,'Customer Info'!E2088:E2187,0,0)</f>
        <v>0</v>
      </c>
      <c r="J37" s="1">
        <f>_xlfn.XLOOKUP('Customer Info'!A2088,'Customer Info'!A2088:A2187,'Customer Info'!M2088:M2187)</f>
        <v>0</v>
      </c>
    </row>
    <row r="38" spans="1:10" ht="15.75" hidden="1" customHeight="1" x14ac:dyDescent="0.2">
      <c r="A38" s="2" t="s">
        <v>30</v>
      </c>
      <c r="B38" s="2">
        <v>2</v>
      </c>
      <c r="C38" s="2">
        <v>11</v>
      </c>
      <c r="D38" s="2">
        <v>2020</v>
      </c>
      <c r="E38" s="2">
        <v>0</v>
      </c>
      <c r="F38" s="2">
        <v>205.5</v>
      </c>
      <c r="H38" s="1">
        <f>_xlfn.XLOOKUP('Customer Info'!A888,'Customer Info'!A888:A987,'Customer Info'!E888:E987,0,0)</f>
        <v>0</v>
      </c>
      <c r="J38" s="1">
        <f>_xlfn.XLOOKUP('Customer Info'!A888,'Customer Info'!A888:A987,'Customer Info'!M888:M987)</f>
        <v>0</v>
      </c>
    </row>
    <row r="39" spans="1:10" ht="15.75" hidden="1" customHeight="1" x14ac:dyDescent="0.2">
      <c r="A39" s="2" t="s">
        <v>23</v>
      </c>
      <c r="B39" s="2">
        <v>5</v>
      </c>
      <c r="C39" s="2">
        <v>1</v>
      </c>
      <c r="D39" s="2">
        <v>2020</v>
      </c>
      <c r="E39" s="2">
        <v>0</v>
      </c>
      <c r="F39" s="2">
        <v>205.22</v>
      </c>
      <c r="H39" s="1">
        <f>_xlfn.XLOOKUP('Customer Info'!A889,'Customer Info'!A889:A988,'Customer Info'!E889:E988,0,0)</f>
        <v>0</v>
      </c>
      <c r="J39" s="1">
        <f>_xlfn.XLOOKUP('Customer Info'!A889,'Customer Info'!A889:A988,'Customer Info'!M889:M988)</f>
        <v>0</v>
      </c>
    </row>
    <row r="40" spans="1:10" ht="15.75" customHeight="1" x14ac:dyDescent="0.2">
      <c r="A40" s="2" t="s">
        <v>22</v>
      </c>
      <c r="B40" s="2">
        <v>22</v>
      </c>
      <c r="C40" s="2">
        <v>1</v>
      </c>
      <c r="D40" s="2">
        <v>2021</v>
      </c>
      <c r="E40" s="2">
        <v>0</v>
      </c>
      <c r="F40" s="2">
        <v>205.22</v>
      </c>
      <c r="H40" s="1">
        <f>_xlfn.XLOOKUP('Customer Info'!A2089,'Customer Info'!A2089:A2188,'Customer Info'!E2089:E2188,0,0)</f>
        <v>0</v>
      </c>
      <c r="J40" s="1">
        <f>_xlfn.XLOOKUP('Customer Info'!A2089,'Customer Info'!A2089:A2188,'Customer Info'!M2089:M2188)</f>
        <v>0</v>
      </c>
    </row>
    <row r="41" spans="1:10" ht="15.75" hidden="1" customHeight="1" x14ac:dyDescent="0.2">
      <c r="A41" s="2" t="s">
        <v>11</v>
      </c>
      <c r="B41" s="2">
        <v>15</v>
      </c>
      <c r="C41" s="2">
        <v>1</v>
      </c>
      <c r="D41" s="2">
        <v>2020</v>
      </c>
      <c r="E41" s="2">
        <v>0</v>
      </c>
      <c r="F41" s="2">
        <v>204.6</v>
      </c>
      <c r="H41" s="1">
        <f>_xlfn.XLOOKUP('Customer Info'!A890,'Customer Info'!A890:A989,'Customer Info'!E890:E989,0,0)</f>
        <v>0</v>
      </c>
      <c r="J41" s="1">
        <f>_xlfn.XLOOKUP('Customer Info'!A890,'Customer Info'!A890:A989,'Customer Info'!M890:M989)</f>
        <v>0</v>
      </c>
    </row>
    <row r="42" spans="1:10" ht="15.75" hidden="1" customHeight="1" x14ac:dyDescent="0.2">
      <c r="A42" s="2" t="s">
        <v>22</v>
      </c>
      <c r="B42" s="2">
        <v>22</v>
      </c>
      <c r="C42" s="2">
        <v>2</v>
      </c>
      <c r="D42" s="2">
        <v>2020</v>
      </c>
      <c r="E42" s="1" t="s">
        <v>94</v>
      </c>
      <c r="F42" s="2">
        <v>204.12</v>
      </c>
      <c r="H42" s="1">
        <f>_xlfn.XLOOKUP('Customer Info'!A5,'Customer Info'!A5:A104,'Customer Info'!E5:E104,0,0)</f>
        <v>4</v>
      </c>
      <c r="I42" s="1" t="str">
        <f>_xlfn.XLOOKUP('Customer Info'!A5,'Customer Info'!A5:A104,'Customer Info'!J5:J104,0)</f>
        <v>Scottish Gas</v>
      </c>
      <c r="J42" s="1" t="b">
        <f>_xlfn.XLOOKUP('Customer Info'!A5,'Customer Info'!A5:A104,'Customer Info'!M5:M104)</f>
        <v>0</v>
      </c>
    </row>
    <row r="43" spans="1:10" ht="15.75" hidden="1" customHeight="1" x14ac:dyDescent="0.2">
      <c r="A43" s="2" t="s">
        <v>30</v>
      </c>
      <c r="B43" s="2">
        <v>2</v>
      </c>
      <c r="C43" s="2">
        <v>12</v>
      </c>
      <c r="D43" s="2">
        <v>2020</v>
      </c>
      <c r="E43" s="2">
        <v>0</v>
      </c>
      <c r="F43" s="2">
        <v>203.98</v>
      </c>
      <c r="H43" s="1">
        <f>_xlfn.XLOOKUP('Customer Info'!A891,'Customer Info'!A891:A990,'Customer Info'!E891:E990,0,0)</f>
        <v>0</v>
      </c>
      <c r="J43" s="1">
        <f>_xlfn.XLOOKUP('Customer Info'!A891,'Customer Info'!A891:A990,'Customer Info'!M891:M990)</f>
        <v>0</v>
      </c>
    </row>
    <row r="44" spans="1:10" ht="15.75" hidden="1" customHeight="1" x14ac:dyDescent="0.2">
      <c r="A44" s="2" t="s">
        <v>23</v>
      </c>
      <c r="B44" s="2">
        <v>5</v>
      </c>
      <c r="C44" s="2">
        <v>12</v>
      </c>
      <c r="D44" s="2">
        <v>2020</v>
      </c>
      <c r="E44" s="2">
        <v>0</v>
      </c>
      <c r="F44" s="2">
        <v>203.98</v>
      </c>
      <c r="H44" s="1">
        <f>_xlfn.XLOOKUP('Customer Info'!A892,'Customer Info'!A892:A991,'Customer Info'!E892:E991,0,0)</f>
        <v>0</v>
      </c>
      <c r="J44" s="1">
        <f>_xlfn.XLOOKUP('Customer Info'!A892,'Customer Info'!A892:A991,'Customer Info'!M892:M991)</f>
        <v>0</v>
      </c>
    </row>
    <row r="45" spans="1:10" ht="15.75" hidden="1" customHeight="1" x14ac:dyDescent="0.2">
      <c r="A45" s="2" t="s">
        <v>25</v>
      </c>
      <c r="B45" s="2">
        <v>8</v>
      </c>
      <c r="C45" s="2">
        <v>11</v>
      </c>
      <c r="D45" s="2">
        <v>2020</v>
      </c>
      <c r="E45" s="2">
        <v>0</v>
      </c>
      <c r="F45" s="2">
        <v>203.7</v>
      </c>
      <c r="H45" s="1">
        <f>_xlfn.XLOOKUP('Customer Info'!A893,'Customer Info'!A893:A992,'Customer Info'!E893:E992,0,0)</f>
        <v>0</v>
      </c>
      <c r="J45" s="1">
        <f>_xlfn.XLOOKUP('Customer Info'!A893,'Customer Info'!A893:A992,'Customer Info'!M893:M992)</f>
        <v>0</v>
      </c>
    </row>
    <row r="46" spans="1:10" ht="15.75" hidden="1" customHeight="1" x14ac:dyDescent="0.2">
      <c r="A46" s="2" t="s">
        <v>31</v>
      </c>
      <c r="B46" s="2">
        <v>14</v>
      </c>
      <c r="C46" s="2">
        <v>1</v>
      </c>
      <c r="D46" s="2">
        <v>2020</v>
      </c>
      <c r="E46" s="2">
        <v>0</v>
      </c>
      <c r="F46" s="2">
        <v>203.67</v>
      </c>
      <c r="H46" s="1">
        <f>_xlfn.XLOOKUP('Customer Info'!A894,'Customer Info'!A894:A993,'Customer Info'!E894:E993,0,0)</f>
        <v>0</v>
      </c>
      <c r="J46" s="1">
        <f>_xlfn.XLOOKUP('Customer Info'!A894,'Customer Info'!A894:A993,'Customer Info'!M894:M993)</f>
        <v>0</v>
      </c>
    </row>
    <row r="47" spans="1:10" ht="15.75" hidden="1" customHeight="1" x14ac:dyDescent="0.2">
      <c r="A47" s="2" t="s">
        <v>27</v>
      </c>
      <c r="B47" s="2">
        <v>1</v>
      </c>
      <c r="C47" s="2">
        <v>12</v>
      </c>
      <c r="D47" s="2">
        <v>2020</v>
      </c>
      <c r="E47" s="1" t="s">
        <v>94</v>
      </c>
      <c r="F47" s="2">
        <v>203.05</v>
      </c>
      <c r="H47" s="1">
        <f>_xlfn.XLOOKUP('Customer Info'!A6,'Customer Info'!A6:A105,'Customer Info'!E6:E105,0,0)</f>
        <v>2</v>
      </c>
      <c r="I47" s="1" t="str">
        <f>_xlfn.XLOOKUP('Customer Info'!A6,'Customer Info'!A6:A105,'Customer Info'!J6:J105,0)</f>
        <v>Scottish Gas</v>
      </c>
      <c r="J47" s="1" t="b">
        <f>_xlfn.XLOOKUP('Customer Info'!A6,'Customer Info'!A6:A105,'Customer Info'!M6:M105)</f>
        <v>0</v>
      </c>
    </row>
    <row r="48" spans="1:10" ht="14" x14ac:dyDescent="0.2">
      <c r="A48" s="2" t="s">
        <v>20</v>
      </c>
      <c r="B48" s="2">
        <v>12</v>
      </c>
      <c r="C48" s="2">
        <v>1</v>
      </c>
      <c r="D48" s="2">
        <v>2021</v>
      </c>
      <c r="E48" s="2">
        <v>0</v>
      </c>
      <c r="F48" s="2">
        <v>203.05</v>
      </c>
      <c r="H48" s="1">
        <f>_xlfn.XLOOKUP('Customer Info'!A2090,'Customer Info'!A2090:A2189,'Customer Info'!E2090:E2189,0,0)</f>
        <v>0</v>
      </c>
      <c r="J48" s="1">
        <f>_xlfn.XLOOKUP('Customer Info'!A2090,'Customer Info'!A2090:A2189,'Customer Info'!M2090:M2189)</f>
        <v>0</v>
      </c>
    </row>
    <row r="49" spans="1:10" ht="14" hidden="1" x14ac:dyDescent="0.2">
      <c r="A49" s="2" t="s">
        <v>32</v>
      </c>
      <c r="B49" s="2">
        <v>17</v>
      </c>
      <c r="C49" s="2">
        <v>10</v>
      </c>
      <c r="D49" s="2">
        <v>2020</v>
      </c>
      <c r="E49" s="2">
        <v>0</v>
      </c>
      <c r="F49" s="2">
        <v>202.74</v>
      </c>
      <c r="H49" s="1">
        <f>_xlfn.XLOOKUP('Customer Info'!A895,'Customer Info'!A895:A994,'Customer Info'!E895:E994,0,0)</f>
        <v>0</v>
      </c>
      <c r="J49" s="1">
        <f>_xlfn.XLOOKUP('Customer Info'!A895,'Customer Info'!A895:A994,'Customer Info'!M895:M994)</f>
        <v>0</v>
      </c>
    </row>
    <row r="50" spans="1:10" ht="14" x14ac:dyDescent="0.2">
      <c r="A50" s="2" t="s">
        <v>31</v>
      </c>
      <c r="B50" s="2">
        <v>14</v>
      </c>
      <c r="C50" s="2">
        <v>11</v>
      </c>
      <c r="D50" s="2">
        <v>2021</v>
      </c>
      <c r="E50" s="2">
        <v>0</v>
      </c>
      <c r="F50" s="2">
        <v>202.5</v>
      </c>
      <c r="H50" s="1">
        <f>_xlfn.XLOOKUP('Customer Info'!A2091,'Customer Info'!A2091:A2190,'Customer Info'!E2091:E2190,0,0)</f>
        <v>0</v>
      </c>
      <c r="J50" s="1">
        <f>_xlfn.XLOOKUP('Customer Info'!A2091,'Customer Info'!A2091:A2190,'Customer Info'!M2091:M2190)</f>
        <v>0</v>
      </c>
    </row>
    <row r="51" spans="1:10" ht="14" hidden="1" x14ac:dyDescent="0.2">
      <c r="A51" s="2" t="s">
        <v>29</v>
      </c>
      <c r="B51" s="2">
        <v>20</v>
      </c>
      <c r="C51" s="2">
        <v>1</v>
      </c>
      <c r="D51" s="2">
        <v>2020</v>
      </c>
      <c r="E51" s="1" t="s">
        <v>94</v>
      </c>
      <c r="F51" s="2">
        <v>202.43</v>
      </c>
      <c r="H51" s="1">
        <f>_xlfn.XLOOKUP('Customer Info'!A7,'Customer Info'!A7:A106,'Customer Info'!E7:E106,0,0)</f>
        <v>4</v>
      </c>
      <c r="I51" s="1" t="str">
        <f>_xlfn.XLOOKUP('Customer Info'!A7,'Customer Info'!A7:A106,'Customer Info'!J7:J106,0)</f>
        <v>Scottish Gas</v>
      </c>
      <c r="J51" s="1" t="b">
        <f>_xlfn.XLOOKUP('Customer Info'!A7,'Customer Info'!A7:A106,'Customer Info'!M7:M106)</f>
        <v>0</v>
      </c>
    </row>
    <row r="52" spans="1:10" ht="14" x14ac:dyDescent="0.2">
      <c r="A52" s="2" t="s">
        <v>23</v>
      </c>
      <c r="B52" s="2">
        <v>5</v>
      </c>
      <c r="C52" s="2">
        <v>1</v>
      </c>
      <c r="D52" s="2">
        <v>2021</v>
      </c>
      <c r="E52" s="1" t="s">
        <v>94</v>
      </c>
      <c r="F52" s="2">
        <v>201.5</v>
      </c>
      <c r="H52" s="1">
        <f>_xlfn.XLOOKUP('Customer Info'!A1206,'Customer Info'!A1206:A1305,'Customer Info'!E1206:E1305,0,0)</f>
        <v>0</v>
      </c>
      <c r="J52" s="1">
        <f>_xlfn.XLOOKUP('Customer Info'!A1206,'Customer Info'!A1206:A1305,'Customer Info'!M1206:M1305)</f>
        <v>0</v>
      </c>
    </row>
    <row r="53" spans="1:10" ht="14" hidden="1" x14ac:dyDescent="0.2">
      <c r="A53" s="2" t="s">
        <v>25</v>
      </c>
      <c r="B53" s="2">
        <v>8</v>
      </c>
      <c r="C53" s="2">
        <v>12</v>
      </c>
      <c r="D53" s="2">
        <v>2020</v>
      </c>
      <c r="E53" s="2">
        <v>0</v>
      </c>
      <c r="F53" s="2">
        <v>201.19</v>
      </c>
      <c r="H53" s="1">
        <f>_xlfn.XLOOKUP('Customer Info'!A896,'Customer Info'!A896:A995,'Customer Info'!E896:E995,0,0)</f>
        <v>0</v>
      </c>
      <c r="J53" s="1">
        <f>_xlfn.XLOOKUP('Customer Info'!A896,'Customer Info'!A896:A995,'Customer Info'!M896:M995)</f>
        <v>0</v>
      </c>
    </row>
    <row r="54" spans="1:10" ht="14" x14ac:dyDescent="0.2">
      <c r="A54" s="2" t="s">
        <v>21</v>
      </c>
      <c r="B54" s="2">
        <v>15</v>
      </c>
      <c r="C54" s="2">
        <v>12</v>
      </c>
      <c r="D54" s="2">
        <v>2021</v>
      </c>
      <c r="E54" s="2">
        <v>0</v>
      </c>
      <c r="F54" s="2">
        <v>200.26</v>
      </c>
      <c r="H54" s="1">
        <f>_xlfn.XLOOKUP('Customer Info'!A2092,'Customer Info'!A2092:A2191,'Customer Info'!E2092:E2191,0,0)</f>
        <v>0</v>
      </c>
      <c r="J54" s="1">
        <f>_xlfn.XLOOKUP('Customer Info'!A2092,'Customer Info'!A2092:A2191,'Customer Info'!M2092:M2191)</f>
        <v>0</v>
      </c>
    </row>
    <row r="55" spans="1:10" ht="14" x14ac:dyDescent="0.2">
      <c r="A55" s="2" t="s">
        <v>26</v>
      </c>
      <c r="B55" s="2">
        <v>22</v>
      </c>
      <c r="C55" s="2">
        <v>1</v>
      </c>
      <c r="D55" s="2">
        <v>2021</v>
      </c>
      <c r="E55" s="2">
        <v>0</v>
      </c>
      <c r="F55" s="2">
        <v>199.95</v>
      </c>
      <c r="H55" s="1">
        <f>_xlfn.XLOOKUP('Customer Info'!A2093,'Customer Info'!A2093:A2192,'Customer Info'!E2093:E2192,0,0)</f>
        <v>0</v>
      </c>
      <c r="J55" s="1">
        <f>_xlfn.XLOOKUP('Customer Info'!A2093,'Customer Info'!A2093:A2192,'Customer Info'!M2093:M2192)</f>
        <v>0</v>
      </c>
    </row>
    <row r="56" spans="1:10" ht="14" x14ac:dyDescent="0.2">
      <c r="A56" s="2" t="s">
        <v>31</v>
      </c>
      <c r="B56" s="2">
        <v>14</v>
      </c>
      <c r="C56" s="2">
        <v>2</v>
      </c>
      <c r="D56" s="2">
        <v>2021</v>
      </c>
      <c r="E56" s="1" t="s">
        <v>94</v>
      </c>
      <c r="F56" s="2">
        <v>199.92</v>
      </c>
      <c r="H56" s="1">
        <f>_xlfn.XLOOKUP('Customer Info'!A1207,'Customer Info'!A1207:A1306,'Customer Info'!E1207:E1306,0,0)</f>
        <v>0</v>
      </c>
      <c r="J56" s="1">
        <f>_xlfn.XLOOKUP('Customer Info'!A1207,'Customer Info'!A1207:A1306,'Customer Info'!M1207:M1306)</f>
        <v>0</v>
      </c>
    </row>
    <row r="57" spans="1:10" ht="14" hidden="1" x14ac:dyDescent="0.2">
      <c r="A57" s="2" t="s">
        <v>31</v>
      </c>
      <c r="B57" s="2">
        <v>14</v>
      </c>
      <c r="C57" s="2">
        <v>2</v>
      </c>
      <c r="D57" s="2">
        <v>2020</v>
      </c>
      <c r="E57" s="2">
        <v>0</v>
      </c>
      <c r="F57" s="2">
        <v>199.92</v>
      </c>
      <c r="H57" s="1">
        <f>_xlfn.XLOOKUP('Customer Info'!A897,'Customer Info'!A897:A996,'Customer Info'!E897:E996,0,0)</f>
        <v>0</v>
      </c>
      <c r="J57" s="1">
        <f>_xlfn.XLOOKUP('Customer Info'!A897,'Customer Info'!A897:A996,'Customer Info'!M897:M996)</f>
        <v>0</v>
      </c>
    </row>
    <row r="58" spans="1:10" ht="14" hidden="1" x14ac:dyDescent="0.2">
      <c r="A58" s="2" t="s">
        <v>26</v>
      </c>
      <c r="B58" s="2">
        <v>22</v>
      </c>
      <c r="C58" s="2">
        <v>1</v>
      </c>
      <c r="D58" s="2">
        <v>2020</v>
      </c>
      <c r="E58" s="1" t="s">
        <v>94</v>
      </c>
      <c r="F58" s="2">
        <v>199.33</v>
      </c>
      <c r="H58" s="1">
        <f>_xlfn.XLOOKUP('Customer Info'!A8,'Customer Info'!A8:A107,'Customer Info'!E8:E107,0,0)</f>
        <v>4</v>
      </c>
      <c r="I58" s="1" t="str">
        <f>_xlfn.XLOOKUP('Customer Info'!A8,'Customer Info'!A8:A107,'Customer Info'!J8:J107,0)</f>
        <v>SSW</v>
      </c>
      <c r="J58" s="1" t="b">
        <f>_xlfn.XLOOKUP('Customer Info'!A8,'Customer Info'!A8:A107,'Customer Info'!M8:M107)</f>
        <v>0</v>
      </c>
    </row>
    <row r="59" spans="1:10" ht="14" x14ac:dyDescent="0.2">
      <c r="A59" s="2" t="s">
        <v>31</v>
      </c>
      <c r="B59" s="2">
        <v>14</v>
      </c>
      <c r="C59" s="2">
        <v>12</v>
      </c>
      <c r="D59" s="2">
        <v>2021</v>
      </c>
      <c r="E59" s="2">
        <v>0</v>
      </c>
      <c r="F59" s="2">
        <v>199.33</v>
      </c>
      <c r="H59" s="1">
        <f>_xlfn.XLOOKUP('Customer Info'!A2094,'Customer Info'!A2094:A2193,'Customer Info'!E2094:E2193,0,0)</f>
        <v>0</v>
      </c>
      <c r="J59" s="1">
        <f>_xlfn.XLOOKUP('Customer Info'!A2094,'Customer Info'!A2094:A2193,'Customer Info'!M2094:M2193)</f>
        <v>0</v>
      </c>
    </row>
    <row r="60" spans="1:10" ht="14" x14ac:dyDescent="0.2">
      <c r="A60" s="2" t="s">
        <v>30</v>
      </c>
      <c r="B60" s="2">
        <v>2</v>
      </c>
      <c r="C60" s="2">
        <v>2</v>
      </c>
      <c r="D60" s="2">
        <v>2021</v>
      </c>
      <c r="E60" s="2">
        <v>0</v>
      </c>
      <c r="F60" s="2">
        <v>198.8</v>
      </c>
      <c r="H60" s="1">
        <f>_xlfn.XLOOKUP('Customer Info'!A2095,'Customer Info'!A2095:A2194,'Customer Info'!E2095:E2194,0,0)</f>
        <v>0</v>
      </c>
      <c r="J60" s="1">
        <f>_xlfn.XLOOKUP('Customer Info'!A2095,'Customer Info'!A2095:A2194,'Customer Info'!M2095:M2194)</f>
        <v>0</v>
      </c>
    </row>
    <row r="61" spans="1:10" ht="14" hidden="1" x14ac:dyDescent="0.2">
      <c r="A61" s="2" t="s">
        <v>16</v>
      </c>
      <c r="B61" s="2">
        <v>14</v>
      </c>
      <c r="C61" s="2">
        <v>1</v>
      </c>
      <c r="D61" s="2">
        <v>2020</v>
      </c>
      <c r="E61" s="2">
        <v>0</v>
      </c>
      <c r="F61" s="2">
        <v>198.71</v>
      </c>
      <c r="H61" s="1">
        <f>_xlfn.XLOOKUP('Customer Info'!A898,'Customer Info'!A898:A997,'Customer Info'!E898:E997,0,0)</f>
        <v>0</v>
      </c>
      <c r="J61" s="1">
        <f>_xlfn.XLOOKUP('Customer Info'!A898,'Customer Info'!A898:A997,'Customer Info'!M898:M997)</f>
        <v>0</v>
      </c>
    </row>
    <row r="62" spans="1:10" ht="14" hidden="1" x14ac:dyDescent="0.2">
      <c r="A62" s="2" t="s">
        <v>24</v>
      </c>
      <c r="B62" s="2">
        <v>22</v>
      </c>
      <c r="C62" s="2">
        <v>1</v>
      </c>
      <c r="D62" s="2">
        <v>2020</v>
      </c>
      <c r="E62" s="2">
        <v>0</v>
      </c>
      <c r="F62" s="2">
        <v>198.71</v>
      </c>
      <c r="H62" s="1">
        <f>_xlfn.XLOOKUP('Customer Info'!A899,'Customer Info'!A899:A998,'Customer Info'!E899:E998,0,0)</f>
        <v>0</v>
      </c>
      <c r="J62" s="1">
        <f>_xlfn.XLOOKUP('Customer Info'!A899,'Customer Info'!A899:A998,'Customer Info'!M899:M998)</f>
        <v>0</v>
      </c>
    </row>
    <row r="63" spans="1:10" ht="14" x14ac:dyDescent="0.2">
      <c r="A63" s="2" t="s">
        <v>8</v>
      </c>
      <c r="B63" s="2">
        <v>5</v>
      </c>
      <c r="C63" s="2">
        <v>1</v>
      </c>
      <c r="D63" s="2">
        <v>2021</v>
      </c>
      <c r="E63" s="2">
        <v>0</v>
      </c>
      <c r="F63" s="2">
        <v>198.71</v>
      </c>
      <c r="H63" s="1">
        <f>_xlfn.XLOOKUP('Customer Info'!A2096,'Customer Info'!A2096:A2195,'Customer Info'!E2096:E2195,0,0)</f>
        <v>0</v>
      </c>
      <c r="J63" s="1">
        <f>_xlfn.XLOOKUP('Customer Info'!A2096,'Customer Info'!A2096:A2195,'Customer Info'!M2096:M2195)</f>
        <v>0</v>
      </c>
    </row>
    <row r="64" spans="1:10" ht="14" x14ac:dyDescent="0.2">
      <c r="A64" s="2" t="s">
        <v>32</v>
      </c>
      <c r="B64" s="2">
        <v>17</v>
      </c>
      <c r="C64" s="2">
        <v>10</v>
      </c>
      <c r="D64" s="2">
        <v>2021</v>
      </c>
      <c r="E64" s="2">
        <v>0</v>
      </c>
      <c r="F64" s="2">
        <v>198.71</v>
      </c>
      <c r="H64" s="1">
        <f>_xlfn.XLOOKUP('Customer Info'!A2097,'Customer Info'!A2097:A2196,'Customer Info'!E2097:E2196,0,0)</f>
        <v>0</v>
      </c>
      <c r="J64" s="1">
        <f>_xlfn.XLOOKUP('Customer Info'!A2097,'Customer Info'!A2097:A2196,'Customer Info'!M2097:M2196)</f>
        <v>0</v>
      </c>
    </row>
    <row r="65" spans="1:10" ht="14" x14ac:dyDescent="0.2">
      <c r="A65" s="2" t="s">
        <v>11</v>
      </c>
      <c r="B65" s="2">
        <v>15</v>
      </c>
      <c r="C65" s="2">
        <v>1</v>
      </c>
      <c r="D65" s="2">
        <v>2021</v>
      </c>
      <c r="E65" s="1" t="s">
        <v>94</v>
      </c>
      <c r="F65" s="2">
        <v>198.4</v>
      </c>
      <c r="H65" s="1">
        <f>_xlfn.XLOOKUP('Customer Info'!A1208,'Customer Info'!A1208:A1307,'Customer Info'!E1208:E1307,0,0)</f>
        <v>0</v>
      </c>
      <c r="J65" s="1">
        <f>_xlfn.XLOOKUP('Customer Info'!A1208,'Customer Info'!A1208:A1307,'Customer Info'!M1208:M1307)</f>
        <v>0</v>
      </c>
    </row>
    <row r="66" spans="1:10" ht="14" hidden="1" x14ac:dyDescent="0.2">
      <c r="A66" s="2" t="s">
        <v>100</v>
      </c>
      <c r="B66" s="2">
        <v>1</v>
      </c>
      <c r="C66" s="2">
        <v>1</v>
      </c>
      <c r="D66" s="2">
        <v>2020</v>
      </c>
      <c r="E66" s="1" t="s">
        <v>94</v>
      </c>
      <c r="F66" s="2">
        <v>198.09</v>
      </c>
      <c r="H66" s="1">
        <f>_xlfn.XLOOKUP('Customer Info'!A9,'Customer Info'!A9:A108,'Customer Info'!E9:E108,0,0)</f>
        <v>2</v>
      </c>
      <c r="I66" s="1" t="str">
        <f>_xlfn.XLOOKUP('Customer Info'!A9,'Customer Info'!A9:A108,'Customer Info'!J9:J108,0)</f>
        <v>Mpower</v>
      </c>
      <c r="J66" s="1" t="b">
        <f>_xlfn.XLOOKUP('Customer Info'!A9,'Customer Info'!A9:A108,'Customer Info'!M9:M108)</f>
        <v>0</v>
      </c>
    </row>
    <row r="67" spans="1:10" ht="14" hidden="1" x14ac:dyDescent="0.2">
      <c r="A67" s="2" t="s">
        <v>18</v>
      </c>
      <c r="B67" s="2">
        <v>5</v>
      </c>
      <c r="C67" s="2">
        <v>1</v>
      </c>
      <c r="D67" s="2">
        <v>2020</v>
      </c>
      <c r="E67" s="2">
        <v>0</v>
      </c>
      <c r="F67" s="2">
        <v>197.78</v>
      </c>
      <c r="H67" s="1">
        <f>_xlfn.XLOOKUP('Customer Info'!A900,'Customer Info'!A900:A999,'Customer Info'!E900:E999,0,0)</f>
        <v>0</v>
      </c>
      <c r="J67" s="1">
        <f>_xlfn.XLOOKUP('Customer Info'!A900,'Customer Info'!A900:A999,'Customer Info'!M900:M999)</f>
        <v>0</v>
      </c>
    </row>
    <row r="68" spans="1:10" ht="14" x14ac:dyDescent="0.2">
      <c r="A68" s="2" t="s">
        <v>11</v>
      </c>
      <c r="B68" s="2">
        <v>15</v>
      </c>
      <c r="C68" s="2">
        <v>12</v>
      </c>
      <c r="D68" s="2">
        <v>2021</v>
      </c>
      <c r="E68" s="2">
        <v>0</v>
      </c>
      <c r="F68" s="2">
        <v>197.78</v>
      </c>
      <c r="H68" s="1">
        <f>_xlfn.XLOOKUP('Customer Info'!A2098,'Customer Info'!A2098:A2197,'Customer Info'!E2098:E2197,0,0)</f>
        <v>0</v>
      </c>
      <c r="J68" s="1">
        <f>_xlfn.XLOOKUP('Customer Info'!A2098,'Customer Info'!A2098:A2197,'Customer Info'!M2098:M2197)</f>
        <v>0</v>
      </c>
    </row>
    <row r="69" spans="1:10" ht="14" x14ac:dyDescent="0.2">
      <c r="A69" s="2" t="s">
        <v>98</v>
      </c>
      <c r="B69" s="2">
        <v>21</v>
      </c>
      <c r="C69" s="2">
        <v>12</v>
      </c>
      <c r="D69" s="2">
        <v>2021</v>
      </c>
      <c r="E69" s="1" t="s">
        <v>94</v>
      </c>
      <c r="F69" s="2">
        <v>197.47</v>
      </c>
      <c r="H69" s="1">
        <f>_xlfn.XLOOKUP('Customer Info'!A1209,'Customer Info'!A1209:A1308,'Customer Info'!E1209:E1308,0,0)</f>
        <v>0</v>
      </c>
      <c r="J69" s="1">
        <f>_xlfn.XLOOKUP('Customer Info'!A1209,'Customer Info'!A1209:A1308,'Customer Info'!M1209:M1308)</f>
        <v>0</v>
      </c>
    </row>
    <row r="70" spans="1:10" ht="14" x14ac:dyDescent="0.2">
      <c r="A70" s="2" t="s">
        <v>23</v>
      </c>
      <c r="B70" s="2">
        <v>5</v>
      </c>
      <c r="C70" s="2">
        <v>11</v>
      </c>
      <c r="D70" s="2">
        <v>2021</v>
      </c>
      <c r="E70" s="2">
        <v>0</v>
      </c>
      <c r="F70" s="2">
        <v>197.1</v>
      </c>
      <c r="H70" s="1">
        <f>_xlfn.XLOOKUP('Customer Info'!A2099,'Customer Info'!A2099:A2198,'Customer Info'!E2099:E2198,0,0)</f>
        <v>0</v>
      </c>
      <c r="J70" s="1">
        <f>_xlfn.XLOOKUP('Customer Info'!A2099,'Customer Info'!A2099:A2198,'Customer Info'!M2099:M2198)</f>
        <v>0</v>
      </c>
    </row>
    <row r="71" spans="1:10" ht="14" x14ac:dyDescent="0.2">
      <c r="A71" s="2" t="s">
        <v>15</v>
      </c>
      <c r="B71" s="2">
        <v>5</v>
      </c>
      <c r="C71" s="2">
        <v>12</v>
      </c>
      <c r="D71" s="2">
        <v>2021</v>
      </c>
      <c r="E71" s="2">
        <v>0</v>
      </c>
      <c r="F71" s="2">
        <v>196.85</v>
      </c>
      <c r="H71" s="1">
        <f>_xlfn.XLOOKUP('Customer Info'!A2100,'Customer Info'!A2100:A2199,'Customer Info'!E2100:E2199,0,0)</f>
        <v>0</v>
      </c>
      <c r="J71" s="1">
        <f>_xlfn.XLOOKUP('Customer Info'!A2100,'Customer Info'!A2100:A2199,'Customer Info'!M2100:M2199)</f>
        <v>0</v>
      </c>
    </row>
    <row r="72" spans="1:10" ht="14" hidden="1" x14ac:dyDescent="0.2">
      <c r="A72" s="2" t="s">
        <v>28</v>
      </c>
      <c r="B72" s="2">
        <v>5</v>
      </c>
      <c r="C72" s="2">
        <v>2</v>
      </c>
      <c r="D72" s="2">
        <v>2020</v>
      </c>
      <c r="E72" s="2">
        <v>0</v>
      </c>
      <c r="F72" s="2">
        <v>196.84</v>
      </c>
      <c r="H72" s="1">
        <f>_xlfn.XLOOKUP('Customer Info'!A901,'Customer Info'!A901:A1000,'Customer Info'!E901:E1000,0,0)</f>
        <v>0</v>
      </c>
      <c r="J72" s="1">
        <f>_xlfn.XLOOKUP('Customer Info'!A901,'Customer Info'!A901:A1000,'Customer Info'!M901:M1000)</f>
        <v>0</v>
      </c>
    </row>
    <row r="73" spans="1:10" ht="14" hidden="1" x14ac:dyDescent="0.2">
      <c r="A73" s="2" t="s">
        <v>11</v>
      </c>
      <c r="B73" s="2">
        <v>15</v>
      </c>
      <c r="C73" s="2">
        <v>11</v>
      </c>
      <c r="D73" s="2">
        <v>2020</v>
      </c>
      <c r="E73" s="2">
        <v>0</v>
      </c>
      <c r="F73" s="2">
        <v>196.8</v>
      </c>
      <c r="H73" s="1">
        <f>_xlfn.XLOOKUP('Customer Info'!A902,'Customer Info'!A902:A1001,'Customer Info'!E902:E1001,0,0)</f>
        <v>0</v>
      </c>
      <c r="J73" s="1">
        <f>_xlfn.XLOOKUP('Customer Info'!A902,'Customer Info'!A902:A1001,'Customer Info'!M902:M1001)</f>
        <v>0</v>
      </c>
    </row>
    <row r="74" spans="1:10" ht="14" x14ac:dyDescent="0.2">
      <c r="A74" s="2" t="s">
        <v>32</v>
      </c>
      <c r="B74" s="2">
        <v>17</v>
      </c>
      <c r="C74" s="2">
        <v>3</v>
      </c>
      <c r="D74" s="2">
        <v>2021</v>
      </c>
      <c r="E74" s="2">
        <v>0</v>
      </c>
      <c r="F74" s="2">
        <v>196.54</v>
      </c>
      <c r="H74" s="1">
        <f>_xlfn.XLOOKUP('Customer Info'!A2101,'Customer Info'!A2101:A2200,'Customer Info'!E2101:E2200,0,0)</f>
        <v>0</v>
      </c>
      <c r="J74" s="1">
        <f>_xlfn.XLOOKUP('Customer Info'!A2101,'Customer Info'!A2101:A2200,'Customer Info'!M2101:M2200)</f>
        <v>0</v>
      </c>
    </row>
    <row r="75" spans="1:10" ht="14" x14ac:dyDescent="0.2">
      <c r="A75" s="2" t="s">
        <v>30</v>
      </c>
      <c r="B75" s="2">
        <v>2</v>
      </c>
      <c r="C75" s="2">
        <v>4</v>
      </c>
      <c r="D75" s="2">
        <v>2021</v>
      </c>
      <c r="E75" s="2">
        <v>0</v>
      </c>
      <c r="F75" s="2">
        <v>196.5</v>
      </c>
      <c r="H75" s="1">
        <f>_xlfn.XLOOKUP('Customer Info'!A2102,'Customer Info'!A2102:A2201,'Customer Info'!E2102:E2201,0,0)</f>
        <v>0</v>
      </c>
      <c r="J75" s="1">
        <f>_xlfn.XLOOKUP('Customer Info'!A2102,'Customer Info'!A2102:A2201,'Customer Info'!M2102:M2201)</f>
        <v>0</v>
      </c>
    </row>
    <row r="76" spans="1:10" ht="14" x14ac:dyDescent="0.2">
      <c r="A76" s="2" t="s">
        <v>17</v>
      </c>
      <c r="B76" s="2">
        <v>8</v>
      </c>
      <c r="C76" s="2">
        <v>1</v>
      </c>
      <c r="D76" s="2">
        <v>2021</v>
      </c>
      <c r="E76" s="1" t="s">
        <v>94</v>
      </c>
      <c r="F76" s="2">
        <v>195.92</v>
      </c>
      <c r="H76" s="1">
        <f>_xlfn.XLOOKUP('Customer Info'!A1210,'Customer Info'!A1210:A1309,'Customer Info'!E1210:E1309,0,0)</f>
        <v>0</v>
      </c>
      <c r="J76" s="1">
        <f>_xlfn.XLOOKUP('Customer Info'!A1210,'Customer Info'!A1210:A1309,'Customer Info'!M1210:M1309)</f>
        <v>0</v>
      </c>
    </row>
    <row r="77" spans="1:10" ht="14" x14ac:dyDescent="0.2">
      <c r="A77" s="2" t="s">
        <v>9</v>
      </c>
      <c r="B77" s="2">
        <v>22</v>
      </c>
      <c r="C77" s="2">
        <v>1</v>
      </c>
      <c r="D77" s="2">
        <v>2021</v>
      </c>
      <c r="E77" s="2">
        <v>0</v>
      </c>
      <c r="F77" s="2">
        <v>195.92</v>
      </c>
      <c r="H77" s="1">
        <f>_xlfn.XLOOKUP('Customer Info'!A2103,'Customer Info'!A2103:A2202,'Customer Info'!E2103:E2202,0,0)</f>
        <v>0</v>
      </c>
      <c r="J77" s="1">
        <f>_xlfn.XLOOKUP('Customer Info'!A2103,'Customer Info'!A2103:A2202,'Customer Info'!M2103:M2202)</f>
        <v>0</v>
      </c>
    </row>
    <row r="78" spans="1:10" ht="14" hidden="1" x14ac:dyDescent="0.2">
      <c r="A78" s="2" t="s">
        <v>24</v>
      </c>
      <c r="B78" s="2">
        <v>22</v>
      </c>
      <c r="C78" s="2">
        <v>11</v>
      </c>
      <c r="D78" s="2">
        <v>2020</v>
      </c>
      <c r="E78" s="2">
        <v>0</v>
      </c>
      <c r="F78" s="2">
        <v>195.3</v>
      </c>
      <c r="H78" s="1">
        <f>_xlfn.XLOOKUP('Customer Info'!A903,'Customer Info'!A903:A1002,'Customer Info'!E903:E1002,0,0)</f>
        <v>0</v>
      </c>
      <c r="J78" s="1">
        <f>_xlfn.XLOOKUP('Customer Info'!A903,'Customer Info'!A903:A1002,'Customer Info'!M903:M1002)</f>
        <v>0</v>
      </c>
    </row>
    <row r="79" spans="1:10" ht="14" x14ac:dyDescent="0.2">
      <c r="A79" s="2" t="s">
        <v>18</v>
      </c>
      <c r="B79" s="2">
        <v>5</v>
      </c>
      <c r="C79" s="2">
        <v>12</v>
      </c>
      <c r="D79" s="2">
        <v>2021</v>
      </c>
      <c r="E79" s="2">
        <v>0</v>
      </c>
      <c r="F79" s="2">
        <v>195.3</v>
      </c>
      <c r="H79" s="1">
        <f>_xlfn.XLOOKUP('Customer Info'!A2104,'Customer Info'!A2104:A2203,'Customer Info'!E2104:E2203,0,0)</f>
        <v>0</v>
      </c>
      <c r="J79" s="1">
        <f>_xlfn.XLOOKUP('Customer Info'!A2104,'Customer Info'!A2104:A2203,'Customer Info'!M2104:M2203)</f>
        <v>0</v>
      </c>
    </row>
    <row r="80" spans="1:10" ht="14" hidden="1" x14ac:dyDescent="0.2">
      <c r="A80" s="2" t="s">
        <v>31</v>
      </c>
      <c r="B80" s="2">
        <v>14</v>
      </c>
      <c r="C80" s="2">
        <v>12</v>
      </c>
      <c r="D80" s="2">
        <v>2020</v>
      </c>
      <c r="E80" s="2">
        <v>0</v>
      </c>
      <c r="F80" s="2">
        <v>194.99</v>
      </c>
      <c r="H80" s="1">
        <f>_xlfn.XLOOKUP('Customer Info'!A904,'Customer Info'!A904:A1003,'Customer Info'!E904:E1003,0,0)</f>
        <v>0</v>
      </c>
      <c r="J80" s="1">
        <f>_xlfn.XLOOKUP('Customer Info'!A904,'Customer Info'!A904:A1003,'Customer Info'!M904:M1003)</f>
        <v>0</v>
      </c>
    </row>
    <row r="81" spans="1:10" ht="14" x14ac:dyDescent="0.2">
      <c r="A81" s="2" t="s">
        <v>22</v>
      </c>
      <c r="B81" s="2">
        <v>22</v>
      </c>
      <c r="C81" s="2">
        <v>2</v>
      </c>
      <c r="D81" s="2">
        <v>2021</v>
      </c>
      <c r="E81" s="2">
        <v>0</v>
      </c>
      <c r="F81" s="2">
        <v>194.88</v>
      </c>
      <c r="H81" s="1">
        <f>_xlfn.XLOOKUP('Customer Info'!A2105,'Customer Info'!A2105:A2204,'Customer Info'!E2105:E2204,0,0)</f>
        <v>0</v>
      </c>
      <c r="J81" s="1">
        <f>_xlfn.XLOOKUP('Customer Info'!A2105,'Customer Info'!A2105:A2204,'Customer Info'!M2105:M2204)</f>
        <v>0</v>
      </c>
    </row>
    <row r="82" spans="1:10" ht="14" hidden="1" x14ac:dyDescent="0.2">
      <c r="A82" s="2" t="s">
        <v>11</v>
      </c>
      <c r="B82" s="2">
        <v>15</v>
      </c>
      <c r="C82" s="2">
        <v>12</v>
      </c>
      <c r="D82" s="2">
        <v>2020</v>
      </c>
      <c r="E82" s="2">
        <v>0</v>
      </c>
      <c r="F82" s="2">
        <v>194.68</v>
      </c>
      <c r="H82" s="1">
        <f>_xlfn.XLOOKUP('Customer Info'!A905,'Customer Info'!A905:A1004,'Customer Info'!E905:E1004,0,0)</f>
        <v>0</v>
      </c>
      <c r="J82" s="1">
        <f>_xlfn.XLOOKUP('Customer Info'!A905,'Customer Info'!A905:A1004,'Customer Info'!M905:M1004)</f>
        <v>0</v>
      </c>
    </row>
    <row r="83" spans="1:10" ht="14" x14ac:dyDescent="0.2">
      <c r="A83" s="2" t="s">
        <v>9</v>
      </c>
      <c r="B83" s="2">
        <v>22</v>
      </c>
      <c r="C83" s="2">
        <v>11</v>
      </c>
      <c r="D83" s="2">
        <v>2021</v>
      </c>
      <c r="E83" s="2">
        <v>0</v>
      </c>
      <c r="F83" s="2">
        <v>194.4</v>
      </c>
      <c r="H83" s="1">
        <f>_xlfn.XLOOKUP('Customer Info'!A2106,'Customer Info'!A2106:A2205,'Customer Info'!E2106:E2205,0,0)</f>
        <v>0</v>
      </c>
      <c r="J83" s="1">
        <f>_xlfn.XLOOKUP('Customer Info'!A2106,'Customer Info'!A2106:A2205,'Customer Info'!M2106:M2205)</f>
        <v>0</v>
      </c>
    </row>
    <row r="84" spans="1:10" ht="14" hidden="1" x14ac:dyDescent="0.2">
      <c r="A84" s="2" t="s">
        <v>100</v>
      </c>
      <c r="B84" s="2">
        <v>1</v>
      </c>
      <c r="C84" s="2">
        <v>12</v>
      </c>
      <c r="D84" s="2">
        <v>2020</v>
      </c>
      <c r="E84" s="1" t="s">
        <v>94</v>
      </c>
      <c r="F84" s="2">
        <v>194.06</v>
      </c>
      <c r="H84" s="1">
        <f>_xlfn.XLOOKUP('Customer Info'!A10,'Customer Info'!A10:A109,'Customer Info'!E10:E109,0,0)</f>
        <v>3</v>
      </c>
      <c r="I84" s="1" t="str">
        <f>_xlfn.XLOOKUP('Customer Info'!A10,'Customer Info'!A10:A109,'Customer Info'!J10:J109,0)</f>
        <v>SSW</v>
      </c>
      <c r="J84" s="1" t="b">
        <f>_xlfn.XLOOKUP('Customer Info'!A10,'Customer Info'!A10:A109,'Customer Info'!M10:M109)</f>
        <v>0</v>
      </c>
    </row>
    <row r="85" spans="1:10" ht="14" x14ac:dyDescent="0.2">
      <c r="A85" s="2" t="s">
        <v>6</v>
      </c>
      <c r="B85" s="2">
        <v>7</v>
      </c>
      <c r="C85" s="2">
        <v>12</v>
      </c>
      <c r="D85" s="2">
        <v>2021</v>
      </c>
      <c r="E85" s="1" t="s">
        <v>94</v>
      </c>
      <c r="F85" s="2">
        <v>193.75</v>
      </c>
      <c r="H85" s="1">
        <f>_xlfn.XLOOKUP('Customer Info'!A1211,'Customer Info'!A1211:A1310,'Customer Info'!E1211:E1310,0,0)</f>
        <v>0</v>
      </c>
      <c r="J85" s="1">
        <f>_xlfn.XLOOKUP('Customer Info'!A1211,'Customer Info'!A1211:A1310,'Customer Info'!M1211:M1310)</f>
        <v>0</v>
      </c>
    </row>
    <row r="86" spans="1:10" ht="14" x14ac:dyDescent="0.2">
      <c r="A86" s="2" t="s">
        <v>27</v>
      </c>
      <c r="B86" s="2">
        <v>1</v>
      </c>
      <c r="C86" s="2">
        <v>2</v>
      </c>
      <c r="D86" s="2">
        <v>2021</v>
      </c>
      <c r="E86" s="2">
        <v>0</v>
      </c>
      <c r="F86" s="2">
        <v>193.48</v>
      </c>
      <c r="H86" s="1">
        <f>_xlfn.XLOOKUP('Customer Info'!A2107,'Customer Info'!A2107:A2206,'Customer Info'!E2107:E2206,0,0)</f>
        <v>0</v>
      </c>
      <c r="J86" s="1">
        <f>_xlfn.XLOOKUP('Customer Info'!A2107,'Customer Info'!A2107:A2206,'Customer Info'!M2107:M2206)</f>
        <v>0</v>
      </c>
    </row>
    <row r="87" spans="1:10" ht="14" hidden="1" x14ac:dyDescent="0.2">
      <c r="A87" s="2" t="s">
        <v>26</v>
      </c>
      <c r="B87" s="2">
        <v>22</v>
      </c>
      <c r="C87" s="2">
        <v>12</v>
      </c>
      <c r="D87" s="2">
        <v>2020</v>
      </c>
      <c r="E87" s="1" t="s">
        <v>94</v>
      </c>
      <c r="F87" s="2">
        <v>193.13</v>
      </c>
      <c r="H87" s="1">
        <f>_xlfn.XLOOKUP('Customer Info'!A11,'Customer Info'!A11:A110,'Customer Info'!E11:E110,0,0)</f>
        <v>2</v>
      </c>
      <c r="I87" s="1" t="str">
        <f>_xlfn.XLOOKUP('Customer Info'!A11,'Customer Info'!A11:A110,'Customer Info'!J11:J110,0)</f>
        <v>Scottish Gas</v>
      </c>
      <c r="J87" s="1" t="b">
        <f>_xlfn.XLOOKUP('Customer Info'!A11,'Customer Info'!A11:A110,'Customer Info'!M11:M110)</f>
        <v>0</v>
      </c>
    </row>
    <row r="88" spans="1:10" ht="14" x14ac:dyDescent="0.2">
      <c r="A88" s="2" t="s">
        <v>20</v>
      </c>
      <c r="B88" s="2">
        <v>12</v>
      </c>
      <c r="C88" s="2">
        <v>11</v>
      </c>
      <c r="D88" s="2">
        <v>2021</v>
      </c>
      <c r="E88" s="1" t="s">
        <v>94</v>
      </c>
      <c r="F88" s="2">
        <v>192.9</v>
      </c>
      <c r="H88" s="1">
        <f>_xlfn.XLOOKUP('Customer Info'!A1212,'Customer Info'!A1212:A1311,'Customer Info'!E1212:E1311,0,0)</f>
        <v>0</v>
      </c>
      <c r="J88" s="1">
        <f>_xlfn.XLOOKUP('Customer Info'!A1212,'Customer Info'!A1212:A1311,'Customer Info'!M1212:M1311)</f>
        <v>0</v>
      </c>
    </row>
    <row r="89" spans="1:10" ht="14" x14ac:dyDescent="0.2">
      <c r="A89" s="2" t="s">
        <v>22</v>
      </c>
      <c r="B89" s="2">
        <v>22</v>
      </c>
      <c r="C89" s="2">
        <v>12</v>
      </c>
      <c r="D89" s="2">
        <v>2021</v>
      </c>
      <c r="E89" s="1" t="s">
        <v>94</v>
      </c>
      <c r="F89" s="2">
        <v>192.82</v>
      </c>
      <c r="H89" s="1">
        <f>_xlfn.XLOOKUP('Customer Info'!A1213,'Customer Info'!A1213:A1312,'Customer Info'!E1213:E1312,0,0)</f>
        <v>0</v>
      </c>
      <c r="J89" s="1">
        <f>_xlfn.XLOOKUP('Customer Info'!A1213,'Customer Info'!A1213:A1312,'Customer Info'!M1213:M1312)</f>
        <v>0</v>
      </c>
    </row>
    <row r="90" spans="1:10" ht="14" x14ac:dyDescent="0.2">
      <c r="A90" s="2" t="s">
        <v>6</v>
      </c>
      <c r="B90" s="2">
        <v>7</v>
      </c>
      <c r="C90" s="2">
        <v>1</v>
      </c>
      <c r="D90" s="2">
        <v>2021</v>
      </c>
      <c r="E90" s="2">
        <v>0</v>
      </c>
      <c r="F90" s="2">
        <v>192.82</v>
      </c>
      <c r="H90" s="1">
        <f>_xlfn.XLOOKUP('Customer Info'!A2108,'Customer Info'!A2108:A2207,'Customer Info'!E2108:E2207,0,0)</f>
        <v>0</v>
      </c>
      <c r="J90" s="1">
        <f>_xlfn.XLOOKUP('Customer Info'!A2108,'Customer Info'!A2108:A2207,'Customer Info'!M2108:M2207)</f>
        <v>0</v>
      </c>
    </row>
    <row r="91" spans="1:10" ht="14" hidden="1" x14ac:dyDescent="0.2">
      <c r="A91" s="2" t="s">
        <v>8</v>
      </c>
      <c r="B91" s="2">
        <v>5</v>
      </c>
      <c r="C91" s="2">
        <v>1</v>
      </c>
      <c r="D91" s="2">
        <v>2020</v>
      </c>
      <c r="E91" s="2">
        <v>0</v>
      </c>
      <c r="F91" s="2">
        <v>192.51</v>
      </c>
      <c r="H91" s="1">
        <f>_xlfn.XLOOKUP('Customer Info'!A906,'Customer Info'!A906:A1005,'Customer Info'!E906:E1005,0,0)</f>
        <v>0</v>
      </c>
      <c r="J91" s="1">
        <f>_xlfn.XLOOKUP('Customer Info'!A906,'Customer Info'!A906:A1005,'Customer Info'!M906:M1005)</f>
        <v>0</v>
      </c>
    </row>
    <row r="92" spans="1:10" ht="14" x14ac:dyDescent="0.2">
      <c r="A92" s="2" t="s">
        <v>14</v>
      </c>
      <c r="B92" s="2">
        <v>10</v>
      </c>
      <c r="C92" s="2">
        <v>12</v>
      </c>
      <c r="D92" s="2">
        <v>2021</v>
      </c>
      <c r="E92" s="2">
        <v>0</v>
      </c>
      <c r="F92" s="2">
        <v>192.51</v>
      </c>
      <c r="H92" s="1">
        <f>_xlfn.XLOOKUP('Customer Info'!A2109,'Customer Info'!A2109:A2208,'Customer Info'!E2109:E2208,0,0)</f>
        <v>0</v>
      </c>
      <c r="J92" s="1">
        <f>_xlfn.XLOOKUP('Customer Info'!A2109,'Customer Info'!A2109:A2208,'Customer Info'!M2109:M2208)</f>
        <v>0</v>
      </c>
    </row>
    <row r="93" spans="1:10" ht="14" hidden="1" x14ac:dyDescent="0.2">
      <c r="A93" s="2" t="s">
        <v>27</v>
      </c>
      <c r="B93" s="2">
        <v>1</v>
      </c>
      <c r="C93" s="2">
        <v>1</v>
      </c>
      <c r="D93" s="2">
        <v>2020</v>
      </c>
      <c r="E93" s="1" t="s">
        <v>94</v>
      </c>
      <c r="F93" s="2">
        <v>192.2</v>
      </c>
      <c r="H93" s="1">
        <f>_xlfn.XLOOKUP('Customer Info'!A12,'Customer Info'!A12:A111,'Customer Info'!E12:E111,0,0)</f>
        <v>2</v>
      </c>
      <c r="I93" s="1" t="str">
        <f>_xlfn.XLOOKUP('Customer Info'!A12,'Customer Info'!A12:A111,'Customer Info'!J12:J111,0)</f>
        <v>SSW</v>
      </c>
      <c r="J93" s="1" t="b">
        <f>_xlfn.XLOOKUP('Customer Info'!A12,'Customer Info'!A12:A111,'Customer Info'!M12:M111)</f>
        <v>0</v>
      </c>
    </row>
    <row r="94" spans="1:10" ht="14" hidden="1" x14ac:dyDescent="0.2">
      <c r="A94" s="2" t="s">
        <v>24</v>
      </c>
      <c r="B94" s="2">
        <v>22</v>
      </c>
      <c r="C94" s="2">
        <v>12</v>
      </c>
      <c r="D94" s="2">
        <v>2020</v>
      </c>
      <c r="E94" s="2">
        <v>0</v>
      </c>
      <c r="F94" s="2">
        <v>192.2</v>
      </c>
      <c r="H94" s="1">
        <f>_xlfn.XLOOKUP('Customer Info'!A907,'Customer Info'!A907:A1006,'Customer Info'!E907:E1006,0,0)</f>
        <v>0</v>
      </c>
      <c r="J94" s="1">
        <f>_xlfn.XLOOKUP('Customer Info'!A907,'Customer Info'!A907:A1006,'Customer Info'!M907:M1006)</f>
        <v>0</v>
      </c>
    </row>
    <row r="95" spans="1:10" ht="14" hidden="1" x14ac:dyDescent="0.2">
      <c r="A95" s="2" t="s">
        <v>17</v>
      </c>
      <c r="B95" s="2">
        <v>8</v>
      </c>
      <c r="C95" s="2">
        <v>1</v>
      </c>
      <c r="D95" s="2">
        <v>2020</v>
      </c>
      <c r="E95" s="2">
        <v>0</v>
      </c>
      <c r="F95" s="2">
        <v>191.89</v>
      </c>
      <c r="H95" s="1">
        <f>_xlfn.XLOOKUP('Customer Info'!A908,'Customer Info'!A908:A1007,'Customer Info'!E908:E1007,0,0)</f>
        <v>0</v>
      </c>
      <c r="J95" s="1">
        <f>_xlfn.XLOOKUP('Customer Info'!A908,'Customer Info'!A908:A1007,'Customer Info'!M908:M1007)</f>
        <v>0</v>
      </c>
    </row>
    <row r="96" spans="1:10" ht="14" x14ac:dyDescent="0.2">
      <c r="A96" s="2" t="s">
        <v>27</v>
      </c>
      <c r="B96" s="2">
        <v>1</v>
      </c>
      <c r="C96" s="2">
        <v>10</v>
      </c>
      <c r="D96" s="2">
        <v>2021</v>
      </c>
      <c r="E96" s="2">
        <v>0</v>
      </c>
      <c r="F96" s="2">
        <v>191.89</v>
      </c>
      <c r="H96" s="1">
        <f>_xlfn.XLOOKUP('Customer Info'!A2110,'Customer Info'!A2110:A2209,'Customer Info'!E2110:E2209,0,0)</f>
        <v>0</v>
      </c>
      <c r="J96" s="1">
        <f>_xlfn.XLOOKUP('Customer Info'!A2110,'Customer Info'!A2110:A2209,'Customer Info'!M2110:M2209)</f>
        <v>0</v>
      </c>
    </row>
    <row r="97" spans="1:10" ht="14" hidden="1" x14ac:dyDescent="0.2">
      <c r="A97" s="2" t="s">
        <v>31</v>
      </c>
      <c r="B97" s="2">
        <v>14</v>
      </c>
      <c r="C97" s="2">
        <v>3</v>
      </c>
      <c r="D97" s="2">
        <v>2020</v>
      </c>
      <c r="E97" s="2">
        <v>0</v>
      </c>
      <c r="F97" s="2">
        <v>190.65</v>
      </c>
      <c r="H97" s="1">
        <f>_xlfn.XLOOKUP('Customer Info'!A909,'Customer Info'!A909:A1008,'Customer Info'!E909:E1008,0,0)</f>
        <v>0</v>
      </c>
      <c r="J97" s="1">
        <f>_xlfn.XLOOKUP('Customer Info'!A909,'Customer Info'!A909:A1008,'Customer Info'!M909:M1008)</f>
        <v>0</v>
      </c>
    </row>
    <row r="98" spans="1:10" ht="14" x14ac:dyDescent="0.2">
      <c r="A98" s="2" t="s">
        <v>5</v>
      </c>
      <c r="B98" s="2">
        <v>7</v>
      </c>
      <c r="C98" s="2">
        <v>12</v>
      </c>
      <c r="D98" s="2">
        <v>2021</v>
      </c>
      <c r="E98" s="2">
        <v>0</v>
      </c>
      <c r="F98" s="2">
        <v>190.65</v>
      </c>
      <c r="H98" s="1">
        <f>_xlfn.XLOOKUP('Customer Info'!A2111,'Customer Info'!A2111:A2210,'Customer Info'!E2111:E2210,0,0)</f>
        <v>0</v>
      </c>
      <c r="J98" s="1">
        <f>_xlfn.XLOOKUP('Customer Info'!A2111,'Customer Info'!A2111:A2210,'Customer Info'!M2111:M2210)</f>
        <v>0</v>
      </c>
    </row>
    <row r="99" spans="1:10" ht="14" hidden="1" x14ac:dyDescent="0.2">
      <c r="A99" s="2" t="s">
        <v>14</v>
      </c>
      <c r="B99" s="2">
        <v>10</v>
      </c>
      <c r="C99" s="2">
        <v>12</v>
      </c>
      <c r="D99" s="2">
        <v>2020</v>
      </c>
      <c r="E99" s="2">
        <v>0</v>
      </c>
      <c r="F99" s="2">
        <v>190.34</v>
      </c>
      <c r="H99" s="1">
        <f>_xlfn.XLOOKUP('Customer Info'!A910,'Customer Info'!A910:A1009,'Customer Info'!E910:E1009,0,0)</f>
        <v>0</v>
      </c>
      <c r="J99" s="1">
        <f>_xlfn.XLOOKUP('Customer Info'!A910,'Customer Info'!A910:A1009,'Customer Info'!M910:M1009)</f>
        <v>0</v>
      </c>
    </row>
    <row r="100" spans="1:10" ht="14" hidden="1" x14ac:dyDescent="0.2">
      <c r="A100" s="2" t="s">
        <v>26</v>
      </c>
      <c r="B100" s="2">
        <v>22</v>
      </c>
      <c r="C100" s="2">
        <v>2</v>
      </c>
      <c r="D100" s="2">
        <v>2020</v>
      </c>
      <c r="E100" s="2">
        <v>0</v>
      </c>
      <c r="F100" s="2">
        <v>189.84</v>
      </c>
      <c r="H100" s="1">
        <f>_xlfn.XLOOKUP('Customer Info'!A911,'Customer Info'!A911:A1010,'Customer Info'!E911:E1010,0,0)</f>
        <v>0</v>
      </c>
      <c r="J100" s="1">
        <f>_xlfn.XLOOKUP('Customer Info'!A911,'Customer Info'!A911:A1010,'Customer Info'!M911:M1010)</f>
        <v>0</v>
      </c>
    </row>
    <row r="101" spans="1:10" ht="14" hidden="1" x14ac:dyDescent="0.2">
      <c r="A101" s="2" t="s">
        <v>19</v>
      </c>
      <c r="B101" s="2">
        <v>24</v>
      </c>
      <c r="C101" s="2">
        <v>11</v>
      </c>
      <c r="D101" s="2">
        <v>2020</v>
      </c>
      <c r="E101" s="2">
        <v>0</v>
      </c>
      <c r="F101" s="2">
        <v>188.7</v>
      </c>
      <c r="H101" s="1">
        <f>_xlfn.XLOOKUP('Customer Info'!A912,'Customer Info'!A912:A1011,'Customer Info'!E912:E1011,0,0)</f>
        <v>0</v>
      </c>
      <c r="J101" s="1">
        <f>_xlfn.XLOOKUP('Customer Info'!A912,'Customer Info'!A912:A1011,'Customer Info'!M912:M1011)</f>
        <v>0</v>
      </c>
    </row>
    <row r="102" spans="1:10" ht="14" x14ac:dyDescent="0.2">
      <c r="A102" s="2" t="s">
        <v>20</v>
      </c>
      <c r="B102" s="2">
        <v>12</v>
      </c>
      <c r="C102" s="2">
        <v>2</v>
      </c>
      <c r="D102" s="2">
        <v>2021</v>
      </c>
      <c r="E102" s="2">
        <v>0</v>
      </c>
      <c r="F102" s="2">
        <v>188.16</v>
      </c>
      <c r="H102" s="1">
        <f>_xlfn.XLOOKUP('Customer Info'!A2112,'Customer Info'!A2112:A2211,'Customer Info'!E2112:E2211,0,0)</f>
        <v>0</v>
      </c>
      <c r="J102" s="1">
        <f>_xlfn.XLOOKUP('Customer Info'!A2112,'Customer Info'!A2112:A2211,'Customer Info'!M2112:M2211)</f>
        <v>0</v>
      </c>
    </row>
    <row r="103" spans="1:10" ht="14" hidden="1" x14ac:dyDescent="0.2">
      <c r="A103" s="2" t="s">
        <v>23</v>
      </c>
      <c r="B103" s="2">
        <v>5</v>
      </c>
      <c r="C103" s="2">
        <v>11</v>
      </c>
      <c r="D103" s="2">
        <v>2020</v>
      </c>
      <c r="E103" s="2">
        <v>0</v>
      </c>
      <c r="F103" s="2">
        <v>188.1</v>
      </c>
      <c r="H103" s="1">
        <f>_xlfn.XLOOKUP('Customer Info'!A913,'Customer Info'!A913:A1012,'Customer Info'!E913:E1012,0,0)</f>
        <v>0</v>
      </c>
      <c r="J103" s="1">
        <f>_xlfn.XLOOKUP('Customer Info'!A913,'Customer Info'!A913:A1012,'Customer Info'!M913:M1012)</f>
        <v>0</v>
      </c>
    </row>
    <row r="104" spans="1:10" ht="14" hidden="1" x14ac:dyDescent="0.2">
      <c r="A104" s="2" t="s">
        <v>14</v>
      </c>
      <c r="B104" s="2">
        <v>10</v>
      </c>
      <c r="C104" s="2">
        <v>1</v>
      </c>
      <c r="D104" s="2">
        <v>2020</v>
      </c>
      <c r="E104" s="2">
        <v>0</v>
      </c>
      <c r="F104" s="2">
        <v>187.86</v>
      </c>
      <c r="H104" s="1">
        <f>_xlfn.XLOOKUP('Customer Info'!A914,'Customer Info'!A914:A1013,'Customer Info'!E914:E1013,0,0)</f>
        <v>0</v>
      </c>
      <c r="J104" s="1">
        <f>_xlfn.XLOOKUP('Customer Info'!A914,'Customer Info'!A914:A1013,'Customer Info'!M914:M1013)</f>
        <v>0</v>
      </c>
    </row>
    <row r="105" spans="1:10" ht="14" x14ac:dyDescent="0.2">
      <c r="A105" s="2" t="s">
        <v>29</v>
      </c>
      <c r="B105" s="2">
        <v>20</v>
      </c>
      <c r="C105" s="2">
        <v>12</v>
      </c>
      <c r="D105" s="2">
        <v>2021</v>
      </c>
      <c r="E105" s="2">
        <v>0</v>
      </c>
      <c r="F105" s="2">
        <v>187.86</v>
      </c>
      <c r="H105" s="1">
        <f>_xlfn.XLOOKUP('Customer Info'!A2113,'Customer Info'!A2113:A2212,'Customer Info'!E2113:E2212,0,0)</f>
        <v>0</v>
      </c>
      <c r="J105" s="1">
        <f>_xlfn.XLOOKUP('Customer Info'!A2113,'Customer Info'!A2113:A2212,'Customer Info'!M2113:M2212)</f>
        <v>0</v>
      </c>
    </row>
    <row r="106" spans="1:10" ht="14" hidden="1" x14ac:dyDescent="0.2">
      <c r="A106" s="2" t="s">
        <v>15</v>
      </c>
      <c r="B106" s="2">
        <v>5</v>
      </c>
      <c r="C106" s="2">
        <v>11</v>
      </c>
      <c r="D106" s="2">
        <v>2020</v>
      </c>
      <c r="E106" s="1" t="s">
        <v>94</v>
      </c>
      <c r="F106" s="2">
        <v>187.8</v>
      </c>
      <c r="H106" s="1">
        <f>_xlfn.XLOOKUP('Customer Info'!A13,'Customer Info'!A13:A112,'Customer Info'!E13:E112,0,0)</f>
        <v>2</v>
      </c>
      <c r="I106" s="1" t="str">
        <f>_xlfn.XLOOKUP('Customer Info'!A13,'Customer Info'!A13:A112,'Customer Info'!J13:J112,0)</f>
        <v>Scottish Gas</v>
      </c>
      <c r="J106" s="1" t="b">
        <f>_xlfn.XLOOKUP('Customer Info'!A13,'Customer Info'!A13:A112,'Customer Info'!M13:M112)</f>
        <v>0</v>
      </c>
    </row>
    <row r="107" spans="1:10" ht="14" x14ac:dyDescent="0.2">
      <c r="A107" s="2" t="s">
        <v>25</v>
      </c>
      <c r="B107" s="2">
        <v>8</v>
      </c>
      <c r="C107" s="2">
        <v>2</v>
      </c>
      <c r="D107" s="2">
        <v>2021</v>
      </c>
      <c r="E107" s="2">
        <v>0</v>
      </c>
      <c r="F107" s="2">
        <v>187.6</v>
      </c>
      <c r="H107" s="1">
        <f>_xlfn.XLOOKUP('Customer Info'!A2114,'Customer Info'!A2114:A2213,'Customer Info'!E2114:E2213,0,0)</f>
        <v>0</v>
      </c>
      <c r="J107" s="1">
        <f>_xlfn.XLOOKUP('Customer Info'!A2114,'Customer Info'!A2114:A2213,'Customer Info'!M2114:M2213)</f>
        <v>0</v>
      </c>
    </row>
    <row r="108" spans="1:10" ht="14" x14ac:dyDescent="0.2">
      <c r="A108" s="2" t="s">
        <v>31</v>
      </c>
      <c r="B108" s="2">
        <v>14</v>
      </c>
      <c r="C108" s="2">
        <v>10</v>
      </c>
      <c r="D108" s="2">
        <v>2021</v>
      </c>
      <c r="E108" s="2">
        <v>0</v>
      </c>
      <c r="F108" s="2">
        <v>187.55</v>
      </c>
      <c r="H108" s="1">
        <f>_xlfn.XLOOKUP('Customer Info'!A2115,'Customer Info'!A2115:A2214,'Customer Info'!E2115:E2214,0,0)</f>
        <v>0</v>
      </c>
      <c r="J108" s="1">
        <f>_xlfn.XLOOKUP('Customer Info'!A2115,'Customer Info'!A2115:A2214,'Customer Info'!M2115:M2214)</f>
        <v>0</v>
      </c>
    </row>
    <row r="109" spans="1:10" ht="14" hidden="1" x14ac:dyDescent="0.2">
      <c r="A109" s="2" t="s">
        <v>27</v>
      </c>
      <c r="B109" s="2">
        <v>1</v>
      </c>
      <c r="C109" s="2">
        <v>11</v>
      </c>
      <c r="D109" s="2">
        <v>2020</v>
      </c>
      <c r="E109" s="2">
        <v>0</v>
      </c>
      <c r="F109" s="2">
        <v>187.5</v>
      </c>
      <c r="H109" s="1">
        <f>_xlfn.XLOOKUP('Customer Info'!A915,'Customer Info'!A915:A1014,'Customer Info'!E915:E1014,0,0)</f>
        <v>0</v>
      </c>
      <c r="J109" s="1">
        <f>_xlfn.XLOOKUP('Customer Info'!A915,'Customer Info'!A915:A1014,'Customer Info'!M915:M1014)</f>
        <v>0</v>
      </c>
    </row>
    <row r="110" spans="1:10" ht="14" x14ac:dyDescent="0.2">
      <c r="A110" s="2" t="s">
        <v>26</v>
      </c>
      <c r="B110" s="2">
        <v>22</v>
      </c>
      <c r="C110" s="2">
        <v>12</v>
      </c>
      <c r="D110" s="2">
        <v>2021</v>
      </c>
      <c r="E110" s="2">
        <v>0</v>
      </c>
      <c r="F110" s="2">
        <v>186.93</v>
      </c>
      <c r="H110" s="1">
        <f>_xlfn.XLOOKUP('Customer Info'!A2116,'Customer Info'!A2116:A2215,'Customer Info'!E2116:E2215,0,0)</f>
        <v>0</v>
      </c>
      <c r="J110" s="1">
        <f>_xlfn.XLOOKUP('Customer Info'!A2116,'Customer Info'!A2116:A2215,'Customer Info'!M2116:M2215)</f>
        <v>0</v>
      </c>
    </row>
    <row r="111" spans="1:10" ht="14" x14ac:dyDescent="0.2">
      <c r="A111" s="2" t="s">
        <v>22</v>
      </c>
      <c r="B111" s="2">
        <v>22</v>
      </c>
      <c r="C111" s="2">
        <v>11</v>
      </c>
      <c r="D111" s="2">
        <v>2021</v>
      </c>
      <c r="E111" s="1" t="s">
        <v>94</v>
      </c>
      <c r="F111" s="2">
        <v>186.9</v>
      </c>
      <c r="H111" s="1">
        <f>_xlfn.XLOOKUP('Customer Info'!A1214,'Customer Info'!A1214:A1313,'Customer Info'!E1214:E1313,0,0)</f>
        <v>0</v>
      </c>
      <c r="J111" s="1">
        <f>_xlfn.XLOOKUP('Customer Info'!A1214,'Customer Info'!A1214:A1313,'Customer Info'!M1214:M1313)</f>
        <v>0</v>
      </c>
    </row>
    <row r="112" spans="1:10" ht="14" hidden="1" x14ac:dyDescent="0.2">
      <c r="A112" s="2" t="s">
        <v>10</v>
      </c>
      <c r="B112" s="2">
        <v>18</v>
      </c>
      <c r="C112" s="2">
        <v>11</v>
      </c>
      <c r="D112" s="2">
        <v>2020</v>
      </c>
      <c r="E112" s="2">
        <v>0</v>
      </c>
      <c r="F112" s="2">
        <v>186.9</v>
      </c>
      <c r="H112" s="1">
        <f>_xlfn.XLOOKUP('Customer Info'!A916,'Customer Info'!A916:A1015,'Customer Info'!E916:E1015,0,0)</f>
        <v>0</v>
      </c>
      <c r="J112" s="1">
        <f>_xlfn.XLOOKUP('Customer Info'!A916,'Customer Info'!A916:A1015,'Customer Info'!M916:M1015)</f>
        <v>0</v>
      </c>
    </row>
    <row r="113" spans="1:10" ht="14" hidden="1" x14ac:dyDescent="0.2">
      <c r="A113" s="2" t="s">
        <v>19</v>
      </c>
      <c r="B113" s="2">
        <v>24</v>
      </c>
      <c r="C113" s="2">
        <v>2</v>
      </c>
      <c r="D113" s="2">
        <v>2020</v>
      </c>
      <c r="E113" s="2">
        <v>0</v>
      </c>
      <c r="F113" s="2">
        <v>186.76</v>
      </c>
      <c r="H113" s="1">
        <f>_xlfn.XLOOKUP('Customer Info'!A917,'Customer Info'!A917:A1016,'Customer Info'!E917:E1016,0,0)</f>
        <v>0</v>
      </c>
      <c r="J113" s="1">
        <f>_xlfn.XLOOKUP('Customer Info'!A917,'Customer Info'!A917:A1016,'Customer Info'!M917:M1016)</f>
        <v>0</v>
      </c>
    </row>
    <row r="114" spans="1:10" ht="14" x14ac:dyDescent="0.2">
      <c r="A114" s="2" t="s">
        <v>28</v>
      </c>
      <c r="B114" s="2">
        <v>5</v>
      </c>
      <c r="C114" s="2">
        <v>3</v>
      </c>
      <c r="D114" s="2">
        <v>2021</v>
      </c>
      <c r="E114" s="2">
        <v>0</v>
      </c>
      <c r="F114" s="2">
        <v>186.62</v>
      </c>
      <c r="H114" s="1">
        <f>_xlfn.XLOOKUP('Customer Info'!A2117,'Customer Info'!A2117:A2216,'Customer Info'!E2117:E2216,0,0)</f>
        <v>0</v>
      </c>
      <c r="J114" s="1">
        <f>_xlfn.XLOOKUP('Customer Info'!A2117,'Customer Info'!A2117:A2216,'Customer Info'!M2117:M2216)</f>
        <v>0</v>
      </c>
    </row>
    <row r="115" spans="1:10" ht="14" x14ac:dyDescent="0.2">
      <c r="A115" s="2" t="s">
        <v>19</v>
      </c>
      <c r="B115" s="2">
        <v>24</v>
      </c>
      <c r="C115" s="2">
        <v>11</v>
      </c>
      <c r="D115" s="2">
        <v>2021</v>
      </c>
      <c r="E115" s="1" t="s">
        <v>94</v>
      </c>
      <c r="F115" s="2">
        <v>186.6</v>
      </c>
      <c r="H115" s="1">
        <f>_xlfn.XLOOKUP('Customer Info'!A1215,'Customer Info'!A1215:A1314,'Customer Info'!E1215:E1314,0,0)</f>
        <v>0</v>
      </c>
      <c r="J115" s="1">
        <f>_xlfn.XLOOKUP('Customer Info'!A1215,'Customer Info'!A1215:A1314,'Customer Info'!M1215:M1314)</f>
        <v>0</v>
      </c>
    </row>
    <row r="116" spans="1:10" ht="14" hidden="1" x14ac:dyDescent="0.2">
      <c r="A116" s="2" t="s">
        <v>23</v>
      </c>
      <c r="B116" s="2">
        <v>5</v>
      </c>
      <c r="C116" s="2">
        <v>2</v>
      </c>
      <c r="D116" s="2">
        <v>2020</v>
      </c>
      <c r="E116" s="1" t="s">
        <v>94</v>
      </c>
      <c r="F116" s="2">
        <v>186.48</v>
      </c>
      <c r="H116" s="1">
        <f>_xlfn.XLOOKUP('Customer Info'!A14,'Customer Info'!A14:A113,'Customer Info'!E14:E113,0,0)</f>
        <v>3</v>
      </c>
      <c r="I116" s="1" t="str">
        <f>_xlfn.XLOOKUP('Customer Info'!A14,'Customer Info'!A14:A113,'Customer Info'!J14:J113,0)</f>
        <v>Scottish Gas</v>
      </c>
      <c r="J116" s="1" t="b">
        <f>_xlfn.XLOOKUP('Customer Info'!A14,'Customer Info'!A14:A113,'Customer Info'!M14:M113)</f>
        <v>1</v>
      </c>
    </row>
    <row r="117" spans="1:10" ht="14" hidden="1" x14ac:dyDescent="0.2">
      <c r="A117" s="2" t="s">
        <v>25</v>
      </c>
      <c r="B117" s="2">
        <v>8</v>
      </c>
      <c r="C117" s="2">
        <v>2</v>
      </c>
      <c r="D117" s="2">
        <v>2020</v>
      </c>
      <c r="E117" s="2">
        <v>0</v>
      </c>
      <c r="F117" s="2">
        <v>186.48</v>
      </c>
      <c r="H117" s="1">
        <f>_xlfn.XLOOKUP('Customer Info'!A918,'Customer Info'!A918:A1017,'Customer Info'!E918:E1017,0,0)</f>
        <v>0</v>
      </c>
      <c r="J117" s="1">
        <f>_xlfn.XLOOKUP('Customer Info'!A918,'Customer Info'!A918:A1017,'Customer Info'!M918:M1017)</f>
        <v>0</v>
      </c>
    </row>
    <row r="118" spans="1:10" ht="14" hidden="1" x14ac:dyDescent="0.2">
      <c r="A118" s="2" t="s">
        <v>28</v>
      </c>
      <c r="B118" s="2">
        <v>5</v>
      </c>
      <c r="C118" s="2">
        <v>12</v>
      </c>
      <c r="D118" s="2">
        <v>2020</v>
      </c>
      <c r="E118" s="2">
        <v>0</v>
      </c>
      <c r="F118" s="2">
        <v>186.31</v>
      </c>
      <c r="H118" s="1">
        <f>_xlfn.XLOOKUP('Customer Info'!A919,'Customer Info'!A919:A1018,'Customer Info'!E919:E1018,0,0)</f>
        <v>0</v>
      </c>
      <c r="J118" s="1">
        <f>_xlfn.XLOOKUP('Customer Info'!A919,'Customer Info'!A919:A1018,'Customer Info'!M919:M1018)</f>
        <v>0</v>
      </c>
    </row>
    <row r="119" spans="1:10" ht="14" x14ac:dyDescent="0.2">
      <c r="A119" s="2" t="s">
        <v>98</v>
      </c>
      <c r="B119" s="2">
        <v>21</v>
      </c>
      <c r="C119" s="2">
        <v>2</v>
      </c>
      <c r="D119" s="2">
        <v>2021</v>
      </c>
      <c r="E119" s="1" t="s">
        <v>94</v>
      </c>
      <c r="F119" s="2">
        <v>186.2</v>
      </c>
      <c r="H119" s="1">
        <f>_xlfn.XLOOKUP('Customer Info'!A1216,'Customer Info'!A1216:A1315,'Customer Info'!E1216:E1315,0,0)</f>
        <v>0</v>
      </c>
      <c r="J119" s="1">
        <f>_xlfn.XLOOKUP('Customer Info'!A1216,'Customer Info'!A1216:A1315,'Customer Info'!M1216:M1315)</f>
        <v>0</v>
      </c>
    </row>
    <row r="120" spans="1:10" ht="14" hidden="1" x14ac:dyDescent="0.2">
      <c r="A120" s="2" t="s">
        <v>31</v>
      </c>
      <c r="B120" s="2">
        <v>14</v>
      </c>
      <c r="C120" s="2">
        <v>4</v>
      </c>
      <c r="D120" s="2">
        <v>2020</v>
      </c>
      <c r="E120" s="2">
        <v>0</v>
      </c>
      <c r="F120" s="2">
        <v>186</v>
      </c>
      <c r="H120" s="1">
        <f>_xlfn.XLOOKUP('Customer Info'!A920,'Customer Info'!A920:A1019,'Customer Info'!E920:E1019,0,0)</f>
        <v>0</v>
      </c>
      <c r="J120" s="1">
        <f>_xlfn.XLOOKUP('Customer Info'!A920,'Customer Info'!A920:A1019,'Customer Info'!M920:M1019)</f>
        <v>0</v>
      </c>
    </row>
    <row r="121" spans="1:10" ht="14" x14ac:dyDescent="0.2">
      <c r="A121" s="2" t="s">
        <v>24</v>
      </c>
      <c r="B121" s="2">
        <v>22</v>
      </c>
      <c r="C121" s="2">
        <v>12</v>
      </c>
      <c r="D121" s="2">
        <v>2021</v>
      </c>
      <c r="E121" s="2">
        <v>0</v>
      </c>
      <c r="F121" s="2">
        <v>186</v>
      </c>
      <c r="H121" s="1">
        <f>_xlfn.XLOOKUP('Customer Info'!A2118,'Customer Info'!A2118:A2217,'Customer Info'!E2118:E2217,0,0)</f>
        <v>0</v>
      </c>
      <c r="J121" s="1">
        <f>_xlfn.XLOOKUP('Customer Info'!A2118,'Customer Info'!A2118:A2217,'Customer Info'!M2118:M2217)</f>
        <v>0</v>
      </c>
    </row>
    <row r="122" spans="1:10" ht="14" x14ac:dyDescent="0.2">
      <c r="A122" s="2" t="s">
        <v>32</v>
      </c>
      <c r="B122" s="2">
        <v>17</v>
      </c>
      <c r="C122" s="2">
        <v>4</v>
      </c>
      <c r="D122" s="2">
        <v>2021</v>
      </c>
      <c r="E122" s="2">
        <v>0</v>
      </c>
      <c r="F122" s="2">
        <v>185.7</v>
      </c>
      <c r="H122" s="1">
        <f>_xlfn.XLOOKUP('Customer Info'!A2119,'Customer Info'!A2119:A2218,'Customer Info'!E2119:E2218,0,0)</f>
        <v>0</v>
      </c>
      <c r="J122" s="1">
        <f>_xlfn.XLOOKUP('Customer Info'!A2119,'Customer Info'!A2119:A2218,'Customer Info'!M2119:M2218)</f>
        <v>0</v>
      </c>
    </row>
    <row r="123" spans="1:10" ht="14" hidden="1" x14ac:dyDescent="0.2">
      <c r="A123" s="2" t="s">
        <v>20</v>
      </c>
      <c r="B123" s="2">
        <v>12</v>
      </c>
      <c r="C123" s="2">
        <v>2</v>
      </c>
      <c r="D123" s="2">
        <v>2020</v>
      </c>
      <c r="E123" s="1" t="s">
        <v>94</v>
      </c>
      <c r="F123" s="2">
        <v>185.64</v>
      </c>
      <c r="H123" s="1">
        <f>_xlfn.XLOOKUP('Customer Info'!A15,'Customer Info'!A15:A114,'Customer Info'!E15:E114,0,0)</f>
        <v>3</v>
      </c>
      <c r="I123" s="1" t="str">
        <f>_xlfn.XLOOKUP('Customer Info'!A15,'Customer Info'!A15:A114,'Customer Info'!J15:J114,0)</f>
        <v>Scottish Gas</v>
      </c>
      <c r="J123" s="1" t="b">
        <f>_xlfn.XLOOKUP('Customer Info'!A15,'Customer Info'!A15:A114,'Customer Info'!M15:M114)</f>
        <v>0</v>
      </c>
    </row>
    <row r="124" spans="1:10" ht="14" hidden="1" x14ac:dyDescent="0.2">
      <c r="A124" s="2" t="s">
        <v>4</v>
      </c>
      <c r="B124" s="2">
        <v>1</v>
      </c>
      <c r="C124" s="2">
        <v>11</v>
      </c>
      <c r="D124" s="2">
        <v>2020</v>
      </c>
      <c r="E124" s="2">
        <v>0</v>
      </c>
      <c r="F124" s="2">
        <v>185.4</v>
      </c>
      <c r="H124" s="1">
        <f>_xlfn.XLOOKUP('Customer Info'!A921,'Customer Info'!A921:A1020,'Customer Info'!E921:E1020,0,0)</f>
        <v>0</v>
      </c>
      <c r="J124" s="1">
        <f>_xlfn.XLOOKUP('Customer Info'!A921,'Customer Info'!A921:A1020,'Customer Info'!M921:M1020)</f>
        <v>0</v>
      </c>
    </row>
    <row r="125" spans="1:10" ht="14" x14ac:dyDescent="0.2">
      <c r="A125" s="2" t="s">
        <v>29</v>
      </c>
      <c r="B125" s="2">
        <v>20</v>
      </c>
      <c r="C125" s="2">
        <v>11</v>
      </c>
      <c r="D125" s="2">
        <v>2021</v>
      </c>
      <c r="E125" s="2">
        <v>0</v>
      </c>
      <c r="F125" s="2">
        <v>185.4</v>
      </c>
      <c r="H125" s="1">
        <f>_xlfn.XLOOKUP('Customer Info'!A2120,'Customer Info'!A2120:A2219,'Customer Info'!E2120:E2219,0,0)</f>
        <v>0</v>
      </c>
      <c r="J125" s="1">
        <f>_xlfn.XLOOKUP('Customer Info'!A2120,'Customer Info'!A2120:A2219,'Customer Info'!M2120:M2219)</f>
        <v>0</v>
      </c>
    </row>
    <row r="126" spans="1:10" ht="14" hidden="1" x14ac:dyDescent="0.2">
      <c r="A126" s="2" t="s">
        <v>20</v>
      </c>
      <c r="B126" s="2">
        <v>12</v>
      </c>
      <c r="C126" s="2">
        <v>11</v>
      </c>
      <c r="D126" s="2">
        <v>2020</v>
      </c>
      <c r="E126" s="2">
        <v>0</v>
      </c>
      <c r="F126" s="2">
        <v>185.1</v>
      </c>
      <c r="H126" s="1">
        <f>_xlfn.XLOOKUP('Customer Info'!A922,'Customer Info'!A922:A1021,'Customer Info'!E922:E1021,0,0)</f>
        <v>0</v>
      </c>
      <c r="J126" s="1">
        <f>_xlfn.XLOOKUP('Customer Info'!A922,'Customer Info'!A922:A1021,'Customer Info'!M922:M1021)</f>
        <v>0</v>
      </c>
    </row>
    <row r="127" spans="1:10" ht="14" x14ac:dyDescent="0.2">
      <c r="A127" s="2" t="s">
        <v>25</v>
      </c>
      <c r="B127" s="2">
        <v>8</v>
      </c>
      <c r="C127" s="2">
        <v>11</v>
      </c>
      <c r="D127" s="2">
        <v>2021</v>
      </c>
      <c r="E127" s="2">
        <v>0</v>
      </c>
      <c r="F127" s="2">
        <v>185.1</v>
      </c>
      <c r="H127" s="1">
        <f>_xlfn.XLOOKUP('Customer Info'!A2121,'Customer Info'!A2121:A2220,'Customer Info'!E2121:E2220,0,0)</f>
        <v>0</v>
      </c>
      <c r="J127" s="1">
        <f>_xlfn.XLOOKUP('Customer Info'!A2121,'Customer Info'!A2121:A2220,'Customer Info'!M2121:M2220)</f>
        <v>0</v>
      </c>
    </row>
    <row r="128" spans="1:10" ht="14" hidden="1" x14ac:dyDescent="0.2">
      <c r="A128" s="2" t="s">
        <v>29</v>
      </c>
      <c r="B128" s="2">
        <v>20</v>
      </c>
      <c r="C128" s="2">
        <v>2</v>
      </c>
      <c r="D128" s="2">
        <v>2020</v>
      </c>
      <c r="E128" s="2">
        <v>0</v>
      </c>
      <c r="F128" s="2">
        <v>184.8</v>
      </c>
      <c r="H128" s="1">
        <f>_xlfn.XLOOKUP('Customer Info'!A923,'Customer Info'!A923:A1022,'Customer Info'!E923:E1022,0,0)</f>
        <v>0</v>
      </c>
      <c r="J128" s="1">
        <f>_xlfn.XLOOKUP('Customer Info'!A923,'Customer Info'!A923:A1022,'Customer Info'!M923:M1022)</f>
        <v>0</v>
      </c>
    </row>
    <row r="129" spans="1:10" ht="14" x14ac:dyDescent="0.2">
      <c r="A129" s="2" t="s">
        <v>23</v>
      </c>
      <c r="B129" s="2">
        <v>5</v>
      </c>
      <c r="C129" s="2">
        <v>2</v>
      </c>
      <c r="D129" s="2">
        <v>2021</v>
      </c>
      <c r="E129" s="2">
        <v>0</v>
      </c>
      <c r="F129" s="2">
        <v>184.8</v>
      </c>
      <c r="H129" s="1">
        <f>_xlfn.XLOOKUP('Customer Info'!A2122,'Customer Info'!A2122:A2221,'Customer Info'!E2122:E2221,0,0)</f>
        <v>0</v>
      </c>
      <c r="J129" s="1">
        <f>_xlfn.XLOOKUP('Customer Info'!A2122,'Customer Info'!A2122:A2221,'Customer Info'!M2122:M2221)</f>
        <v>0</v>
      </c>
    </row>
    <row r="130" spans="1:10" ht="14" hidden="1" x14ac:dyDescent="0.2">
      <c r="A130" s="2" t="s">
        <v>32</v>
      </c>
      <c r="B130" s="2">
        <v>17</v>
      </c>
      <c r="C130" s="2">
        <v>4</v>
      </c>
      <c r="D130" s="2">
        <v>2020</v>
      </c>
      <c r="E130" s="2">
        <v>0</v>
      </c>
      <c r="F130" s="2">
        <v>184.2</v>
      </c>
      <c r="H130" s="1">
        <f>_xlfn.XLOOKUP('Customer Info'!A924,'Customer Info'!A924:A1023,'Customer Info'!E924:E1023,0,0)</f>
        <v>0</v>
      </c>
      <c r="J130" s="1">
        <f>_xlfn.XLOOKUP('Customer Info'!A924,'Customer Info'!A924:A1023,'Customer Info'!M924:M1023)</f>
        <v>0</v>
      </c>
    </row>
    <row r="131" spans="1:10" ht="14" x14ac:dyDescent="0.2">
      <c r="A131" s="2" t="s">
        <v>12</v>
      </c>
      <c r="B131" s="2">
        <v>2</v>
      </c>
      <c r="C131" s="2">
        <v>12</v>
      </c>
      <c r="D131" s="2">
        <v>2021</v>
      </c>
      <c r="E131" s="2">
        <v>0</v>
      </c>
      <c r="F131" s="2">
        <v>184.14</v>
      </c>
      <c r="H131" s="1">
        <f>_xlfn.XLOOKUP('Customer Info'!A2123,'Customer Info'!A2123:A2222,'Customer Info'!E2123:E2222,0,0)</f>
        <v>0</v>
      </c>
      <c r="J131" s="1">
        <f>_xlfn.XLOOKUP('Customer Info'!A2123,'Customer Info'!A2123:A2222,'Customer Info'!M2123:M2222)</f>
        <v>0</v>
      </c>
    </row>
    <row r="132" spans="1:10" ht="14" x14ac:dyDescent="0.2">
      <c r="A132" s="2" t="s">
        <v>14</v>
      </c>
      <c r="B132" s="2">
        <v>10</v>
      </c>
      <c r="C132" s="2">
        <v>11</v>
      </c>
      <c r="D132" s="2">
        <v>2021</v>
      </c>
      <c r="E132" s="2">
        <v>0</v>
      </c>
      <c r="F132" s="2">
        <v>183.9</v>
      </c>
      <c r="H132" s="1">
        <f>_xlfn.XLOOKUP('Customer Info'!A2124,'Customer Info'!A2124:A2223,'Customer Info'!E2124:E2223,0,0)</f>
        <v>0</v>
      </c>
      <c r="J132" s="1">
        <f>_xlfn.XLOOKUP('Customer Info'!A2124,'Customer Info'!A2124:A2223,'Customer Info'!M2124:M2223)</f>
        <v>0</v>
      </c>
    </row>
    <row r="133" spans="1:10" ht="14" hidden="1" x14ac:dyDescent="0.2">
      <c r="A133" s="2" t="s">
        <v>13</v>
      </c>
      <c r="B133" s="2">
        <v>7</v>
      </c>
      <c r="C133" s="2">
        <v>12</v>
      </c>
      <c r="D133" s="2">
        <v>2020</v>
      </c>
      <c r="E133" s="2">
        <v>0</v>
      </c>
      <c r="F133" s="2">
        <v>183.83</v>
      </c>
      <c r="H133" s="1">
        <f>_xlfn.XLOOKUP('Customer Info'!A925,'Customer Info'!A925:A1024,'Customer Info'!E925:E1024,0,0)</f>
        <v>0</v>
      </c>
      <c r="J133" s="1">
        <f>_xlfn.XLOOKUP('Customer Info'!A925,'Customer Info'!A925:A1024,'Customer Info'!M925:M1024)</f>
        <v>0</v>
      </c>
    </row>
    <row r="134" spans="1:10" ht="14" x14ac:dyDescent="0.2">
      <c r="A134" s="2" t="s">
        <v>30</v>
      </c>
      <c r="B134" s="2">
        <v>2</v>
      </c>
      <c r="C134" s="2">
        <v>3</v>
      </c>
      <c r="D134" s="2">
        <v>2021</v>
      </c>
      <c r="E134" s="2">
        <v>0</v>
      </c>
      <c r="F134" s="2">
        <v>183.83</v>
      </c>
      <c r="H134" s="1">
        <f>_xlfn.XLOOKUP('Customer Info'!A2125,'Customer Info'!A2125:A2224,'Customer Info'!E2125:E2224,0,0)</f>
        <v>0</v>
      </c>
      <c r="J134" s="1">
        <f>_xlfn.XLOOKUP('Customer Info'!A2125,'Customer Info'!A2125:A2224,'Customer Info'!M2125:M2224)</f>
        <v>0</v>
      </c>
    </row>
    <row r="135" spans="1:10" ht="14" hidden="1" x14ac:dyDescent="0.2">
      <c r="A135" s="2" t="s">
        <v>99</v>
      </c>
      <c r="B135" s="2">
        <v>10</v>
      </c>
      <c r="C135" s="2">
        <v>12</v>
      </c>
      <c r="D135" s="2">
        <v>2020</v>
      </c>
      <c r="E135" s="1" t="s">
        <v>94</v>
      </c>
      <c r="F135" s="2">
        <v>183.52</v>
      </c>
      <c r="H135" s="1">
        <f>_xlfn.XLOOKUP('Customer Info'!A16,'Customer Info'!A16:A115,'Customer Info'!E16:E115,0,0)</f>
        <v>4</v>
      </c>
      <c r="I135" s="1" t="str">
        <f>_xlfn.XLOOKUP('Customer Info'!A16,'Customer Info'!A16:A115,'Customer Info'!J16:J115,0)</f>
        <v>Scottish Gas</v>
      </c>
      <c r="J135" s="1" t="b">
        <f>_xlfn.XLOOKUP('Customer Info'!A16,'Customer Info'!A16:A115,'Customer Info'!M16:M115)</f>
        <v>0</v>
      </c>
    </row>
    <row r="136" spans="1:10" ht="14" hidden="1" x14ac:dyDescent="0.2">
      <c r="A136" s="2" t="s">
        <v>32</v>
      </c>
      <c r="B136" s="2">
        <v>17</v>
      </c>
      <c r="C136" s="2">
        <v>3</v>
      </c>
      <c r="D136" s="2">
        <v>2020</v>
      </c>
      <c r="E136" s="2">
        <v>0</v>
      </c>
      <c r="F136" s="2">
        <v>183.52</v>
      </c>
      <c r="H136" s="1">
        <f>_xlfn.XLOOKUP('Customer Info'!A926,'Customer Info'!A926:A1025,'Customer Info'!E926:E1025,0,0)</f>
        <v>0</v>
      </c>
      <c r="J136" s="1">
        <f>_xlfn.XLOOKUP('Customer Info'!A926,'Customer Info'!A926:A1025,'Customer Info'!M926:M1025)</f>
        <v>0</v>
      </c>
    </row>
    <row r="137" spans="1:10" ht="14" hidden="1" x14ac:dyDescent="0.2">
      <c r="A137" s="2" t="s">
        <v>7</v>
      </c>
      <c r="B137" s="2">
        <v>20</v>
      </c>
      <c r="C137" s="2">
        <v>11</v>
      </c>
      <c r="D137" s="2">
        <v>2020</v>
      </c>
      <c r="E137" s="2">
        <v>0</v>
      </c>
      <c r="F137" s="2">
        <v>183.3</v>
      </c>
      <c r="H137" s="1">
        <f>_xlfn.XLOOKUP('Customer Info'!A927,'Customer Info'!A927:A1026,'Customer Info'!E927:E1026,0,0)</f>
        <v>0</v>
      </c>
      <c r="J137" s="1">
        <f>_xlfn.XLOOKUP('Customer Info'!A927,'Customer Info'!A927:A1026,'Customer Info'!M927:M1026)</f>
        <v>0</v>
      </c>
    </row>
    <row r="138" spans="1:10" ht="14" x14ac:dyDescent="0.2">
      <c r="A138" s="2" t="s">
        <v>27</v>
      </c>
      <c r="B138" s="2">
        <v>1</v>
      </c>
      <c r="C138" s="2">
        <v>4</v>
      </c>
      <c r="D138" s="2">
        <v>2021</v>
      </c>
      <c r="E138" s="2">
        <v>0</v>
      </c>
      <c r="F138" s="2">
        <v>183.3</v>
      </c>
      <c r="H138" s="1">
        <f>_xlfn.XLOOKUP('Customer Info'!A2126,'Customer Info'!A2126:A2225,'Customer Info'!E2126:E2225,0,0)</f>
        <v>0</v>
      </c>
      <c r="J138" s="1">
        <f>_xlfn.XLOOKUP('Customer Info'!A2126,'Customer Info'!A2126:A2225,'Customer Info'!M2126:M2225)</f>
        <v>0</v>
      </c>
    </row>
    <row r="139" spans="1:10" ht="14" x14ac:dyDescent="0.2">
      <c r="A139" s="2" t="s">
        <v>18</v>
      </c>
      <c r="B139" s="2">
        <v>5</v>
      </c>
      <c r="C139" s="2">
        <v>1</v>
      </c>
      <c r="D139" s="2">
        <v>2021</v>
      </c>
      <c r="E139" s="1" t="s">
        <v>94</v>
      </c>
      <c r="F139" s="2">
        <v>182.9</v>
      </c>
      <c r="H139" s="1">
        <f>_xlfn.XLOOKUP('Customer Info'!A1217,'Customer Info'!A1217:A1316,'Customer Info'!E1217:E1316,0,0)</f>
        <v>0</v>
      </c>
      <c r="J139" s="1">
        <f>_xlfn.XLOOKUP('Customer Info'!A1217,'Customer Info'!A1217:A1316,'Customer Info'!M1217:M1316)</f>
        <v>0</v>
      </c>
    </row>
    <row r="140" spans="1:10" ht="14" hidden="1" x14ac:dyDescent="0.2">
      <c r="A140" s="2" t="s">
        <v>19</v>
      </c>
      <c r="B140" s="2">
        <v>24</v>
      </c>
      <c r="C140" s="2">
        <v>12</v>
      </c>
      <c r="D140" s="2">
        <v>2020</v>
      </c>
      <c r="E140" s="2">
        <v>0</v>
      </c>
      <c r="F140" s="2">
        <v>182.9</v>
      </c>
      <c r="H140" s="1">
        <f>_xlfn.XLOOKUP('Customer Info'!A928,'Customer Info'!A928:A1027,'Customer Info'!E928:E1027,0,0)</f>
        <v>0</v>
      </c>
      <c r="J140" s="1">
        <f>_xlfn.XLOOKUP('Customer Info'!A928,'Customer Info'!A928:A1027,'Customer Info'!M928:M1027)</f>
        <v>0</v>
      </c>
    </row>
    <row r="141" spans="1:10" ht="14" x14ac:dyDescent="0.2">
      <c r="A141" s="2" t="s">
        <v>6</v>
      </c>
      <c r="B141" s="2">
        <v>7</v>
      </c>
      <c r="C141" s="2">
        <v>2</v>
      </c>
      <c r="D141" s="2">
        <v>2021</v>
      </c>
      <c r="E141" s="2">
        <v>0</v>
      </c>
      <c r="F141" s="2">
        <v>182.84</v>
      </c>
      <c r="H141" s="1">
        <f>_xlfn.XLOOKUP('Customer Info'!A2127,'Customer Info'!A2127:A2226,'Customer Info'!E2127:E2226,0,0)</f>
        <v>0</v>
      </c>
      <c r="J141" s="1">
        <f>_xlfn.XLOOKUP('Customer Info'!A2127,'Customer Info'!A2127:A2226,'Customer Info'!M2127:M2226)</f>
        <v>0</v>
      </c>
    </row>
    <row r="142" spans="1:10" ht="14" hidden="1" x14ac:dyDescent="0.2">
      <c r="A142" s="2" t="s">
        <v>26</v>
      </c>
      <c r="B142" s="2">
        <v>22</v>
      </c>
      <c r="C142" s="2">
        <v>3</v>
      </c>
      <c r="D142" s="2">
        <v>2020</v>
      </c>
      <c r="E142" s="2">
        <v>0</v>
      </c>
      <c r="F142" s="2">
        <v>182.59</v>
      </c>
      <c r="H142" s="1">
        <f>_xlfn.XLOOKUP('Customer Info'!A929,'Customer Info'!A929:A1028,'Customer Info'!E929:E1028,0,0)</f>
        <v>0</v>
      </c>
      <c r="J142" s="1">
        <f>_xlfn.XLOOKUP('Customer Info'!A929,'Customer Info'!A929:A1028,'Customer Info'!M929:M1028)</f>
        <v>0</v>
      </c>
    </row>
    <row r="143" spans="1:10" ht="14" x14ac:dyDescent="0.2">
      <c r="A143" s="2" t="s">
        <v>21</v>
      </c>
      <c r="B143" s="2">
        <v>15</v>
      </c>
      <c r="C143" s="2">
        <v>1</v>
      </c>
      <c r="D143" s="2">
        <v>2021</v>
      </c>
      <c r="E143" s="2">
        <v>0</v>
      </c>
      <c r="F143" s="2">
        <v>182.28</v>
      </c>
      <c r="H143" s="1">
        <f>_xlfn.XLOOKUP('Customer Info'!A2128,'Customer Info'!A2128:A2227,'Customer Info'!E2128:E2227,0,0)</f>
        <v>0</v>
      </c>
      <c r="J143" s="1">
        <f>_xlfn.XLOOKUP('Customer Info'!A2128,'Customer Info'!A2128:A2227,'Customer Info'!M2128:M2227)</f>
        <v>0</v>
      </c>
    </row>
    <row r="144" spans="1:10" ht="14" x14ac:dyDescent="0.2">
      <c r="A144" s="2" t="s">
        <v>31</v>
      </c>
      <c r="B144" s="2">
        <v>14</v>
      </c>
      <c r="C144" s="2">
        <v>3</v>
      </c>
      <c r="D144" s="2">
        <v>2021</v>
      </c>
      <c r="E144" s="2">
        <v>0</v>
      </c>
      <c r="F144" s="2">
        <v>181.97</v>
      </c>
      <c r="H144" s="1">
        <f>_xlfn.XLOOKUP('Customer Info'!A2129,'Customer Info'!A2129:A2228,'Customer Info'!E2129:E2228,0,0)</f>
        <v>0</v>
      </c>
      <c r="J144" s="1">
        <f>_xlfn.XLOOKUP('Customer Info'!A2129,'Customer Info'!A2129:A2228,'Customer Info'!M2129:M2228)</f>
        <v>0</v>
      </c>
    </row>
    <row r="145" spans="1:10" ht="14" hidden="1" x14ac:dyDescent="0.2">
      <c r="A145" s="2" t="s">
        <v>12</v>
      </c>
      <c r="B145" s="2">
        <v>2</v>
      </c>
      <c r="C145" s="2">
        <v>11</v>
      </c>
      <c r="D145" s="2">
        <v>2020</v>
      </c>
      <c r="E145" s="2">
        <v>0</v>
      </c>
      <c r="F145" s="2">
        <v>181.8</v>
      </c>
      <c r="H145" s="1">
        <f>_xlfn.XLOOKUP('Customer Info'!A930,'Customer Info'!A930:A1029,'Customer Info'!E930:E1029,0,0)</f>
        <v>0</v>
      </c>
      <c r="J145" s="1">
        <f>_xlfn.XLOOKUP('Customer Info'!A930,'Customer Info'!A930:A1029,'Customer Info'!M930:M1029)</f>
        <v>0</v>
      </c>
    </row>
    <row r="146" spans="1:10" ht="14" x14ac:dyDescent="0.2">
      <c r="A146" s="2" t="s">
        <v>29</v>
      </c>
      <c r="B146" s="2">
        <v>20</v>
      </c>
      <c r="C146" s="2">
        <v>1</v>
      </c>
      <c r="D146" s="2">
        <v>2021</v>
      </c>
      <c r="E146" s="2">
        <v>0</v>
      </c>
      <c r="F146" s="2">
        <v>181.66</v>
      </c>
      <c r="H146" s="1">
        <f>_xlfn.XLOOKUP('Customer Info'!A2130,'Customer Info'!A2130:A2229,'Customer Info'!E2130:E2229,0,0)</f>
        <v>0</v>
      </c>
      <c r="J146" s="1">
        <f>_xlfn.XLOOKUP('Customer Info'!A2130,'Customer Info'!A2130:A2229,'Customer Info'!M2130:M2229)</f>
        <v>0</v>
      </c>
    </row>
    <row r="147" spans="1:10" ht="14" x14ac:dyDescent="0.2">
      <c r="A147" s="2" t="s">
        <v>30</v>
      </c>
      <c r="B147" s="2">
        <v>2</v>
      </c>
      <c r="C147" s="2">
        <v>10</v>
      </c>
      <c r="D147" s="2">
        <v>2021</v>
      </c>
      <c r="E147" s="2">
        <v>0</v>
      </c>
      <c r="F147" s="2">
        <v>181.66</v>
      </c>
      <c r="H147" s="1">
        <f>_xlfn.XLOOKUP('Customer Info'!A2131,'Customer Info'!A2131:A2230,'Customer Info'!E2131:E2230,0,0)</f>
        <v>0</v>
      </c>
      <c r="J147" s="1">
        <f>_xlfn.XLOOKUP('Customer Info'!A2131,'Customer Info'!A2131:A2230,'Customer Info'!M2131:M2230)</f>
        <v>0</v>
      </c>
    </row>
    <row r="148" spans="1:10" ht="14" hidden="1" x14ac:dyDescent="0.2">
      <c r="A148" s="2" t="s">
        <v>98</v>
      </c>
      <c r="B148" s="2">
        <v>21</v>
      </c>
      <c r="C148" s="2">
        <v>11</v>
      </c>
      <c r="D148" s="2">
        <v>2020</v>
      </c>
      <c r="E148" s="1" t="s">
        <v>94</v>
      </c>
      <c r="F148" s="2">
        <v>181.5</v>
      </c>
      <c r="H148" s="1">
        <f>_xlfn.XLOOKUP('Customer Info'!A17,'Customer Info'!A17:A116,'Customer Info'!E17:E116,0,0)</f>
        <v>4</v>
      </c>
      <c r="I148" s="1" t="str">
        <f>_xlfn.XLOOKUP('Customer Info'!A17,'Customer Info'!A17:A116,'Customer Info'!J17:J116,0)</f>
        <v>Scottish Gas</v>
      </c>
      <c r="J148" s="1" t="b">
        <f>_xlfn.XLOOKUP('Customer Info'!A17,'Customer Info'!A17:A116,'Customer Info'!M17:M116)</f>
        <v>0</v>
      </c>
    </row>
    <row r="149" spans="1:10" ht="14" x14ac:dyDescent="0.2">
      <c r="A149" s="2" t="s">
        <v>32</v>
      </c>
      <c r="B149" s="2">
        <v>17</v>
      </c>
      <c r="C149" s="2">
        <v>9</v>
      </c>
      <c r="D149" s="2">
        <v>2021</v>
      </c>
      <c r="E149" s="2">
        <v>0</v>
      </c>
      <c r="F149" s="2">
        <v>181.2</v>
      </c>
      <c r="H149" s="1">
        <f>_xlfn.XLOOKUP('Customer Info'!A2132,'Customer Info'!A2132:A2231,'Customer Info'!E2132:E2231,0,0)</f>
        <v>0</v>
      </c>
      <c r="J149" s="1">
        <f>_xlfn.XLOOKUP('Customer Info'!A2132,'Customer Info'!A2132:A2231,'Customer Info'!M2132:M2231)</f>
        <v>0</v>
      </c>
    </row>
    <row r="150" spans="1:10" ht="14" x14ac:dyDescent="0.2">
      <c r="A150" s="2" t="s">
        <v>26</v>
      </c>
      <c r="B150" s="2">
        <v>22</v>
      </c>
      <c r="C150" s="2">
        <v>2</v>
      </c>
      <c r="D150" s="2">
        <v>2021</v>
      </c>
      <c r="E150" s="2">
        <v>0</v>
      </c>
      <c r="F150" s="2">
        <v>180.88</v>
      </c>
      <c r="H150" s="1">
        <f>_xlfn.XLOOKUP('Customer Info'!A2133,'Customer Info'!A2133:A2232,'Customer Info'!E2133:E2232,0,0)</f>
        <v>0</v>
      </c>
      <c r="J150" s="1">
        <f>_xlfn.XLOOKUP('Customer Info'!A2133,'Customer Info'!A2133:A2232,'Customer Info'!M2133:M2232)</f>
        <v>0</v>
      </c>
    </row>
    <row r="151" spans="1:10" ht="14" x14ac:dyDescent="0.2">
      <c r="A151" s="2" t="s">
        <v>99</v>
      </c>
      <c r="B151" s="2">
        <v>10</v>
      </c>
      <c r="C151" s="2">
        <v>1</v>
      </c>
      <c r="D151" s="2">
        <v>2021</v>
      </c>
      <c r="E151" s="1" t="s">
        <v>94</v>
      </c>
      <c r="F151" s="2">
        <v>180.73</v>
      </c>
      <c r="H151" s="1">
        <f>_xlfn.XLOOKUP('Customer Info'!A1218,'Customer Info'!A1218:A1317,'Customer Info'!E1218:E1317,0,0)</f>
        <v>0</v>
      </c>
      <c r="J151" s="1">
        <f>_xlfn.XLOOKUP('Customer Info'!A1218,'Customer Info'!A1218:A1317,'Customer Info'!M1218:M1317)</f>
        <v>0</v>
      </c>
    </row>
    <row r="152" spans="1:10" ht="14" hidden="1" x14ac:dyDescent="0.2">
      <c r="A152" s="2" t="s">
        <v>4</v>
      </c>
      <c r="B152" s="2">
        <v>1</v>
      </c>
      <c r="C152" s="2">
        <v>1</v>
      </c>
      <c r="D152" s="2">
        <v>2020</v>
      </c>
      <c r="E152" s="1" t="s">
        <v>94</v>
      </c>
      <c r="F152" s="2">
        <v>180.73</v>
      </c>
      <c r="H152" s="1">
        <f>_xlfn.XLOOKUP('Customer Info'!A18,'Customer Info'!A18:A117,'Customer Info'!E18:E117,0,0)</f>
        <v>4</v>
      </c>
      <c r="I152" s="1" t="str">
        <f>_xlfn.XLOOKUP('Customer Info'!A18,'Customer Info'!A18:A117,'Customer Info'!J18:J117,0)</f>
        <v>SSW</v>
      </c>
      <c r="J152" s="1" t="b">
        <f>_xlfn.XLOOKUP('Customer Info'!A18,'Customer Info'!A18:A117,'Customer Info'!M18:M117)</f>
        <v>1</v>
      </c>
    </row>
    <row r="153" spans="1:10" ht="14" hidden="1" x14ac:dyDescent="0.2">
      <c r="A153" s="2" t="s">
        <v>16</v>
      </c>
      <c r="B153" s="2">
        <v>14</v>
      </c>
      <c r="C153" s="2">
        <v>12</v>
      </c>
      <c r="D153" s="2">
        <v>2020</v>
      </c>
      <c r="E153" s="2">
        <v>0</v>
      </c>
      <c r="F153" s="2">
        <v>180.42</v>
      </c>
      <c r="H153" s="1">
        <f>_xlfn.XLOOKUP('Customer Info'!A931,'Customer Info'!A931:A1030,'Customer Info'!E931:E1030,0,0)</f>
        <v>0</v>
      </c>
      <c r="J153" s="1">
        <f>_xlfn.XLOOKUP('Customer Info'!A931,'Customer Info'!A931:A1030,'Customer Info'!M931:M1030)</f>
        <v>0</v>
      </c>
    </row>
    <row r="154" spans="1:10" ht="14" x14ac:dyDescent="0.2">
      <c r="A154" s="2" t="s">
        <v>28</v>
      </c>
      <c r="B154" s="2">
        <v>5</v>
      </c>
      <c r="C154" s="2">
        <v>2</v>
      </c>
      <c r="D154" s="2">
        <v>2021</v>
      </c>
      <c r="E154" s="2">
        <v>0</v>
      </c>
      <c r="F154" s="2">
        <v>180.32</v>
      </c>
      <c r="H154" s="1">
        <f>_xlfn.XLOOKUP('Customer Info'!A2134,'Customer Info'!A2134:A2233,'Customer Info'!E2134:E2233,0,0)</f>
        <v>0</v>
      </c>
      <c r="J154" s="1">
        <f>_xlfn.XLOOKUP('Customer Info'!A2134,'Customer Info'!A2134:A2233,'Customer Info'!M2134:M2233)</f>
        <v>0</v>
      </c>
    </row>
    <row r="155" spans="1:10" ht="14" x14ac:dyDescent="0.2">
      <c r="A155" s="2" t="s">
        <v>98</v>
      </c>
      <c r="B155" s="2">
        <v>21</v>
      </c>
      <c r="C155" s="2">
        <v>11</v>
      </c>
      <c r="D155" s="2">
        <v>2021</v>
      </c>
      <c r="E155" s="1" t="s">
        <v>94</v>
      </c>
      <c r="F155" s="2">
        <v>180.3</v>
      </c>
      <c r="H155" s="1">
        <f>_xlfn.XLOOKUP('Customer Info'!A1219,'Customer Info'!A1219:A1318,'Customer Info'!E1219:E1318,0,0)</f>
        <v>0</v>
      </c>
      <c r="J155" s="1">
        <f>_xlfn.XLOOKUP('Customer Info'!A1219,'Customer Info'!A1219:A1318,'Customer Info'!M1219:M1318)</f>
        <v>0</v>
      </c>
    </row>
    <row r="156" spans="1:10" ht="14" x14ac:dyDescent="0.2">
      <c r="A156" s="2" t="s">
        <v>17</v>
      </c>
      <c r="B156" s="2">
        <v>8</v>
      </c>
      <c r="C156" s="2">
        <v>2</v>
      </c>
      <c r="D156" s="2">
        <v>2021</v>
      </c>
      <c r="E156" s="2">
        <v>0</v>
      </c>
      <c r="F156" s="2">
        <v>180.04</v>
      </c>
      <c r="H156" s="1">
        <f>_xlfn.XLOOKUP('Customer Info'!A2135,'Customer Info'!A2135:A2234,'Customer Info'!E2135:E2234,0,0)</f>
        <v>0</v>
      </c>
      <c r="J156" s="1">
        <f>_xlfn.XLOOKUP('Customer Info'!A2135,'Customer Info'!A2135:A2234,'Customer Info'!M2135:M2234)</f>
        <v>0</v>
      </c>
    </row>
    <row r="157" spans="1:10" ht="14" hidden="1" x14ac:dyDescent="0.2">
      <c r="A157" s="2" t="s">
        <v>7</v>
      </c>
      <c r="B157" s="2">
        <v>20</v>
      </c>
      <c r="C157" s="2">
        <v>1</v>
      </c>
      <c r="D157" s="2">
        <v>2020</v>
      </c>
      <c r="E157" s="2">
        <v>0</v>
      </c>
      <c r="F157" s="2">
        <v>179.8</v>
      </c>
      <c r="H157" s="1">
        <f>_xlfn.XLOOKUP('Customer Info'!A932,'Customer Info'!A932:A1031,'Customer Info'!E932:E1031,0,0)</f>
        <v>0</v>
      </c>
      <c r="J157" s="1">
        <f>_xlfn.XLOOKUP('Customer Info'!A932,'Customer Info'!A932:A1031,'Customer Info'!M932:M1031)</f>
        <v>0</v>
      </c>
    </row>
    <row r="158" spans="1:10" ht="14" hidden="1" x14ac:dyDescent="0.2">
      <c r="A158" s="2" t="s">
        <v>24</v>
      </c>
      <c r="B158" s="2">
        <v>22</v>
      </c>
      <c r="C158" s="2">
        <v>2</v>
      </c>
      <c r="D158" s="2">
        <v>2020</v>
      </c>
      <c r="E158" s="2">
        <v>0</v>
      </c>
      <c r="F158" s="2">
        <v>179.76</v>
      </c>
      <c r="H158" s="1">
        <f>_xlfn.XLOOKUP('Customer Info'!A933,'Customer Info'!A933:A1032,'Customer Info'!E933:E1032,0,0)</f>
        <v>0</v>
      </c>
      <c r="J158" s="1">
        <f>_xlfn.XLOOKUP('Customer Info'!A933,'Customer Info'!A933:A1032,'Customer Info'!M933:M1032)</f>
        <v>0</v>
      </c>
    </row>
    <row r="159" spans="1:10" ht="14" hidden="1" x14ac:dyDescent="0.2">
      <c r="A159" s="2" t="s">
        <v>27</v>
      </c>
      <c r="B159" s="2">
        <v>1</v>
      </c>
      <c r="C159" s="2">
        <v>2</v>
      </c>
      <c r="D159" s="2">
        <v>2020</v>
      </c>
      <c r="E159" s="2">
        <v>0</v>
      </c>
      <c r="F159" s="2">
        <v>179.48</v>
      </c>
      <c r="H159" s="1">
        <f>_xlfn.XLOOKUP('Customer Info'!A934,'Customer Info'!A934:A1033,'Customer Info'!E934:E1033,0,0)</f>
        <v>0</v>
      </c>
      <c r="J159" s="1">
        <f>_xlfn.XLOOKUP('Customer Info'!A934,'Customer Info'!A934:A1033,'Customer Info'!M934:M1033)</f>
        <v>0</v>
      </c>
    </row>
    <row r="160" spans="1:10" ht="14" x14ac:dyDescent="0.2">
      <c r="A160" s="2" t="s">
        <v>21</v>
      </c>
      <c r="B160" s="2">
        <v>15</v>
      </c>
      <c r="C160" s="2">
        <v>2</v>
      </c>
      <c r="D160" s="2">
        <v>2021</v>
      </c>
      <c r="E160" s="2">
        <v>0</v>
      </c>
      <c r="F160" s="2">
        <v>179.48</v>
      </c>
      <c r="H160" s="1">
        <f>_xlfn.XLOOKUP('Customer Info'!A2136,'Customer Info'!A2136:A2235,'Customer Info'!E2136:E2235,0,0)</f>
        <v>0</v>
      </c>
      <c r="J160" s="1">
        <f>_xlfn.XLOOKUP('Customer Info'!A2136,'Customer Info'!A2136:A2235,'Customer Info'!M2136:M2235)</f>
        <v>0</v>
      </c>
    </row>
    <row r="161" spans="1:10" ht="14" x14ac:dyDescent="0.2">
      <c r="A161" s="2" t="s">
        <v>22</v>
      </c>
      <c r="B161" s="2">
        <v>22</v>
      </c>
      <c r="C161" s="2">
        <v>4</v>
      </c>
      <c r="D161" s="2">
        <v>2021</v>
      </c>
      <c r="E161" s="2">
        <v>0</v>
      </c>
      <c r="F161" s="2">
        <v>179.4</v>
      </c>
      <c r="H161" s="1">
        <f>_xlfn.XLOOKUP('Customer Info'!A2137,'Customer Info'!A2137:A2236,'Customer Info'!E2137:E2236,0,0)</f>
        <v>0</v>
      </c>
      <c r="J161" s="1">
        <f>_xlfn.XLOOKUP('Customer Info'!A2137,'Customer Info'!A2137:A2236,'Customer Info'!M2137:M2236)</f>
        <v>0</v>
      </c>
    </row>
    <row r="162" spans="1:10" ht="14" hidden="1" x14ac:dyDescent="0.2">
      <c r="A162" s="2" t="s">
        <v>14</v>
      </c>
      <c r="B162" s="2">
        <v>10</v>
      </c>
      <c r="C162" s="2">
        <v>2</v>
      </c>
      <c r="D162" s="2">
        <v>2020</v>
      </c>
      <c r="E162" s="1" t="s">
        <v>94</v>
      </c>
      <c r="F162" s="2">
        <v>179.2</v>
      </c>
      <c r="H162" s="1">
        <f>_xlfn.XLOOKUP('Customer Info'!A19,'Customer Info'!A19:A118,'Customer Info'!E19:E118,0,0)</f>
        <v>2</v>
      </c>
      <c r="I162" s="1" t="str">
        <f>_xlfn.XLOOKUP('Customer Info'!A19,'Customer Info'!A19:A118,'Customer Info'!J19:J118,0)</f>
        <v>SSW</v>
      </c>
      <c r="J162" s="1" t="b">
        <f>_xlfn.XLOOKUP('Customer Info'!A19,'Customer Info'!A19:A118,'Customer Info'!M19:M118)</f>
        <v>0</v>
      </c>
    </row>
    <row r="163" spans="1:10" ht="14" hidden="1" x14ac:dyDescent="0.2">
      <c r="A163" s="2" t="s">
        <v>15</v>
      </c>
      <c r="B163" s="2">
        <v>5</v>
      </c>
      <c r="C163" s="2">
        <v>12</v>
      </c>
      <c r="D163" s="2">
        <v>2020</v>
      </c>
      <c r="E163" s="2">
        <v>0</v>
      </c>
      <c r="F163" s="2">
        <v>179.18</v>
      </c>
      <c r="H163" s="1">
        <f>_xlfn.XLOOKUP('Customer Info'!A935,'Customer Info'!A935:A1034,'Customer Info'!E935:E1034,0,0)</f>
        <v>0</v>
      </c>
      <c r="J163" s="1">
        <f>_xlfn.XLOOKUP('Customer Info'!A935,'Customer Info'!A935:A1034,'Customer Info'!M935:M1034)</f>
        <v>0</v>
      </c>
    </row>
    <row r="164" spans="1:10" ht="14" x14ac:dyDescent="0.2">
      <c r="A164" s="2" t="s">
        <v>19</v>
      </c>
      <c r="B164" s="2">
        <v>24</v>
      </c>
      <c r="C164" s="2">
        <v>12</v>
      </c>
      <c r="D164" s="2">
        <v>2021</v>
      </c>
      <c r="E164" s="2">
        <v>0</v>
      </c>
      <c r="F164" s="2">
        <v>179.18</v>
      </c>
      <c r="H164" s="1">
        <f>_xlfn.XLOOKUP('Customer Info'!A2138,'Customer Info'!A2138:A2237,'Customer Info'!E2138:E2237,0,0)</f>
        <v>0</v>
      </c>
      <c r="J164" s="1">
        <f>_xlfn.XLOOKUP('Customer Info'!A2138,'Customer Info'!A2138:A2237,'Customer Info'!M2138:M2237)</f>
        <v>0</v>
      </c>
    </row>
    <row r="165" spans="1:10" ht="14" x14ac:dyDescent="0.2">
      <c r="A165" s="2" t="s">
        <v>24</v>
      </c>
      <c r="B165" s="2">
        <v>22</v>
      </c>
      <c r="C165" s="2">
        <v>11</v>
      </c>
      <c r="D165" s="2">
        <v>2021</v>
      </c>
      <c r="E165" s="2">
        <v>0</v>
      </c>
      <c r="F165" s="2">
        <v>179.1</v>
      </c>
      <c r="H165" s="1">
        <f>_xlfn.XLOOKUP('Customer Info'!A2139,'Customer Info'!A2139:A2238,'Customer Info'!E2139:E2238,0,0)</f>
        <v>0</v>
      </c>
      <c r="J165" s="1">
        <f>_xlfn.XLOOKUP('Customer Info'!A2139,'Customer Info'!A2139:A2238,'Customer Info'!M2139:M2238)</f>
        <v>0</v>
      </c>
    </row>
    <row r="166" spans="1:10" ht="14" hidden="1" x14ac:dyDescent="0.2">
      <c r="A166" s="2" t="s">
        <v>22</v>
      </c>
      <c r="B166" s="2">
        <v>22</v>
      </c>
      <c r="C166" s="2">
        <v>11</v>
      </c>
      <c r="D166" s="2">
        <v>2020</v>
      </c>
      <c r="E166" s="2">
        <v>0</v>
      </c>
      <c r="F166" s="2">
        <v>178.8</v>
      </c>
      <c r="H166" s="1">
        <f>_xlfn.XLOOKUP('Customer Info'!A936,'Customer Info'!A936:A1035,'Customer Info'!E936:E1035,0,0)</f>
        <v>0</v>
      </c>
      <c r="J166" s="1">
        <f>_xlfn.XLOOKUP('Customer Info'!A936,'Customer Info'!A936:A1035,'Customer Info'!M936:M1035)</f>
        <v>0</v>
      </c>
    </row>
    <row r="167" spans="1:10" ht="14" hidden="1" x14ac:dyDescent="0.2">
      <c r="A167" s="2" t="s">
        <v>98</v>
      </c>
      <c r="B167" s="2">
        <v>21</v>
      </c>
      <c r="C167" s="2">
        <v>1</v>
      </c>
      <c r="D167" s="2">
        <v>2020</v>
      </c>
      <c r="E167" s="1" t="s">
        <v>94</v>
      </c>
      <c r="F167" s="2">
        <v>178.25</v>
      </c>
      <c r="H167" s="1">
        <f>_xlfn.XLOOKUP('Customer Info'!A20,'Customer Info'!A20:A119,'Customer Info'!E20:E119,0,0)</f>
        <v>2</v>
      </c>
      <c r="I167" s="1" t="str">
        <f>_xlfn.XLOOKUP('Customer Info'!A20,'Customer Info'!A20:A119,'Customer Info'!J20:J119,0)</f>
        <v>SSW</v>
      </c>
      <c r="J167" s="1" t="b">
        <f>_xlfn.XLOOKUP('Customer Info'!A20,'Customer Info'!A20:A119,'Customer Info'!M20:M119)</f>
        <v>0</v>
      </c>
    </row>
    <row r="168" spans="1:10" ht="14" x14ac:dyDescent="0.2">
      <c r="A168" s="2" t="s">
        <v>27</v>
      </c>
      <c r="B168" s="2">
        <v>1</v>
      </c>
      <c r="C168" s="2">
        <v>3</v>
      </c>
      <c r="D168" s="2">
        <v>2021</v>
      </c>
      <c r="E168" s="2">
        <v>0</v>
      </c>
      <c r="F168" s="2">
        <v>178.25</v>
      </c>
      <c r="H168" s="1">
        <f>_xlfn.XLOOKUP('Customer Info'!A2140,'Customer Info'!A2140:A2239,'Customer Info'!E2140:E2239,0,0)</f>
        <v>0</v>
      </c>
      <c r="J168" s="1">
        <f>_xlfn.XLOOKUP('Customer Info'!A2140,'Customer Info'!A2140:A2239,'Customer Info'!M2140:M2239)</f>
        <v>0</v>
      </c>
    </row>
    <row r="169" spans="1:10" ht="14" x14ac:dyDescent="0.2">
      <c r="A169" s="2" t="s">
        <v>24</v>
      </c>
      <c r="B169" s="2">
        <v>22</v>
      </c>
      <c r="C169" s="2">
        <v>1</v>
      </c>
      <c r="D169" s="2">
        <v>2021</v>
      </c>
      <c r="E169" s="2">
        <v>0</v>
      </c>
      <c r="F169" s="2">
        <v>177.94</v>
      </c>
      <c r="H169" s="1">
        <f>_xlfn.XLOOKUP('Customer Info'!A2141,'Customer Info'!A2141:A2240,'Customer Info'!E2141:E2240,0,0)</f>
        <v>0</v>
      </c>
      <c r="J169" s="1">
        <f>_xlfn.XLOOKUP('Customer Info'!A2141,'Customer Info'!A2141:A2240,'Customer Info'!M2141:M2240)</f>
        <v>0</v>
      </c>
    </row>
    <row r="170" spans="1:10" ht="14" x14ac:dyDescent="0.2">
      <c r="A170" s="2" t="s">
        <v>8</v>
      </c>
      <c r="B170" s="2">
        <v>5</v>
      </c>
      <c r="C170" s="2">
        <v>2</v>
      </c>
      <c r="D170" s="2">
        <v>2021</v>
      </c>
      <c r="E170" s="2">
        <v>0</v>
      </c>
      <c r="F170" s="2">
        <v>177.8</v>
      </c>
      <c r="H170" s="1">
        <f>_xlfn.XLOOKUP('Customer Info'!A2142,'Customer Info'!A2142:A2241,'Customer Info'!E2142:E2241,0,0)</f>
        <v>0</v>
      </c>
      <c r="J170" s="1">
        <f>_xlfn.XLOOKUP('Customer Info'!A2142,'Customer Info'!A2142:A2241,'Customer Info'!M2142:M2241)</f>
        <v>0</v>
      </c>
    </row>
    <row r="171" spans="1:10" ht="14" x14ac:dyDescent="0.2">
      <c r="A171" s="2" t="s">
        <v>18</v>
      </c>
      <c r="B171" s="2">
        <v>5</v>
      </c>
      <c r="C171" s="2">
        <v>2</v>
      </c>
      <c r="D171" s="2">
        <v>2021</v>
      </c>
      <c r="E171" s="2">
        <v>0</v>
      </c>
      <c r="F171" s="2">
        <v>177.8</v>
      </c>
      <c r="H171" s="1">
        <f>_xlfn.XLOOKUP('Customer Info'!A2143,'Customer Info'!A2143:A2242,'Customer Info'!E2143:E2242,0,0)</f>
        <v>0</v>
      </c>
      <c r="J171" s="1">
        <f>_xlfn.XLOOKUP('Customer Info'!A2143,'Customer Info'!A2143:A2242,'Customer Info'!M2143:M2242)</f>
        <v>0</v>
      </c>
    </row>
    <row r="172" spans="1:10" ht="14" x14ac:dyDescent="0.2">
      <c r="A172" s="2" t="s">
        <v>12</v>
      </c>
      <c r="B172" s="2">
        <v>2</v>
      </c>
      <c r="C172" s="2">
        <v>2</v>
      </c>
      <c r="D172" s="2">
        <v>2021</v>
      </c>
      <c r="E172" s="2">
        <v>0</v>
      </c>
      <c r="F172" s="2">
        <v>177.52</v>
      </c>
      <c r="H172" s="1">
        <f>_xlfn.XLOOKUP('Customer Info'!A2144,'Customer Info'!A2144:A2243,'Customer Info'!E2144:E2243,0,0)</f>
        <v>0</v>
      </c>
      <c r="J172" s="1">
        <f>_xlfn.XLOOKUP('Customer Info'!A2144,'Customer Info'!A2144:A2243,'Customer Info'!M2144:M2243)</f>
        <v>0</v>
      </c>
    </row>
    <row r="173" spans="1:10" ht="14" x14ac:dyDescent="0.2">
      <c r="A173" s="2" t="s">
        <v>16</v>
      </c>
      <c r="B173" s="2">
        <v>14</v>
      </c>
      <c r="C173" s="2">
        <v>12</v>
      </c>
      <c r="D173" s="2">
        <v>2021</v>
      </c>
      <c r="E173" s="1" t="s">
        <v>94</v>
      </c>
      <c r="F173" s="2">
        <v>177.32</v>
      </c>
      <c r="H173" s="1">
        <f>_xlfn.XLOOKUP('Customer Info'!A1220,'Customer Info'!A1220:A1319,'Customer Info'!E1220:E1319,0,0)</f>
        <v>0</v>
      </c>
      <c r="J173" s="1">
        <f>_xlfn.XLOOKUP('Customer Info'!A1220,'Customer Info'!A1220:A1319,'Customer Info'!M1220:M1319)</f>
        <v>0</v>
      </c>
    </row>
    <row r="174" spans="1:10" ht="14" hidden="1" x14ac:dyDescent="0.2">
      <c r="A174" s="2" t="s">
        <v>13</v>
      </c>
      <c r="B174" s="2">
        <v>7</v>
      </c>
      <c r="C174" s="2">
        <v>1</v>
      </c>
      <c r="D174" s="2">
        <v>2020</v>
      </c>
      <c r="E174" s="2">
        <v>0</v>
      </c>
      <c r="F174" s="2">
        <v>177.32</v>
      </c>
      <c r="H174" s="1">
        <f>_xlfn.XLOOKUP('Customer Info'!A937,'Customer Info'!A937:A1036,'Customer Info'!E937:E1036,0,0)</f>
        <v>0</v>
      </c>
      <c r="J174" s="1">
        <f>_xlfn.XLOOKUP('Customer Info'!A937,'Customer Info'!A937:A1036,'Customer Info'!M937:M1036)</f>
        <v>0</v>
      </c>
    </row>
    <row r="175" spans="1:10" ht="14" hidden="1" x14ac:dyDescent="0.2">
      <c r="A175" s="2" t="s">
        <v>30</v>
      </c>
      <c r="B175" s="2">
        <v>2</v>
      </c>
      <c r="C175" s="2">
        <v>4</v>
      </c>
      <c r="D175" s="2">
        <v>2020</v>
      </c>
      <c r="E175" s="2">
        <v>0</v>
      </c>
      <c r="F175" s="2">
        <v>176.7</v>
      </c>
      <c r="H175" s="1">
        <f>_xlfn.XLOOKUP('Customer Info'!A938,'Customer Info'!A938:A1037,'Customer Info'!E938:E1037,0,0)</f>
        <v>0</v>
      </c>
      <c r="J175" s="1">
        <f>_xlfn.XLOOKUP('Customer Info'!A938,'Customer Info'!A938:A1037,'Customer Info'!M938:M1037)</f>
        <v>0</v>
      </c>
    </row>
    <row r="176" spans="1:10" ht="14" x14ac:dyDescent="0.2">
      <c r="A176" s="2" t="s">
        <v>21</v>
      </c>
      <c r="B176" s="2">
        <v>15</v>
      </c>
      <c r="C176" s="2">
        <v>11</v>
      </c>
      <c r="D176" s="2">
        <v>2021</v>
      </c>
      <c r="E176" s="2">
        <v>0</v>
      </c>
      <c r="F176" s="2">
        <v>176.7</v>
      </c>
      <c r="H176" s="1">
        <f>_xlfn.XLOOKUP('Customer Info'!A2145,'Customer Info'!A2145:A2244,'Customer Info'!E2145:E2244,0,0)</f>
        <v>0</v>
      </c>
      <c r="J176" s="1">
        <f>_xlfn.XLOOKUP('Customer Info'!A2145,'Customer Info'!A2145:A2244,'Customer Info'!M2145:M2244)</f>
        <v>0</v>
      </c>
    </row>
    <row r="177" spans="1:10" ht="14" x14ac:dyDescent="0.2">
      <c r="A177" s="2" t="s">
        <v>10</v>
      </c>
      <c r="B177" s="2">
        <v>18</v>
      </c>
      <c r="C177" s="2">
        <v>12</v>
      </c>
      <c r="D177" s="2">
        <v>2021</v>
      </c>
      <c r="E177" s="2">
        <v>0</v>
      </c>
      <c r="F177" s="2">
        <v>176.7</v>
      </c>
      <c r="H177" s="1">
        <f>_xlfn.XLOOKUP('Customer Info'!A2146,'Customer Info'!A2146:A2245,'Customer Info'!E2146:E2245,0,0)</f>
        <v>0</v>
      </c>
      <c r="J177" s="1">
        <f>_xlfn.XLOOKUP('Customer Info'!A2146,'Customer Info'!A2146:A2245,'Customer Info'!M2146:M2245)</f>
        <v>0</v>
      </c>
    </row>
    <row r="178" spans="1:10" ht="14" x14ac:dyDescent="0.2">
      <c r="A178" s="2" t="s">
        <v>98</v>
      </c>
      <c r="B178" s="2">
        <v>21</v>
      </c>
      <c r="C178" s="2">
        <v>1</v>
      </c>
      <c r="D178" s="2">
        <v>2021</v>
      </c>
      <c r="E178" s="1" t="s">
        <v>94</v>
      </c>
      <c r="F178" s="2">
        <v>176.39</v>
      </c>
      <c r="H178" s="1">
        <f>_xlfn.XLOOKUP('Customer Info'!A1221,'Customer Info'!A1221:A1320,'Customer Info'!E1221:E1320,0,0)</f>
        <v>0</v>
      </c>
      <c r="J178" s="1">
        <f>_xlfn.XLOOKUP('Customer Info'!A1221,'Customer Info'!A1221:A1320,'Customer Info'!M1221:M1320)</f>
        <v>0</v>
      </c>
    </row>
    <row r="179" spans="1:10" ht="14" hidden="1" x14ac:dyDescent="0.2">
      <c r="A179" s="2" t="s">
        <v>25</v>
      </c>
      <c r="B179" s="2">
        <v>8</v>
      </c>
      <c r="C179" s="2">
        <v>10</v>
      </c>
      <c r="D179" s="2">
        <v>2020</v>
      </c>
      <c r="E179" s="2">
        <v>0</v>
      </c>
      <c r="F179" s="2">
        <v>176.39</v>
      </c>
      <c r="H179" s="1">
        <f>_xlfn.XLOOKUP('Customer Info'!A939,'Customer Info'!A939:A1038,'Customer Info'!E939:E1038,0,0)</f>
        <v>0</v>
      </c>
      <c r="J179" s="1">
        <f>_xlfn.XLOOKUP('Customer Info'!A939,'Customer Info'!A939:A1038,'Customer Info'!M939:M1038)</f>
        <v>0</v>
      </c>
    </row>
    <row r="180" spans="1:10" ht="14" x14ac:dyDescent="0.2">
      <c r="A180" s="2" t="s">
        <v>8</v>
      </c>
      <c r="B180" s="2">
        <v>5</v>
      </c>
      <c r="C180" s="2">
        <v>11</v>
      </c>
      <c r="D180" s="2">
        <v>2021</v>
      </c>
      <c r="E180" s="2">
        <v>0</v>
      </c>
      <c r="F180" s="2">
        <v>176.1</v>
      </c>
      <c r="H180" s="1">
        <f>_xlfn.XLOOKUP('Customer Info'!A2147,'Customer Info'!A2147:A2246,'Customer Info'!E2147:E2246,0,0)</f>
        <v>0</v>
      </c>
      <c r="J180" s="1">
        <f>_xlfn.XLOOKUP('Customer Info'!A2147,'Customer Info'!A2147:A2246,'Customer Info'!M2147:M2246)</f>
        <v>0</v>
      </c>
    </row>
    <row r="181" spans="1:10" ht="14" x14ac:dyDescent="0.2">
      <c r="A181" s="2" t="s">
        <v>15</v>
      </c>
      <c r="B181" s="2">
        <v>5</v>
      </c>
      <c r="C181" s="2">
        <v>1</v>
      </c>
      <c r="D181" s="2">
        <v>2021</v>
      </c>
      <c r="E181" s="1" t="s">
        <v>94</v>
      </c>
      <c r="F181" s="2">
        <v>176.08</v>
      </c>
      <c r="H181" s="1">
        <f>_xlfn.XLOOKUP('Customer Info'!A1222,'Customer Info'!A1222:A1321,'Customer Info'!E1222:E1321,0,0)</f>
        <v>0</v>
      </c>
      <c r="J181" s="1">
        <f>_xlfn.XLOOKUP('Customer Info'!A1222,'Customer Info'!A1222:A1321,'Customer Info'!M1222:M1321)</f>
        <v>0</v>
      </c>
    </row>
    <row r="182" spans="1:10" ht="14" x14ac:dyDescent="0.2">
      <c r="A182" s="2" t="s">
        <v>7</v>
      </c>
      <c r="B182" s="2">
        <v>20</v>
      </c>
      <c r="C182" s="2">
        <v>1</v>
      </c>
      <c r="D182" s="2">
        <v>2021</v>
      </c>
      <c r="E182" s="2">
        <v>0</v>
      </c>
      <c r="F182" s="2">
        <v>176.08</v>
      </c>
      <c r="H182" s="1">
        <f>_xlfn.XLOOKUP('Customer Info'!A2148,'Customer Info'!A2148:A2247,'Customer Info'!E2148:E2247,0,0)</f>
        <v>0</v>
      </c>
      <c r="J182" s="1">
        <f>_xlfn.XLOOKUP('Customer Info'!A2148,'Customer Info'!A2148:A2247,'Customer Info'!M2148:M2247)</f>
        <v>0</v>
      </c>
    </row>
    <row r="183" spans="1:10" ht="14" x14ac:dyDescent="0.2">
      <c r="A183" s="2" t="s">
        <v>15</v>
      </c>
      <c r="B183" s="2">
        <v>5</v>
      </c>
      <c r="C183" s="2">
        <v>2</v>
      </c>
      <c r="D183" s="2">
        <v>2021</v>
      </c>
      <c r="E183" s="2">
        <v>0</v>
      </c>
      <c r="F183" s="2">
        <v>175.84</v>
      </c>
      <c r="H183" s="1">
        <f>_xlfn.XLOOKUP('Customer Info'!A2149,'Customer Info'!A2149:A2248,'Customer Info'!E2149:E2248,0,0)</f>
        <v>0</v>
      </c>
      <c r="J183" s="1">
        <f>_xlfn.XLOOKUP('Customer Info'!A2149,'Customer Info'!A2149:A2248,'Customer Info'!M2149:M2248)</f>
        <v>0</v>
      </c>
    </row>
    <row r="184" spans="1:10" ht="14" x14ac:dyDescent="0.2">
      <c r="A184" s="2" t="s">
        <v>9</v>
      </c>
      <c r="B184" s="2">
        <v>22</v>
      </c>
      <c r="C184" s="2">
        <v>12</v>
      </c>
      <c r="D184" s="2">
        <v>2021</v>
      </c>
      <c r="E184" s="2">
        <v>0</v>
      </c>
      <c r="F184" s="2">
        <v>175.77</v>
      </c>
      <c r="H184" s="1">
        <f>_xlfn.XLOOKUP('Customer Info'!A2150,'Customer Info'!A2150:A2249,'Customer Info'!E2150:E2249,0,0)</f>
        <v>0</v>
      </c>
      <c r="J184" s="1">
        <f>_xlfn.XLOOKUP('Customer Info'!A2150,'Customer Info'!A2150:A2249,'Customer Info'!M2150:M2249)</f>
        <v>0</v>
      </c>
    </row>
    <row r="185" spans="1:10" ht="14" hidden="1" x14ac:dyDescent="0.2">
      <c r="A185" s="2" t="s">
        <v>13</v>
      </c>
      <c r="B185" s="2">
        <v>7</v>
      </c>
      <c r="C185" s="2">
        <v>2</v>
      </c>
      <c r="D185" s="2">
        <v>2020</v>
      </c>
      <c r="E185" s="2">
        <v>0</v>
      </c>
      <c r="F185" s="2">
        <v>175.56</v>
      </c>
      <c r="H185" s="1">
        <f>_xlfn.XLOOKUP('Customer Info'!A940,'Customer Info'!A940:A1039,'Customer Info'!E940:E1039,0,0)</f>
        <v>0</v>
      </c>
      <c r="J185" s="1">
        <f>_xlfn.XLOOKUP('Customer Info'!A940,'Customer Info'!A940:A1039,'Customer Info'!M940:M1039)</f>
        <v>0</v>
      </c>
    </row>
    <row r="186" spans="1:10" ht="14" hidden="1" x14ac:dyDescent="0.2">
      <c r="A186" s="2" t="s">
        <v>29</v>
      </c>
      <c r="B186" s="2">
        <v>20</v>
      </c>
      <c r="C186" s="2">
        <v>4</v>
      </c>
      <c r="D186" s="2">
        <v>2020</v>
      </c>
      <c r="E186" s="2">
        <v>0</v>
      </c>
      <c r="F186" s="2">
        <v>175.5</v>
      </c>
      <c r="H186" s="1">
        <f>_xlfn.XLOOKUP('Customer Info'!A941,'Customer Info'!A941:A1040,'Customer Info'!E941:E1040,0,0)</f>
        <v>0</v>
      </c>
      <c r="J186" s="1">
        <f>_xlfn.XLOOKUP('Customer Info'!A941,'Customer Info'!A941:A1040,'Customer Info'!M941:M1040)</f>
        <v>0</v>
      </c>
    </row>
    <row r="187" spans="1:10" ht="14" hidden="1" x14ac:dyDescent="0.2">
      <c r="A187" s="2" t="s">
        <v>10</v>
      </c>
      <c r="B187" s="2">
        <v>18</v>
      </c>
      <c r="C187" s="2">
        <v>12</v>
      </c>
      <c r="D187" s="2">
        <v>2020</v>
      </c>
      <c r="E187" s="2">
        <v>0</v>
      </c>
      <c r="F187" s="2">
        <v>175.46</v>
      </c>
      <c r="H187" s="1">
        <f>_xlfn.XLOOKUP('Customer Info'!A942,'Customer Info'!A942:A1041,'Customer Info'!E942:E1041,0,0)</f>
        <v>0</v>
      </c>
      <c r="J187" s="1">
        <f>_xlfn.XLOOKUP('Customer Info'!A942,'Customer Info'!A942:A1041,'Customer Info'!M942:M1041)</f>
        <v>0</v>
      </c>
    </row>
    <row r="188" spans="1:10" ht="14" x14ac:dyDescent="0.2">
      <c r="A188" s="2" t="s">
        <v>25</v>
      </c>
      <c r="B188" s="2">
        <v>8</v>
      </c>
      <c r="C188" s="2">
        <v>1</v>
      </c>
      <c r="D188" s="2">
        <v>2021</v>
      </c>
      <c r="E188" s="2">
        <v>0</v>
      </c>
      <c r="F188" s="2">
        <v>175.46</v>
      </c>
      <c r="H188" s="1">
        <f>_xlfn.XLOOKUP('Customer Info'!A2151,'Customer Info'!A2151:A2250,'Customer Info'!E2151:E2250,0,0)</f>
        <v>0</v>
      </c>
      <c r="J188" s="1">
        <f>_xlfn.XLOOKUP('Customer Info'!A2151,'Customer Info'!A2151:A2250,'Customer Info'!M2151:M2250)</f>
        <v>0</v>
      </c>
    </row>
    <row r="189" spans="1:10" ht="14" hidden="1" x14ac:dyDescent="0.2">
      <c r="A189" s="2" t="s">
        <v>19</v>
      </c>
      <c r="B189" s="2">
        <v>24</v>
      </c>
      <c r="C189" s="2">
        <v>1</v>
      </c>
      <c r="D189" s="2">
        <v>2020</v>
      </c>
      <c r="E189" s="1" t="s">
        <v>94</v>
      </c>
      <c r="F189" s="2">
        <v>175.15</v>
      </c>
      <c r="H189" s="1">
        <f>_xlfn.XLOOKUP('Customer Info'!A21,'Customer Info'!A21:A120,'Customer Info'!E21:E120,0,0)</f>
        <v>4</v>
      </c>
      <c r="I189" s="1" t="str">
        <f>_xlfn.XLOOKUP('Customer Info'!A21,'Customer Info'!A21:A120,'Customer Info'!J21:J120,0)</f>
        <v>Scottish Gas</v>
      </c>
      <c r="J189" s="1" t="b">
        <f>_xlfn.XLOOKUP('Customer Info'!A21,'Customer Info'!A21:A120,'Customer Info'!M21:M120)</f>
        <v>0</v>
      </c>
    </row>
    <row r="190" spans="1:10" ht="14" x14ac:dyDescent="0.2">
      <c r="A190" s="2" t="s">
        <v>31</v>
      </c>
      <c r="B190" s="2">
        <v>14</v>
      </c>
      <c r="C190" s="2">
        <v>4</v>
      </c>
      <c r="D190" s="2">
        <v>2021</v>
      </c>
      <c r="E190" s="2">
        <v>0</v>
      </c>
      <c r="F190" s="2">
        <v>174.9</v>
      </c>
      <c r="H190" s="1">
        <f>_xlfn.XLOOKUP('Customer Info'!A2152,'Customer Info'!A2152:A2251,'Customer Info'!E2152:E2251,0,0)</f>
        <v>0</v>
      </c>
      <c r="J190" s="1">
        <f>_xlfn.XLOOKUP('Customer Info'!A2152,'Customer Info'!A2152:A2251,'Customer Info'!M2152:M2251)</f>
        <v>0</v>
      </c>
    </row>
    <row r="191" spans="1:10" ht="14" x14ac:dyDescent="0.2">
      <c r="A191" s="2" t="s">
        <v>13</v>
      </c>
      <c r="B191" s="2">
        <v>7</v>
      </c>
      <c r="C191" s="2">
        <v>1</v>
      </c>
      <c r="D191" s="2">
        <v>2021</v>
      </c>
      <c r="E191" s="1" t="s">
        <v>94</v>
      </c>
      <c r="F191" s="2">
        <v>174.84</v>
      </c>
      <c r="H191" s="1">
        <f>_xlfn.XLOOKUP('Customer Info'!A1223,'Customer Info'!A1223:A1322,'Customer Info'!E1223:E1322,0,0)</f>
        <v>0</v>
      </c>
      <c r="J191" s="1">
        <f>_xlfn.XLOOKUP('Customer Info'!A1223,'Customer Info'!A1223:A1322,'Customer Info'!M1223:M1322)</f>
        <v>0</v>
      </c>
    </row>
    <row r="192" spans="1:10" ht="14" hidden="1" x14ac:dyDescent="0.2">
      <c r="A192" s="2" t="s">
        <v>21</v>
      </c>
      <c r="B192" s="2">
        <v>15</v>
      </c>
      <c r="C192" s="2">
        <v>12</v>
      </c>
      <c r="D192" s="2">
        <v>2020</v>
      </c>
      <c r="E192" s="2">
        <v>0</v>
      </c>
      <c r="F192" s="2">
        <v>174.84</v>
      </c>
      <c r="H192" s="1">
        <f>_xlfn.XLOOKUP('Customer Info'!A943,'Customer Info'!A943:A1042,'Customer Info'!E943:E1042,0,0)</f>
        <v>0</v>
      </c>
      <c r="J192" s="1">
        <f>_xlfn.XLOOKUP('Customer Info'!A943,'Customer Info'!A943:A1042,'Customer Info'!M943:M1042)</f>
        <v>0</v>
      </c>
    </row>
    <row r="193" spans="1:10" ht="14" x14ac:dyDescent="0.2">
      <c r="A193" s="2" t="s">
        <v>26</v>
      </c>
      <c r="B193" s="2">
        <v>22</v>
      </c>
      <c r="C193" s="2">
        <v>4</v>
      </c>
      <c r="D193" s="2">
        <v>2021</v>
      </c>
      <c r="E193" s="2">
        <v>0</v>
      </c>
      <c r="F193" s="2">
        <v>174.6</v>
      </c>
      <c r="H193" s="1">
        <f>_xlfn.XLOOKUP('Customer Info'!A2153,'Customer Info'!A2153:A2252,'Customer Info'!E2153:E2252,0,0)</f>
        <v>0</v>
      </c>
      <c r="J193" s="1">
        <f>_xlfn.XLOOKUP('Customer Info'!A2153,'Customer Info'!A2153:A2252,'Customer Info'!M2153:M2252)</f>
        <v>0</v>
      </c>
    </row>
    <row r="194" spans="1:10" ht="14" hidden="1" x14ac:dyDescent="0.2">
      <c r="A194" s="2" t="s">
        <v>31</v>
      </c>
      <c r="B194" s="2">
        <v>14</v>
      </c>
      <c r="C194" s="2">
        <v>7</v>
      </c>
      <c r="D194" s="2">
        <v>2020</v>
      </c>
      <c r="E194" s="2">
        <v>0</v>
      </c>
      <c r="F194" s="2">
        <v>174.53</v>
      </c>
      <c r="H194" s="1">
        <f>_xlfn.XLOOKUP('Customer Info'!A944,'Customer Info'!A944:A1043,'Customer Info'!E944:E1043,0,0)</f>
        <v>0</v>
      </c>
      <c r="J194" s="1">
        <f>_xlfn.XLOOKUP('Customer Info'!A944,'Customer Info'!A944:A1043,'Customer Info'!M944:M1043)</f>
        <v>0</v>
      </c>
    </row>
    <row r="195" spans="1:10" ht="14" hidden="1" x14ac:dyDescent="0.2">
      <c r="A195" s="2" t="s">
        <v>100</v>
      </c>
      <c r="B195" s="2">
        <v>1</v>
      </c>
      <c r="C195" s="2">
        <v>2</v>
      </c>
      <c r="D195" s="2">
        <v>2020</v>
      </c>
      <c r="E195" s="1" t="s">
        <v>94</v>
      </c>
      <c r="F195" s="2">
        <v>174.44</v>
      </c>
      <c r="H195" s="1">
        <f>_xlfn.XLOOKUP('Customer Info'!A22,'Customer Info'!A22:A121,'Customer Info'!E22:E121,0,0)</f>
        <v>5</v>
      </c>
      <c r="I195" s="1" t="str">
        <f>_xlfn.XLOOKUP('Customer Info'!A22,'Customer Info'!A22:A121,'Customer Info'!J22:J121,0)</f>
        <v>SSW</v>
      </c>
      <c r="J195" s="1" t="b">
        <f>_xlfn.XLOOKUP('Customer Info'!A22,'Customer Info'!A22:A121,'Customer Info'!M22:M121)</f>
        <v>1</v>
      </c>
    </row>
    <row r="196" spans="1:10" ht="14" hidden="1" x14ac:dyDescent="0.2">
      <c r="A196" s="2" t="s">
        <v>21</v>
      </c>
      <c r="B196" s="2">
        <v>15</v>
      </c>
      <c r="C196" s="2">
        <v>11</v>
      </c>
      <c r="D196" s="2">
        <v>2020</v>
      </c>
      <c r="E196" s="2">
        <v>0</v>
      </c>
      <c r="F196" s="2">
        <v>174</v>
      </c>
      <c r="H196" s="1">
        <f>_xlfn.XLOOKUP('Customer Info'!A945,'Customer Info'!A945:A1044,'Customer Info'!E945:E1044,0,0)</f>
        <v>0</v>
      </c>
      <c r="J196" s="1">
        <f>_xlfn.XLOOKUP('Customer Info'!A945,'Customer Info'!A945:A1044,'Customer Info'!M945:M1044)</f>
        <v>0</v>
      </c>
    </row>
    <row r="197" spans="1:10" ht="14" x14ac:dyDescent="0.2">
      <c r="A197" s="2" t="s">
        <v>3</v>
      </c>
      <c r="B197" s="2">
        <v>25</v>
      </c>
      <c r="C197" s="2">
        <v>11</v>
      </c>
      <c r="D197" s="2">
        <v>2021</v>
      </c>
      <c r="E197" s="2">
        <v>0</v>
      </c>
      <c r="F197" s="2">
        <v>174</v>
      </c>
      <c r="H197" s="1">
        <f>_xlfn.XLOOKUP('Customer Info'!A2154,'Customer Info'!A2154:A2253,'Customer Info'!E2154:E2253,0,0)</f>
        <v>0</v>
      </c>
      <c r="J197" s="1">
        <f>_xlfn.XLOOKUP('Customer Info'!A2154,'Customer Info'!A2154:A2253,'Customer Info'!M2154:M2253)</f>
        <v>0</v>
      </c>
    </row>
    <row r="198" spans="1:10" ht="14" hidden="1" x14ac:dyDescent="0.2">
      <c r="A198" s="2" t="s">
        <v>4</v>
      </c>
      <c r="B198" s="2">
        <v>1</v>
      </c>
      <c r="C198" s="2">
        <v>12</v>
      </c>
      <c r="D198" s="2">
        <v>2020</v>
      </c>
      <c r="E198" s="2">
        <v>0</v>
      </c>
      <c r="F198" s="2">
        <v>173.91</v>
      </c>
      <c r="H198" s="1">
        <f>_xlfn.XLOOKUP('Customer Info'!A946,'Customer Info'!A946:A1045,'Customer Info'!E946:E1045,0,0)</f>
        <v>0</v>
      </c>
      <c r="J198" s="1">
        <f>_xlfn.XLOOKUP('Customer Info'!A946,'Customer Info'!A946:A1045,'Customer Info'!M946:M1045)</f>
        <v>0</v>
      </c>
    </row>
    <row r="199" spans="1:10" ht="14" hidden="1" x14ac:dyDescent="0.2">
      <c r="A199" s="2" t="s">
        <v>30</v>
      </c>
      <c r="B199" s="2">
        <v>2</v>
      </c>
      <c r="C199" s="2">
        <v>2</v>
      </c>
      <c r="D199" s="2">
        <v>2020</v>
      </c>
      <c r="E199" s="2">
        <v>0</v>
      </c>
      <c r="F199" s="2">
        <v>173.32</v>
      </c>
      <c r="H199" s="1">
        <f>_xlfn.XLOOKUP('Customer Info'!A947,'Customer Info'!A947:A1046,'Customer Info'!E947:E1046,0,0)</f>
        <v>0</v>
      </c>
      <c r="J199" s="1">
        <f>_xlfn.XLOOKUP('Customer Info'!A947,'Customer Info'!A947:A1046,'Customer Info'!M947:M1046)</f>
        <v>0</v>
      </c>
    </row>
    <row r="200" spans="1:10" ht="14" hidden="1" x14ac:dyDescent="0.2">
      <c r="A200" s="2" t="s">
        <v>31</v>
      </c>
      <c r="B200" s="2">
        <v>14</v>
      </c>
      <c r="C200" s="2">
        <v>10</v>
      </c>
      <c r="D200" s="2">
        <v>2020</v>
      </c>
      <c r="E200" s="2">
        <v>0</v>
      </c>
      <c r="F200" s="2">
        <v>173.29</v>
      </c>
      <c r="H200" s="1">
        <f>_xlfn.XLOOKUP('Customer Info'!A948,'Customer Info'!A948:A1047,'Customer Info'!E948:E1047,0,0)</f>
        <v>0</v>
      </c>
      <c r="J200" s="1">
        <f>_xlfn.XLOOKUP('Customer Info'!A948,'Customer Info'!A948:A1047,'Customer Info'!M948:M1047)</f>
        <v>0</v>
      </c>
    </row>
    <row r="201" spans="1:10" ht="14" x14ac:dyDescent="0.2">
      <c r="A201" s="2" t="s">
        <v>5</v>
      </c>
      <c r="B201" s="2">
        <v>7</v>
      </c>
      <c r="C201" s="2">
        <v>11</v>
      </c>
      <c r="D201" s="2">
        <v>2021</v>
      </c>
      <c r="E201" s="1" t="s">
        <v>94</v>
      </c>
      <c r="F201" s="2">
        <v>173.1</v>
      </c>
      <c r="H201" s="1">
        <f>_xlfn.XLOOKUP('Customer Info'!A1224,'Customer Info'!A1224:A1323,'Customer Info'!E1224:E1323,0,0)</f>
        <v>0</v>
      </c>
      <c r="J201" s="1">
        <f>_xlfn.XLOOKUP('Customer Info'!A1224,'Customer Info'!A1224:A1323,'Customer Info'!M1224:M1323)</f>
        <v>0</v>
      </c>
    </row>
    <row r="202" spans="1:10" ht="14" x14ac:dyDescent="0.2">
      <c r="A202" s="2" t="s">
        <v>100</v>
      </c>
      <c r="B202" s="2">
        <v>1</v>
      </c>
      <c r="C202" s="2">
        <v>12</v>
      </c>
      <c r="D202" s="2">
        <v>2021</v>
      </c>
      <c r="E202" s="1" t="s">
        <v>94</v>
      </c>
      <c r="F202" s="2">
        <v>172.67</v>
      </c>
      <c r="H202" s="1">
        <f>_xlfn.XLOOKUP('Customer Info'!A1225,'Customer Info'!A1225:A1324,'Customer Info'!E1225:E1324,0,0)</f>
        <v>0</v>
      </c>
      <c r="J202" s="1">
        <f>_xlfn.XLOOKUP('Customer Info'!A1225,'Customer Info'!A1225:A1324,'Customer Info'!M1225:M1324)</f>
        <v>0</v>
      </c>
    </row>
    <row r="203" spans="1:10" ht="14" hidden="1" x14ac:dyDescent="0.2">
      <c r="A203" s="2" t="s">
        <v>14</v>
      </c>
      <c r="B203" s="2">
        <v>10</v>
      </c>
      <c r="C203" s="2">
        <v>11</v>
      </c>
      <c r="D203" s="2">
        <v>2020</v>
      </c>
      <c r="E203" s="2">
        <v>0</v>
      </c>
      <c r="F203" s="2">
        <v>172.5</v>
      </c>
      <c r="H203" s="1">
        <f>_xlfn.XLOOKUP('Customer Info'!A949,'Customer Info'!A949:A1048,'Customer Info'!E949:E1048,0,0)</f>
        <v>0</v>
      </c>
      <c r="J203" s="1">
        <f>_xlfn.XLOOKUP('Customer Info'!A949,'Customer Info'!A949:A1048,'Customer Info'!M949:M1048)</f>
        <v>0</v>
      </c>
    </row>
    <row r="204" spans="1:10" ht="14" x14ac:dyDescent="0.2">
      <c r="A204" s="2" t="s">
        <v>24</v>
      </c>
      <c r="B204" s="2">
        <v>22</v>
      </c>
      <c r="C204" s="2">
        <v>2</v>
      </c>
      <c r="D204" s="2">
        <v>2021</v>
      </c>
      <c r="E204" s="2">
        <v>0</v>
      </c>
      <c r="F204" s="2">
        <v>172.48</v>
      </c>
      <c r="H204" s="1">
        <f>_xlfn.XLOOKUP('Customer Info'!A2155,'Customer Info'!A2155:A2254,'Customer Info'!E2155:E2254,0,0)</f>
        <v>0</v>
      </c>
      <c r="J204" s="1">
        <f>_xlfn.XLOOKUP('Customer Info'!A2155,'Customer Info'!A2155:A2254,'Customer Info'!M2155:M2254)</f>
        <v>0</v>
      </c>
    </row>
    <row r="205" spans="1:10" ht="14" x14ac:dyDescent="0.2">
      <c r="A205" s="2" t="s">
        <v>15</v>
      </c>
      <c r="B205" s="2">
        <v>5</v>
      </c>
      <c r="C205" s="2">
        <v>10</v>
      </c>
      <c r="D205" s="2">
        <v>2021</v>
      </c>
      <c r="E205" s="2">
        <v>0</v>
      </c>
      <c r="F205" s="2">
        <v>172.36</v>
      </c>
      <c r="H205" s="1">
        <f>_xlfn.XLOOKUP('Customer Info'!A2156,'Customer Info'!A2156:A2255,'Customer Info'!E2156:E2255,0,0)</f>
        <v>0</v>
      </c>
      <c r="J205" s="1">
        <f>_xlfn.XLOOKUP('Customer Info'!A2156,'Customer Info'!A2156:A2255,'Customer Info'!M2156:M2255)</f>
        <v>0</v>
      </c>
    </row>
    <row r="206" spans="1:10" ht="14" x14ac:dyDescent="0.2">
      <c r="A206" s="2" t="s">
        <v>99</v>
      </c>
      <c r="B206" s="2">
        <v>10</v>
      </c>
      <c r="C206" s="2">
        <v>11</v>
      </c>
      <c r="D206" s="2">
        <v>2021</v>
      </c>
      <c r="E206" s="1" t="s">
        <v>94</v>
      </c>
      <c r="F206" s="2">
        <v>172.2</v>
      </c>
      <c r="H206" s="1">
        <f>_xlfn.XLOOKUP('Customer Info'!A1226,'Customer Info'!A1226:A1325,'Customer Info'!E1226:E1325,0,0)</f>
        <v>0</v>
      </c>
      <c r="J206" s="1">
        <f>_xlfn.XLOOKUP('Customer Info'!A1226,'Customer Info'!A1226:A1325,'Customer Info'!M1226:M1325)</f>
        <v>0</v>
      </c>
    </row>
    <row r="207" spans="1:10" ht="14" hidden="1" x14ac:dyDescent="0.2">
      <c r="A207" s="2" t="s">
        <v>18</v>
      </c>
      <c r="B207" s="2">
        <v>5</v>
      </c>
      <c r="C207" s="2">
        <v>11</v>
      </c>
      <c r="D207" s="2">
        <v>2020</v>
      </c>
      <c r="E207" s="2">
        <v>0</v>
      </c>
      <c r="F207" s="2">
        <v>172.2</v>
      </c>
      <c r="H207" s="1">
        <f>_xlfn.XLOOKUP('Customer Info'!A950,'Customer Info'!A950:A1049,'Customer Info'!E950:E1049,0,0)</f>
        <v>0</v>
      </c>
      <c r="J207" s="1">
        <f>_xlfn.XLOOKUP('Customer Info'!A950,'Customer Info'!A950:A1049,'Customer Info'!M950:M1049)</f>
        <v>0</v>
      </c>
    </row>
    <row r="208" spans="1:10" ht="14" hidden="1" x14ac:dyDescent="0.2">
      <c r="A208" s="2" t="s">
        <v>99</v>
      </c>
      <c r="B208" s="2">
        <v>10</v>
      </c>
      <c r="C208" s="2">
        <v>1</v>
      </c>
      <c r="D208" s="2">
        <v>2020</v>
      </c>
      <c r="E208" s="1" t="s">
        <v>94</v>
      </c>
      <c r="F208" s="2">
        <v>172.05</v>
      </c>
      <c r="H208" s="1">
        <f>_xlfn.XLOOKUP('Customer Info'!A23,'Customer Info'!A23:A122,'Customer Info'!E23:E122,0,0)</f>
        <v>2</v>
      </c>
      <c r="I208" s="1" t="str">
        <f>_xlfn.XLOOKUP('Customer Info'!A23,'Customer Info'!A23:A122,'Customer Info'!J23:J122,0)</f>
        <v>Scottish Gas</v>
      </c>
      <c r="J208" s="1" t="b">
        <f>_xlfn.XLOOKUP('Customer Info'!A23,'Customer Info'!A23:A122,'Customer Info'!M23:M122)</f>
        <v>0</v>
      </c>
    </row>
    <row r="209" spans="1:10" ht="14" x14ac:dyDescent="0.2">
      <c r="A209" s="2" t="s">
        <v>12</v>
      </c>
      <c r="B209" s="2">
        <v>2</v>
      </c>
      <c r="C209" s="2">
        <v>11</v>
      </c>
      <c r="D209" s="2">
        <v>2021</v>
      </c>
      <c r="E209" s="2">
        <v>0</v>
      </c>
      <c r="F209" s="2">
        <v>171.9</v>
      </c>
      <c r="H209" s="1">
        <f>_xlfn.XLOOKUP('Customer Info'!A2157,'Customer Info'!A2157:A2256,'Customer Info'!E2157:E2256,0,0)</f>
        <v>0</v>
      </c>
      <c r="J209" s="1">
        <f>_xlfn.XLOOKUP('Customer Info'!A2157,'Customer Info'!A2157:A2256,'Customer Info'!M2157:M2256)</f>
        <v>0</v>
      </c>
    </row>
    <row r="210" spans="1:10" ht="14" hidden="1" x14ac:dyDescent="0.2">
      <c r="A210" s="2" t="s">
        <v>15</v>
      </c>
      <c r="B210" s="2">
        <v>5</v>
      </c>
      <c r="C210" s="2">
        <v>1</v>
      </c>
      <c r="D210" s="2">
        <v>2020</v>
      </c>
      <c r="E210" s="2">
        <v>0</v>
      </c>
      <c r="F210" s="2">
        <v>171.74</v>
      </c>
      <c r="H210" s="1">
        <f>_xlfn.XLOOKUP('Customer Info'!A951,'Customer Info'!A951:A1050,'Customer Info'!E951:E1050,0,0)</f>
        <v>0</v>
      </c>
      <c r="J210" s="1">
        <f>_xlfn.XLOOKUP('Customer Info'!A951,'Customer Info'!A951:A1050,'Customer Info'!M951:M1050)</f>
        <v>0</v>
      </c>
    </row>
    <row r="211" spans="1:10" ht="14" hidden="1" x14ac:dyDescent="0.2">
      <c r="A211" s="2" t="s">
        <v>30</v>
      </c>
      <c r="B211" s="2">
        <v>2</v>
      </c>
      <c r="C211" s="2">
        <v>10</v>
      </c>
      <c r="D211" s="2">
        <v>2020</v>
      </c>
      <c r="E211" s="2">
        <v>0</v>
      </c>
      <c r="F211" s="2">
        <v>171.74</v>
      </c>
      <c r="H211" s="1">
        <f>_xlfn.XLOOKUP('Customer Info'!A952,'Customer Info'!A952:A1051,'Customer Info'!E952:E1051,0,0)</f>
        <v>0</v>
      </c>
      <c r="J211" s="1">
        <f>_xlfn.XLOOKUP('Customer Info'!A952,'Customer Info'!A952:A1051,'Customer Info'!M952:M1051)</f>
        <v>0</v>
      </c>
    </row>
    <row r="212" spans="1:10" ht="14" x14ac:dyDescent="0.2">
      <c r="A212" s="2" t="s">
        <v>15</v>
      </c>
      <c r="B212" s="2">
        <v>5</v>
      </c>
      <c r="C212" s="2">
        <v>11</v>
      </c>
      <c r="D212" s="2">
        <v>2021</v>
      </c>
      <c r="E212" s="2">
        <v>0</v>
      </c>
      <c r="F212" s="2">
        <v>171.6</v>
      </c>
      <c r="H212" s="1">
        <f>_xlfn.XLOOKUP('Customer Info'!A2158,'Customer Info'!A2158:A2257,'Customer Info'!E2158:E2257,0,0)</f>
        <v>0</v>
      </c>
      <c r="J212" s="1">
        <f>_xlfn.XLOOKUP('Customer Info'!A2158,'Customer Info'!A2158:A2257,'Customer Info'!M2158:M2257)</f>
        <v>0</v>
      </c>
    </row>
    <row r="213" spans="1:10" ht="14" x14ac:dyDescent="0.2">
      <c r="A213" s="2" t="s">
        <v>13</v>
      </c>
      <c r="B213" s="2">
        <v>7</v>
      </c>
      <c r="C213" s="2">
        <v>11</v>
      </c>
      <c r="D213" s="2">
        <v>2021</v>
      </c>
      <c r="E213" s="2">
        <v>0</v>
      </c>
      <c r="F213" s="2">
        <v>171.6</v>
      </c>
      <c r="H213" s="1">
        <f>_xlfn.XLOOKUP('Customer Info'!A2159,'Customer Info'!A2159:A2258,'Customer Info'!E2159:E2258,0,0)</f>
        <v>0</v>
      </c>
      <c r="J213" s="1">
        <f>_xlfn.XLOOKUP('Customer Info'!A2159,'Customer Info'!A2159:A2258,'Customer Info'!M2159:M2258)</f>
        <v>0</v>
      </c>
    </row>
    <row r="214" spans="1:10" ht="14" hidden="1" x14ac:dyDescent="0.2">
      <c r="A214" s="2" t="s">
        <v>24</v>
      </c>
      <c r="B214" s="2">
        <v>22</v>
      </c>
      <c r="C214" s="2">
        <v>10</v>
      </c>
      <c r="D214" s="2">
        <v>2020</v>
      </c>
      <c r="E214" s="2">
        <v>0</v>
      </c>
      <c r="F214" s="2">
        <v>171.43</v>
      </c>
      <c r="H214" s="1">
        <f>_xlfn.XLOOKUP('Customer Info'!A953,'Customer Info'!A953:A1052,'Customer Info'!E953:E1052,0,0)</f>
        <v>0</v>
      </c>
      <c r="J214" s="1">
        <f>_xlfn.XLOOKUP('Customer Info'!A953,'Customer Info'!A953:A1052,'Customer Info'!M953:M1052)</f>
        <v>0</v>
      </c>
    </row>
    <row r="215" spans="1:10" ht="14" x14ac:dyDescent="0.2">
      <c r="A215" s="2" t="s">
        <v>7</v>
      </c>
      <c r="B215" s="2">
        <v>20</v>
      </c>
      <c r="C215" s="2">
        <v>12</v>
      </c>
      <c r="D215" s="2">
        <v>2021</v>
      </c>
      <c r="E215" s="2">
        <v>0</v>
      </c>
      <c r="F215" s="2">
        <v>171.43</v>
      </c>
      <c r="H215" s="1">
        <f>_xlfn.XLOOKUP('Customer Info'!A2160,'Customer Info'!A2160:A2259,'Customer Info'!E2160:E2259,0,0)</f>
        <v>0</v>
      </c>
      <c r="J215" s="1">
        <f>_xlfn.XLOOKUP('Customer Info'!A2160,'Customer Info'!A2160:A2259,'Customer Info'!M2160:M2259)</f>
        <v>0</v>
      </c>
    </row>
    <row r="216" spans="1:10" ht="14" hidden="1" x14ac:dyDescent="0.2">
      <c r="A216" s="2" t="s">
        <v>17</v>
      </c>
      <c r="B216" s="2">
        <v>8</v>
      </c>
      <c r="C216" s="2">
        <v>11</v>
      </c>
      <c r="D216" s="2">
        <v>2020</v>
      </c>
      <c r="E216" s="2">
        <v>0</v>
      </c>
      <c r="F216" s="2">
        <v>171.3</v>
      </c>
      <c r="H216" s="1">
        <f>_xlfn.XLOOKUP('Customer Info'!A954,'Customer Info'!A954:A1053,'Customer Info'!E954:E1053,0,0)</f>
        <v>0</v>
      </c>
      <c r="J216" s="1">
        <f>_xlfn.XLOOKUP('Customer Info'!A954,'Customer Info'!A954:A1053,'Customer Info'!M954:M1053)</f>
        <v>0</v>
      </c>
    </row>
    <row r="217" spans="1:10" ht="14" hidden="1" x14ac:dyDescent="0.2">
      <c r="A217" s="2" t="s">
        <v>32</v>
      </c>
      <c r="B217" s="2">
        <v>17</v>
      </c>
      <c r="C217" s="2">
        <v>6</v>
      </c>
      <c r="D217" s="2">
        <v>2020</v>
      </c>
      <c r="E217" s="2">
        <v>0</v>
      </c>
      <c r="F217" s="2">
        <v>171</v>
      </c>
      <c r="H217" s="1">
        <f>_xlfn.XLOOKUP('Customer Info'!A955,'Customer Info'!A955:A1054,'Customer Info'!E955:E1054,0,0)</f>
        <v>0</v>
      </c>
      <c r="J217" s="1">
        <f>_xlfn.XLOOKUP('Customer Info'!A955,'Customer Info'!A955:A1054,'Customer Info'!M955:M1054)</f>
        <v>0</v>
      </c>
    </row>
    <row r="218" spans="1:10" ht="14" hidden="1" x14ac:dyDescent="0.2">
      <c r="A218" s="2" t="s">
        <v>13</v>
      </c>
      <c r="B218" s="2">
        <v>7</v>
      </c>
      <c r="C218" s="2">
        <v>11</v>
      </c>
      <c r="D218" s="2">
        <v>2020</v>
      </c>
      <c r="E218" s="2">
        <v>0</v>
      </c>
      <c r="F218" s="2">
        <v>171</v>
      </c>
      <c r="H218" s="1">
        <f>_xlfn.XLOOKUP('Customer Info'!A956,'Customer Info'!A956:A1055,'Customer Info'!E956:E1055,0,0)</f>
        <v>0</v>
      </c>
      <c r="J218" s="1">
        <f>_xlfn.XLOOKUP('Customer Info'!A956,'Customer Info'!A956:A1055,'Customer Info'!M956:M1055)</f>
        <v>0</v>
      </c>
    </row>
    <row r="219" spans="1:10" ht="14" x14ac:dyDescent="0.2">
      <c r="A219" s="2" t="s">
        <v>6</v>
      </c>
      <c r="B219" s="2">
        <v>7</v>
      </c>
      <c r="C219" s="2">
        <v>11</v>
      </c>
      <c r="D219" s="2">
        <v>2021</v>
      </c>
      <c r="E219" s="2">
        <v>0</v>
      </c>
      <c r="F219" s="2">
        <v>171</v>
      </c>
      <c r="H219" s="1">
        <f>_xlfn.XLOOKUP('Customer Info'!A2161,'Customer Info'!A2161:A2260,'Customer Info'!E2161:E2260,0,0)</f>
        <v>0</v>
      </c>
      <c r="J219" s="1">
        <f>_xlfn.XLOOKUP('Customer Info'!A2161,'Customer Info'!A2161:A2260,'Customer Info'!M2161:M2260)</f>
        <v>0</v>
      </c>
    </row>
    <row r="220" spans="1:10" ht="14" hidden="1" x14ac:dyDescent="0.2">
      <c r="A220" s="2" t="s">
        <v>4</v>
      </c>
      <c r="B220" s="2">
        <v>1</v>
      </c>
      <c r="C220" s="2">
        <v>2</v>
      </c>
      <c r="D220" s="2">
        <v>2020</v>
      </c>
      <c r="E220" s="2">
        <v>0</v>
      </c>
      <c r="F220" s="2">
        <v>170.8</v>
      </c>
      <c r="H220" s="1">
        <f>_xlfn.XLOOKUP('Customer Info'!A957,'Customer Info'!A957:A1056,'Customer Info'!E957:E1056,0,0)</f>
        <v>0</v>
      </c>
      <c r="J220" s="1">
        <f>_xlfn.XLOOKUP('Customer Info'!A957,'Customer Info'!A957:A1056,'Customer Info'!M957:M1056)</f>
        <v>0</v>
      </c>
    </row>
    <row r="221" spans="1:10" ht="14" x14ac:dyDescent="0.2">
      <c r="A221" s="2" t="s">
        <v>5</v>
      </c>
      <c r="B221" s="2">
        <v>7</v>
      </c>
      <c r="C221" s="2">
        <v>2</v>
      </c>
      <c r="D221" s="2">
        <v>2021</v>
      </c>
      <c r="E221" s="2">
        <v>0</v>
      </c>
      <c r="F221" s="2">
        <v>170.8</v>
      </c>
      <c r="H221" s="1">
        <f>_xlfn.XLOOKUP('Customer Info'!A2162,'Customer Info'!A2162:A2261,'Customer Info'!E2162:E2261,0,0)</f>
        <v>0</v>
      </c>
      <c r="J221" s="1">
        <f>_xlfn.XLOOKUP('Customer Info'!A2162,'Customer Info'!A2162:A2261,'Customer Info'!M2162:M2261)</f>
        <v>0</v>
      </c>
    </row>
    <row r="222" spans="1:10" ht="14" x14ac:dyDescent="0.2">
      <c r="A222" s="2" t="s">
        <v>13</v>
      </c>
      <c r="B222" s="2">
        <v>7</v>
      </c>
      <c r="C222" s="2">
        <v>12</v>
      </c>
      <c r="D222" s="2">
        <v>2021</v>
      </c>
      <c r="E222" s="2">
        <v>0</v>
      </c>
      <c r="F222" s="2">
        <v>170.5</v>
      </c>
      <c r="H222" s="1">
        <f>_xlfn.XLOOKUP('Customer Info'!A2163,'Customer Info'!A2163:A2262,'Customer Info'!E2163:E2262,0,0)</f>
        <v>0</v>
      </c>
      <c r="J222" s="1">
        <f>_xlfn.XLOOKUP('Customer Info'!A2163,'Customer Info'!A2163:A2262,'Customer Info'!M2163:M2262)</f>
        <v>0</v>
      </c>
    </row>
    <row r="223" spans="1:10" ht="14" x14ac:dyDescent="0.2">
      <c r="A223" s="2" t="s">
        <v>25</v>
      </c>
      <c r="B223" s="2">
        <v>8</v>
      </c>
      <c r="C223" s="2">
        <v>12</v>
      </c>
      <c r="D223" s="2">
        <v>2021</v>
      </c>
      <c r="E223" s="2">
        <v>0</v>
      </c>
      <c r="F223" s="2">
        <v>170.5</v>
      </c>
      <c r="H223" s="1">
        <f>_xlfn.XLOOKUP('Customer Info'!A2164,'Customer Info'!A2164:A2263,'Customer Info'!E2164:E2263,0,0)</f>
        <v>0</v>
      </c>
      <c r="J223" s="1">
        <f>_xlfn.XLOOKUP('Customer Info'!A2164,'Customer Info'!A2164:A2263,'Customer Info'!M2164:M2263)</f>
        <v>0</v>
      </c>
    </row>
    <row r="224" spans="1:10" ht="14" hidden="1" x14ac:dyDescent="0.2">
      <c r="A224" s="2" t="s">
        <v>18</v>
      </c>
      <c r="B224" s="2">
        <v>5</v>
      </c>
      <c r="C224" s="2">
        <v>2</v>
      </c>
      <c r="D224" s="2">
        <v>2020</v>
      </c>
      <c r="E224" s="2">
        <v>0</v>
      </c>
      <c r="F224" s="2">
        <v>170.24</v>
      </c>
      <c r="H224" s="1">
        <f>_xlfn.XLOOKUP('Customer Info'!A958,'Customer Info'!A958:A1057,'Customer Info'!E958:E1057,0,0)</f>
        <v>0</v>
      </c>
      <c r="J224" s="1">
        <f>_xlfn.XLOOKUP('Customer Info'!A958,'Customer Info'!A958:A1057,'Customer Info'!M958:M1057)</f>
        <v>0</v>
      </c>
    </row>
    <row r="225" spans="1:10" ht="14" x14ac:dyDescent="0.2">
      <c r="A225" s="2" t="s">
        <v>10</v>
      </c>
      <c r="B225" s="2">
        <v>18</v>
      </c>
      <c r="C225" s="2">
        <v>2</v>
      </c>
      <c r="D225" s="2">
        <v>2021</v>
      </c>
      <c r="E225" s="2">
        <v>0</v>
      </c>
      <c r="F225" s="2">
        <v>170.24</v>
      </c>
      <c r="H225" s="1">
        <f>_xlfn.XLOOKUP('Customer Info'!A2165,'Customer Info'!A2165:A2264,'Customer Info'!E2165:E2264,0,0)</f>
        <v>0</v>
      </c>
      <c r="J225" s="1">
        <f>_xlfn.XLOOKUP('Customer Info'!A2165,'Customer Info'!A2165:A2264,'Customer Info'!M2165:M2264)</f>
        <v>0</v>
      </c>
    </row>
    <row r="226" spans="1:10" ht="14" hidden="1" x14ac:dyDescent="0.2">
      <c r="A226" s="2" t="s">
        <v>10</v>
      </c>
      <c r="B226" s="2">
        <v>18</v>
      </c>
      <c r="C226" s="2">
        <v>1</v>
      </c>
      <c r="D226" s="2">
        <v>2020</v>
      </c>
      <c r="E226" s="2">
        <v>0</v>
      </c>
      <c r="F226" s="2">
        <v>170.19</v>
      </c>
      <c r="H226" s="1">
        <f>_xlfn.XLOOKUP('Customer Info'!A959,'Customer Info'!A959:A1058,'Customer Info'!E959:E1058,0,0)</f>
        <v>0</v>
      </c>
      <c r="J226" s="1">
        <f>_xlfn.XLOOKUP('Customer Info'!A959,'Customer Info'!A959:A1058,'Customer Info'!M959:M1058)</f>
        <v>0</v>
      </c>
    </row>
    <row r="227" spans="1:10" ht="14" hidden="1" x14ac:dyDescent="0.2">
      <c r="A227" s="2" t="s">
        <v>23</v>
      </c>
      <c r="B227" s="2">
        <v>5</v>
      </c>
      <c r="C227" s="2">
        <v>3</v>
      </c>
      <c r="D227" s="2">
        <v>2020</v>
      </c>
      <c r="E227" s="2">
        <v>0</v>
      </c>
      <c r="F227" s="2">
        <v>170.19</v>
      </c>
      <c r="H227" s="1">
        <f>_xlfn.XLOOKUP('Customer Info'!A960,'Customer Info'!A960:A1059,'Customer Info'!E960:E1059,0,0)</f>
        <v>0</v>
      </c>
      <c r="J227" s="1">
        <f>_xlfn.XLOOKUP('Customer Info'!A960,'Customer Info'!A960:A1059,'Customer Info'!M960:M1059)</f>
        <v>0</v>
      </c>
    </row>
    <row r="228" spans="1:10" ht="14" hidden="1" x14ac:dyDescent="0.2">
      <c r="A228" s="2" t="s">
        <v>16</v>
      </c>
      <c r="B228" s="2">
        <v>14</v>
      </c>
      <c r="C228" s="2">
        <v>11</v>
      </c>
      <c r="D228" s="2">
        <v>2020</v>
      </c>
      <c r="E228" s="1" t="s">
        <v>94</v>
      </c>
      <c r="F228" s="2">
        <v>170.1</v>
      </c>
      <c r="H228" s="1">
        <f>_xlfn.XLOOKUP('Customer Info'!A24,'Customer Info'!A24:A123,'Customer Info'!E24:E123,0,0)</f>
        <v>3</v>
      </c>
      <c r="I228" s="1" t="str">
        <f>_xlfn.XLOOKUP('Customer Info'!A24,'Customer Info'!A24:A123,'Customer Info'!J24:J123,0)</f>
        <v>Scottish Gas</v>
      </c>
      <c r="J228" s="1" t="b">
        <f>_xlfn.XLOOKUP('Customer Info'!A24,'Customer Info'!A24:A123,'Customer Info'!M24:M123)</f>
        <v>0</v>
      </c>
    </row>
    <row r="229" spans="1:10" ht="14" hidden="1" x14ac:dyDescent="0.2">
      <c r="A229" s="2" t="s">
        <v>6</v>
      </c>
      <c r="B229" s="2">
        <v>7</v>
      </c>
      <c r="C229" s="2">
        <v>12</v>
      </c>
      <c r="D229" s="2">
        <v>2020</v>
      </c>
      <c r="E229" s="1" t="s">
        <v>94</v>
      </c>
      <c r="F229" s="2">
        <v>169.88</v>
      </c>
      <c r="H229" s="1">
        <f>_xlfn.XLOOKUP('Customer Info'!A25,'Customer Info'!A25:A124,'Customer Info'!E25:E124,0,0)</f>
        <v>3</v>
      </c>
      <c r="I229" s="1" t="str">
        <f>_xlfn.XLOOKUP('Customer Info'!A25,'Customer Info'!A25:A124,'Customer Info'!J25:J124,0)</f>
        <v>Mpower</v>
      </c>
      <c r="J229" s="1" t="b">
        <f>_xlfn.XLOOKUP('Customer Info'!A25,'Customer Info'!A25:A124,'Customer Info'!M25:M124)</f>
        <v>0</v>
      </c>
    </row>
    <row r="230" spans="1:10" ht="14" hidden="1" x14ac:dyDescent="0.2">
      <c r="A230" s="2" t="s">
        <v>21</v>
      </c>
      <c r="B230" s="2">
        <v>15</v>
      </c>
      <c r="C230" s="2">
        <v>1</v>
      </c>
      <c r="D230" s="2">
        <v>2020</v>
      </c>
      <c r="E230" s="1" t="s">
        <v>94</v>
      </c>
      <c r="F230" s="2">
        <v>169.57</v>
      </c>
      <c r="H230" s="1">
        <f>_xlfn.XLOOKUP('Customer Info'!A26,'Customer Info'!A26:A125,'Customer Info'!E26:E125,0,0)</f>
        <v>4</v>
      </c>
      <c r="I230" s="1" t="str">
        <f>_xlfn.XLOOKUP('Customer Info'!A26,'Customer Info'!A26:A125,'Customer Info'!J26:J125,0)</f>
        <v>SSW</v>
      </c>
      <c r="J230" s="1" t="b">
        <f>_xlfn.XLOOKUP('Customer Info'!A26,'Customer Info'!A26:A125,'Customer Info'!M26:M125)</f>
        <v>0</v>
      </c>
    </row>
    <row r="231" spans="1:10" ht="14" hidden="1" x14ac:dyDescent="0.2">
      <c r="A231" s="2" t="s">
        <v>18</v>
      </c>
      <c r="B231" s="2">
        <v>5</v>
      </c>
      <c r="C231" s="2">
        <v>12</v>
      </c>
      <c r="D231" s="2">
        <v>2020</v>
      </c>
      <c r="E231" s="2">
        <v>0</v>
      </c>
      <c r="F231" s="2">
        <v>169.57</v>
      </c>
      <c r="H231" s="1">
        <f>_xlfn.XLOOKUP('Customer Info'!A961,'Customer Info'!A961:A1060,'Customer Info'!E961:E1060,0,0)</f>
        <v>0</v>
      </c>
      <c r="J231" s="1">
        <f>_xlfn.XLOOKUP('Customer Info'!A961,'Customer Info'!A961:A1060,'Customer Info'!M961:M1060)</f>
        <v>0</v>
      </c>
    </row>
    <row r="232" spans="1:10" ht="14" hidden="1" x14ac:dyDescent="0.2">
      <c r="A232" s="2" t="s">
        <v>97</v>
      </c>
      <c r="B232" s="2">
        <v>12</v>
      </c>
      <c r="C232" s="2">
        <v>12</v>
      </c>
      <c r="D232" s="2">
        <v>2020</v>
      </c>
      <c r="E232" s="1" t="s">
        <v>94</v>
      </c>
      <c r="F232" s="2">
        <v>168.64</v>
      </c>
      <c r="H232" s="1">
        <f>_xlfn.XLOOKUP('Customer Info'!A27,'Customer Info'!A27:A126,'Customer Info'!E27:E126,0,0)</f>
        <v>2</v>
      </c>
      <c r="I232" s="1" t="str">
        <f>_xlfn.XLOOKUP('Customer Info'!A27,'Customer Info'!A27:A126,'Customer Info'!J27:J126,0)</f>
        <v>Scottish Gas</v>
      </c>
      <c r="J232" s="1" t="b">
        <f>_xlfn.XLOOKUP('Customer Info'!A27,'Customer Info'!A27:A126,'Customer Info'!M27:M126)</f>
        <v>0</v>
      </c>
    </row>
    <row r="233" spans="1:10" ht="14" hidden="1" x14ac:dyDescent="0.2">
      <c r="A233" s="2" t="s">
        <v>98</v>
      </c>
      <c r="B233" s="2">
        <v>21</v>
      </c>
      <c r="C233" s="2">
        <v>12</v>
      </c>
      <c r="D233" s="2">
        <v>2020</v>
      </c>
      <c r="E233" s="1" t="s">
        <v>94</v>
      </c>
      <c r="F233" s="2">
        <v>168.64</v>
      </c>
      <c r="H233" s="1">
        <f>_xlfn.XLOOKUP('Customer Info'!A28,'Customer Info'!A28:A127,'Customer Info'!E28:E127,0,0)</f>
        <v>4</v>
      </c>
      <c r="I233" s="1" t="str">
        <f>_xlfn.XLOOKUP('Customer Info'!A28,'Customer Info'!A28:A127,'Customer Info'!J28:J127,0)</f>
        <v>Scottish Gas</v>
      </c>
      <c r="J233" s="1" t="b">
        <f>_xlfn.XLOOKUP('Customer Info'!A28,'Customer Info'!A28:A127,'Customer Info'!M28:M127)</f>
        <v>0</v>
      </c>
    </row>
    <row r="234" spans="1:10" ht="14" x14ac:dyDescent="0.2">
      <c r="A234" s="2" t="s">
        <v>16</v>
      </c>
      <c r="B234" s="2">
        <v>14</v>
      </c>
      <c r="C234" s="2">
        <v>11</v>
      </c>
      <c r="D234" s="2">
        <v>2021</v>
      </c>
      <c r="E234" s="2">
        <v>0</v>
      </c>
      <c r="F234" s="2">
        <v>168.6</v>
      </c>
      <c r="H234" s="1">
        <f>_xlfn.XLOOKUP('Customer Info'!A2166,'Customer Info'!A2166:A2265,'Customer Info'!E2166:E2265,0,0)</f>
        <v>0</v>
      </c>
      <c r="J234" s="1">
        <f>_xlfn.XLOOKUP('Customer Info'!A2166,'Customer Info'!A2166:A2265,'Customer Info'!M2166:M2265)</f>
        <v>0</v>
      </c>
    </row>
    <row r="235" spans="1:10" ht="14" x14ac:dyDescent="0.2">
      <c r="A235" s="2" t="s">
        <v>9</v>
      </c>
      <c r="B235" s="2">
        <v>22</v>
      </c>
      <c r="C235" s="2">
        <v>2</v>
      </c>
      <c r="D235" s="2">
        <v>2021</v>
      </c>
      <c r="E235" s="1" t="s">
        <v>94</v>
      </c>
      <c r="F235" s="2">
        <v>168.56</v>
      </c>
      <c r="H235" s="1">
        <f>_xlfn.XLOOKUP('Customer Info'!A1227,'Customer Info'!A1227:A1326,'Customer Info'!E1227:E1326,0,0)</f>
        <v>0</v>
      </c>
      <c r="J235" s="1">
        <f>_xlfn.XLOOKUP('Customer Info'!A1227,'Customer Info'!A1227:A1326,'Customer Info'!M1227:M1326)</f>
        <v>0</v>
      </c>
    </row>
    <row r="236" spans="1:10" ht="14" hidden="1" x14ac:dyDescent="0.2">
      <c r="A236" s="2" t="s">
        <v>12</v>
      </c>
      <c r="B236" s="2">
        <v>2</v>
      </c>
      <c r="C236" s="2">
        <v>1</v>
      </c>
      <c r="D236" s="2">
        <v>2020</v>
      </c>
      <c r="E236" s="2">
        <v>0</v>
      </c>
      <c r="F236" s="2">
        <v>168.33</v>
      </c>
      <c r="H236" s="1">
        <f>_xlfn.XLOOKUP('Customer Info'!A962,'Customer Info'!A962:A1061,'Customer Info'!E962:E1061,0,0)</f>
        <v>0</v>
      </c>
      <c r="J236" s="1">
        <f>_xlfn.XLOOKUP('Customer Info'!A962,'Customer Info'!A962:A1061,'Customer Info'!M962:M1061)</f>
        <v>0</v>
      </c>
    </row>
    <row r="237" spans="1:10" ht="14" hidden="1" x14ac:dyDescent="0.2">
      <c r="A237" s="2" t="s">
        <v>8</v>
      </c>
      <c r="B237" s="2">
        <v>5</v>
      </c>
      <c r="C237" s="2">
        <v>12</v>
      </c>
      <c r="D237" s="2">
        <v>2020</v>
      </c>
      <c r="E237" s="2">
        <v>0</v>
      </c>
      <c r="F237" s="2">
        <v>168.02</v>
      </c>
      <c r="H237" s="1">
        <f>_xlfn.XLOOKUP('Customer Info'!A963,'Customer Info'!A963:A1062,'Customer Info'!E963:E1062,0,0)</f>
        <v>0</v>
      </c>
      <c r="J237" s="1">
        <f>_xlfn.XLOOKUP('Customer Info'!A963,'Customer Info'!A963:A1062,'Customer Info'!M963:M1062)</f>
        <v>0</v>
      </c>
    </row>
    <row r="238" spans="1:10" ht="14" hidden="1" x14ac:dyDescent="0.2">
      <c r="A238" s="2" t="s">
        <v>3</v>
      </c>
      <c r="B238" s="2">
        <v>25</v>
      </c>
      <c r="C238" s="2">
        <v>12</v>
      </c>
      <c r="D238" s="2">
        <v>2020</v>
      </c>
      <c r="E238" s="2">
        <v>0</v>
      </c>
      <c r="F238" s="2">
        <v>168.02</v>
      </c>
      <c r="H238" s="1">
        <f>_xlfn.XLOOKUP('Customer Info'!A964,'Customer Info'!A964:A1063,'Customer Info'!E964:E1063,0,0)</f>
        <v>0</v>
      </c>
      <c r="J238" s="1">
        <f>_xlfn.XLOOKUP('Customer Info'!A964,'Customer Info'!A964:A1063,'Customer Info'!M964:M1063)</f>
        <v>0</v>
      </c>
    </row>
    <row r="239" spans="1:10" ht="14" x14ac:dyDescent="0.2">
      <c r="A239" s="2" t="s">
        <v>19</v>
      </c>
      <c r="B239" s="2">
        <v>24</v>
      </c>
      <c r="C239" s="2">
        <v>1</v>
      </c>
      <c r="D239" s="2">
        <v>2021</v>
      </c>
      <c r="E239" s="2">
        <v>0</v>
      </c>
      <c r="F239" s="2">
        <v>168.02</v>
      </c>
      <c r="H239" s="1">
        <f>_xlfn.XLOOKUP('Customer Info'!A2167,'Customer Info'!A2167:A2266,'Customer Info'!E2167:E2266,0,0)</f>
        <v>0</v>
      </c>
      <c r="J239" s="1">
        <f>_xlfn.XLOOKUP('Customer Info'!A2167,'Customer Info'!A2167:A2266,'Customer Info'!M2167:M2266)</f>
        <v>0</v>
      </c>
    </row>
    <row r="240" spans="1:10" ht="14" hidden="1" x14ac:dyDescent="0.2">
      <c r="A240" s="2" t="s">
        <v>12</v>
      </c>
      <c r="B240" s="2">
        <v>2</v>
      </c>
      <c r="C240" s="2">
        <v>12</v>
      </c>
      <c r="D240" s="2">
        <v>2020</v>
      </c>
      <c r="E240" s="2">
        <v>0</v>
      </c>
      <c r="F240" s="2">
        <v>167.71</v>
      </c>
      <c r="H240" s="1">
        <f>_xlfn.XLOOKUP('Customer Info'!A965,'Customer Info'!A965:A1064,'Customer Info'!E965:E1064,0,0)</f>
        <v>0</v>
      </c>
      <c r="J240" s="1">
        <f>_xlfn.XLOOKUP('Customer Info'!A965,'Customer Info'!A965:A1064,'Customer Info'!M965:M1064)</f>
        <v>0</v>
      </c>
    </row>
    <row r="241" spans="1:10" ht="14" x14ac:dyDescent="0.2">
      <c r="A241" s="2" t="s">
        <v>10</v>
      </c>
      <c r="B241" s="2">
        <v>18</v>
      </c>
      <c r="C241" s="2">
        <v>1</v>
      </c>
      <c r="D241" s="2">
        <v>2021</v>
      </c>
      <c r="E241" s="2">
        <v>0</v>
      </c>
      <c r="F241" s="2">
        <v>167.4</v>
      </c>
      <c r="H241" s="1">
        <f>_xlfn.XLOOKUP('Customer Info'!A2168,'Customer Info'!A2168:A2267,'Customer Info'!E2168:E2267,0,0)</f>
        <v>0</v>
      </c>
      <c r="J241" s="1">
        <f>_xlfn.XLOOKUP('Customer Info'!A2168,'Customer Info'!A2168:A2267,'Customer Info'!M2168:M2267)</f>
        <v>0</v>
      </c>
    </row>
    <row r="242" spans="1:10" ht="14" hidden="1" x14ac:dyDescent="0.2">
      <c r="A242" s="2" t="s">
        <v>22</v>
      </c>
      <c r="B242" s="2">
        <v>22</v>
      </c>
      <c r="C242" s="2">
        <v>4</v>
      </c>
      <c r="D242" s="2">
        <v>2020</v>
      </c>
      <c r="E242" s="2">
        <v>0</v>
      </c>
      <c r="F242" s="2">
        <v>167.1</v>
      </c>
      <c r="H242" s="1">
        <f>_xlfn.XLOOKUP('Customer Info'!A966,'Customer Info'!A966:A1065,'Customer Info'!E966:E1065,0,0)</f>
        <v>0</v>
      </c>
      <c r="J242" s="1">
        <f>_xlfn.XLOOKUP('Customer Info'!A966,'Customer Info'!A966:A1065,'Customer Info'!M966:M1065)</f>
        <v>0</v>
      </c>
    </row>
    <row r="243" spans="1:10" ht="14" x14ac:dyDescent="0.2">
      <c r="A243" s="2" t="s">
        <v>4</v>
      </c>
      <c r="B243" s="2">
        <v>1</v>
      </c>
      <c r="C243" s="2">
        <v>12</v>
      </c>
      <c r="D243" s="2">
        <v>2021</v>
      </c>
      <c r="E243" s="1" t="s">
        <v>94</v>
      </c>
      <c r="F243" s="2">
        <v>167.09</v>
      </c>
      <c r="H243" s="1">
        <f>_xlfn.XLOOKUP('Customer Info'!A1228,'Customer Info'!A1228:A1327,'Customer Info'!E1228:E1327,0,0)</f>
        <v>0</v>
      </c>
      <c r="J243" s="1">
        <f>_xlfn.XLOOKUP('Customer Info'!A1228,'Customer Info'!A1228:A1327,'Customer Info'!M1228:M1327)</f>
        <v>0</v>
      </c>
    </row>
    <row r="244" spans="1:10" ht="14" hidden="1" x14ac:dyDescent="0.2">
      <c r="A244" s="2" t="s">
        <v>30</v>
      </c>
      <c r="B244" s="2">
        <v>2</v>
      </c>
      <c r="C244" s="2">
        <v>3</v>
      </c>
      <c r="D244" s="2">
        <v>2020</v>
      </c>
      <c r="E244" s="2">
        <v>0</v>
      </c>
      <c r="F244" s="2">
        <v>167.09</v>
      </c>
      <c r="H244" s="1">
        <f>_xlfn.XLOOKUP('Customer Info'!A967,'Customer Info'!A967:A1066,'Customer Info'!E967:E1066,0,0)</f>
        <v>0</v>
      </c>
      <c r="J244" s="1">
        <f>_xlfn.XLOOKUP('Customer Info'!A967,'Customer Info'!A967:A1066,'Customer Info'!M967:M1066)</f>
        <v>0</v>
      </c>
    </row>
    <row r="245" spans="1:10" ht="14" x14ac:dyDescent="0.2">
      <c r="A245" s="2" t="s">
        <v>25</v>
      </c>
      <c r="B245" s="2">
        <v>8</v>
      </c>
      <c r="C245" s="2">
        <v>10</v>
      </c>
      <c r="D245" s="2">
        <v>2021</v>
      </c>
      <c r="E245" s="2">
        <v>0</v>
      </c>
      <c r="F245" s="2">
        <v>167.09</v>
      </c>
      <c r="H245" s="1">
        <f>_xlfn.XLOOKUP('Customer Info'!A2169,'Customer Info'!A2169:A2268,'Customer Info'!E2169:E2268,0,0)</f>
        <v>0</v>
      </c>
      <c r="J245" s="1">
        <f>_xlfn.XLOOKUP('Customer Info'!A2169,'Customer Info'!A2169:A2268,'Customer Info'!M2169:M2268)</f>
        <v>0</v>
      </c>
    </row>
    <row r="246" spans="1:10" ht="14" x14ac:dyDescent="0.2">
      <c r="A246" s="2" t="s">
        <v>14</v>
      </c>
      <c r="B246" s="2">
        <v>10</v>
      </c>
      <c r="C246" s="2">
        <v>1</v>
      </c>
      <c r="D246" s="2">
        <v>2021</v>
      </c>
      <c r="E246" s="2">
        <v>0</v>
      </c>
      <c r="F246" s="2">
        <v>166.78</v>
      </c>
      <c r="H246" s="1">
        <f>_xlfn.XLOOKUP('Customer Info'!A2170,'Customer Info'!A2170:A2269,'Customer Info'!E2170:E2269,0,0)</f>
        <v>0</v>
      </c>
      <c r="J246" s="1">
        <f>_xlfn.XLOOKUP('Customer Info'!A2170,'Customer Info'!A2170:A2269,'Customer Info'!M2170:M2269)</f>
        <v>0</v>
      </c>
    </row>
    <row r="247" spans="1:10" ht="14" x14ac:dyDescent="0.2">
      <c r="A247" s="2" t="s">
        <v>32</v>
      </c>
      <c r="B247" s="2">
        <v>17</v>
      </c>
      <c r="C247" s="2">
        <v>6</v>
      </c>
      <c r="D247" s="2">
        <v>2021</v>
      </c>
      <c r="E247" s="2">
        <v>0</v>
      </c>
      <c r="F247" s="2">
        <v>166.5</v>
      </c>
      <c r="H247" s="1">
        <f>_xlfn.XLOOKUP('Customer Info'!A2171,'Customer Info'!A2171:A2270,'Customer Info'!E2171:E2270,0,0)</f>
        <v>0</v>
      </c>
      <c r="J247" s="1">
        <f>_xlfn.XLOOKUP('Customer Info'!A2171,'Customer Info'!A2171:A2270,'Customer Info'!M2171:M2270)</f>
        <v>0</v>
      </c>
    </row>
    <row r="248" spans="1:10" ht="14" hidden="1" x14ac:dyDescent="0.2">
      <c r="A248" s="2" t="s">
        <v>28</v>
      </c>
      <c r="B248" s="2">
        <v>5</v>
      </c>
      <c r="C248" s="2">
        <v>3</v>
      </c>
      <c r="D248" s="2">
        <v>2020</v>
      </c>
      <c r="E248" s="1" t="s">
        <v>94</v>
      </c>
      <c r="F248" s="2">
        <v>166.47</v>
      </c>
      <c r="H248" s="1">
        <f>_xlfn.XLOOKUP('Customer Info'!A29,'Customer Info'!A29:A128,'Customer Info'!E29:E128,0,0)</f>
        <v>5</v>
      </c>
      <c r="I248" s="1" t="str">
        <f>_xlfn.XLOOKUP('Customer Info'!A29,'Customer Info'!A29:A128,'Customer Info'!J29:J128,0)</f>
        <v>Scottish Gas</v>
      </c>
      <c r="J248" s="1" t="b">
        <f>_xlfn.XLOOKUP('Customer Info'!A29,'Customer Info'!A29:A128,'Customer Info'!M29:M128)</f>
        <v>0</v>
      </c>
    </row>
    <row r="249" spans="1:10" ht="14" x14ac:dyDescent="0.2">
      <c r="A249" s="2" t="s">
        <v>16</v>
      </c>
      <c r="B249" s="2">
        <v>14</v>
      </c>
      <c r="C249" s="2">
        <v>10</v>
      </c>
      <c r="D249" s="2">
        <v>2021</v>
      </c>
      <c r="E249" s="2">
        <v>0</v>
      </c>
      <c r="F249" s="2">
        <v>166.47</v>
      </c>
      <c r="H249" s="1">
        <f>_xlfn.XLOOKUP('Customer Info'!A2172,'Customer Info'!A2172:A2271,'Customer Info'!E2172:E2271,0,0)</f>
        <v>0</v>
      </c>
      <c r="J249" s="1">
        <f>_xlfn.XLOOKUP('Customer Info'!A2172,'Customer Info'!A2172:A2271,'Customer Info'!M2172:M2271)</f>
        <v>0</v>
      </c>
    </row>
    <row r="250" spans="1:10" ht="14" hidden="1" x14ac:dyDescent="0.2">
      <c r="A250" s="2" t="s">
        <v>11</v>
      </c>
      <c r="B250" s="2">
        <v>15</v>
      </c>
      <c r="C250" s="2">
        <v>2</v>
      </c>
      <c r="D250" s="2">
        <v>2020</v>
      </c>
      <c r="E250" s="2">
        <v>0</v>
      </c>
      <c r="F250" s="2">
        <v>166.32</v>
      </c>
      <c r="H250" s="1">
        <f>_xlfn.XLOOKUP('Customer Info'!A968,'Customer Info'!A968:A1067,'Customer Info'!E968:E1067,0,0)</f>
        <v>0</v>
      </c>
      <c r="J250" s="1">
        <f>_xlfn.XLOOKUP('Customer Info'!A968,'Customer Info'!A968:A1067,'Customer Info'!M968:M1067)</f>
        <v>0</v>
      </c>
    </row>
    <row r="251" spans="1:10" ht="14" x14ac:dyDescent="0.2">
      <c r="A251" s="2" t="s">
        <v>14</v>
      </c>
      <c r="B251" s="2">
        <v>10</v>
      </c>
      <c r="C251" s="2">
        <v>2</v>
      </c>
      <c r="D251" s="2">
        <v>2021</v>
      </c>
      <c r="E251" s="2">
        <v>0</v>
      </c>
      <c r="F251" s="2">
        <v>166.32</v>
      </c>
      <c r="H251" s="1">
        <f>_xlfn.XLOOKUP('Customer Info'!A2173,'Customer Info'!A2173:A2272,'Customer Info'!E2173:E2272,0,0)</f>
        <v>0</v>
      </c>
      <c r="J251" s="1">
        <f>_xlfn.XLOOKUP('Customer Info'!A2173,'Customer Info'!A2173:A2272,'Customer Info'!M2173:M2272)</f>
        <v>0</v>
      </c>
    </row>
    <row r="252" spans="1:10" ht="14" hidden="1" x14ac:dyDescent="0.2">
      <c r="A252" s="2" t="s">
        <v>23</v>
      </c>
      <c r="B252" s="2">
        <v>5</v>
      </c>
      <c r="C252" s="2">
        <v>4</v>
      </c>
      <c r="D252" s="2">
        <v>2020</v>
      </c>
      <c r="E252" s="2">
        <v>0</v>
      </c>
      <c r="F252" s="2">
        <v>166.2</v>
      </c>
      <c r="H252" s="1">
        <f>_xlfn.XLOOKUP('Customer Info'!A969,'Customer Info'!A969:A1068,'Customer Info'!E969:E1068,0,0)</f>
        <v>0</v>
      </c>
      <c r="J252" s="1">
        <f>_xlfn.XLOOKUP('Customer Info'!A969,'Customer Info'!A969:A1068,'Customer Info'!M969:M1068)</f>
        <v>0</v>
      </c>
    </row>
    <row r="253" spans="1:10" ht="14" hidden="1" x14ac:dyDescent="0.2">
      <c r="A253" s="2" t="s">
        <v>20</v>
      </c>
      <c r="B253" s="2">
        <v>12</v>
      </c>
      <c r="C253" s="2">
        <v>12</v>
      </c>
      <c r="D253" s="2">
        <v>2020</v>
      </c>
      <c r="E253" s="1" t="s">
        <v>94</v>
      </c>
      <c r="F253" s="2">
        <v>166.16</v>
      </c>
      <c r="H253" s="1">
        <f>_xlfn.XLOOKUP('Customer Info'!A30,'Customer Info'!A30:A129,'Customer Info'!E30:E129,0,0)</f>
        <v>3</v>
      </c>
      <c r="I253" s="1" t="str">
        <f>_xlfn.XLOOKUP('Customer Info'!A30,'Customer Info'!A30:A129,'Customer Info'!J30:J129,0)</f>
        <v>Mpower</v>
      </c>
      <c r="J253" s="1" t="b">
        <f>_xlfn.XLOOKUP('Customer Info'!A30,'Customer Info'!A30:A129,'Customer Info'!M30:M129)</f>
        <v>0</v>
      </c>
    </row>
    <row r="254" spans="1:10" ht="14" hidden="1" x14ac:dyDescent="0.2">
      <c r="A254" s="2" t="s">
        <v>7</v>
      </c>
      <c r="B254" s="2">
        <v>20</v>
      </c>
      <c r="C254" s="2">
        <v>2</v>
      </c>
      <c r="D254" s="2">
        <v>2020</v>
      </c>
      <c r="E254" s="2">
        <v>0</v>
      </c>
      <c r="F254" s="2">
        <v>166.04</v>
      </c>
      <c r="H254" s="1">
        <f>_xlfn.XLOOKUP('Customer Info'!A970,'Customer Info'!A970:A1069,'Customer Info'!E970:E1069,0,0)</f>
        <v>0</v>
      </c>
      <c r="J254" s="1">
        <f>_xlfn.XLOOKUP('Customer Info'!A970,'Customer Info'!A970:A1069,'Customer Info'!M970:M1069)</f>
        <v>0</v>
      </c>
    </row>
    <row r="255" spans="1:10" ht="14" x14ac:dyDescent="0.2">
      <c r="A255" s="2" t="s">
        <v>31</v>
      </c>
      <c r="B255" s="2">
        <v>14</v>
      </c>
      <c r="C255" s="2">
        <v>9</v>
      </c>
      <c r="D255" s="2">
        <v>2021</v>
      </c>
      <c r="E255" s="2">
        <v>0</v>
      </c>
      <c r="F255" s="2">
        <v>165.9</v>
      </c>
      <c r="H255" s="1">
        <f>_xlfn.XLOOKUP('Customer Info'!A2174,'Customer Info'!A2174:A2273,'Customer Info'!E2174:E2273,0,0)</f>
        <v>0</v>
      </c>
      <c r="J255" s="1">
        <f>_xlfn.XLOOKUP('Customer Info'!A2174,'Customer Info'!A2174:A2273,'Customer Info'!M2174:M2273)</f>
        <v>0</v>
      </c>
    </row>
    <row r="256" spans="1:10" ht="14" hidden="1" x14ac:dyDescent="0.2">
      <c r="A256" s="2" t="s">
        <v>27</v>
      </c>
      <c r="B256" s="2">
        <v>1</v>
      </c>
      <c r="C256" s="2">
        <v>3</v>
      </c>
      <c r="D256" s="2">
        <v>2020</v>
      </c>
      <c r="E256" s="2">
        <v>0</v>
      </c>
      <c r="F256" s="2">
        <v>165.85</v>
      </c>
      <c r="H256" s="1">
        <f>_xlfn.XLOOKUP('Customer Info'!A971,'Customer Info'!A971:A1070,'Customer Info'!E971:E1070,0,0)</f>
        <v>0</v>
      </c>
      <c r="J256" s="1">
        <f>_xlfn.XLOOKUP('Customer Info'!A971,'Customer Info'!A971:A1070,'Customer Info'!M971:M1070)</f>
        <v>0</v>
      </c>
    </row>
    <row r="257" spans="1:10" ht="14" x14ac:dyDescent="0.2">
      <c r="A257" s="2" t="s">
        <v>20</v>
      </c>
      <c r="B257" s="2">
        <v>12</v>
      </c>
      <c r="C257" s="2">
        <v>3</v>
      </c>
      <c r="D257" s="2">
        <v>2021</v>
      </c>
      <c r="E257" s="2">
        <v>0</v>
      </c>
      <c r="F257" s="2">
        <v>165.85</v>
      </c>
      <c r="H257" s="1">
        <f>_xlfn.XLOOKUP('Customer Info'!A2175,'Customer Info'!A2175:A2274,'Customer Info'!E2175:E2274,0,0)</f>
        <v>0</v>
      </c>
      <c r="J257" s="1">
        <f>_xlfn.XLOOKUP('Customer Info'!A2175,'Customer Info'!A2175:A2274,'Customer Info'!M2175:M2274)</f>
        <v>0</v>
      </c>
    </row>
    <row r="258" spans="1:10" ht="14" x14ac:dyDescent="0.2">
      <c r="A258" s="2" t="s">
        <v>26</v>
      </c>
      <c r="B258" s="2">
        <v>22</v>
      </c>
      <c r="C258" s="2">
        <v>3</v>
      </c>
      <c r="D258" s="2">
        <v>2021</v>
      </c>
      <c r="E258" s="1" t="s">
        <v>94</v>
      </c>
      <c r="F258" s="2">
        <v>165.54</v>
      </c>
      <c r="H258" s="1">
        <f>_xlfn.XLOOKUP('Customer Info'!A1229,'Customer Info'!A1229:A1328,'Customer Info'!E1229:E1328,0,0)</f>
        <v>0</v>
      </c>
      <c r="J258" s="1">
        <f>_xlfn.XLOOKUP('Customer Info'!A1229,'Customer Info'!A1229:A1328,'Customer Info'!M1229:M1328)</f>
        <v>0</v>
      </c>
    </row>
    <row r="259" spans="1:10" ht="14" x14ac:dyDescent="0.2">
      <c r="A259" s="2" t="s">
        <v>28</v>
      </c>
      <c r="B259" s="2">
        <v>5</v>
      </c>
      <c r="C259" s="2">
        <v>10</v>
      </c>
      <c r="D259" s="2">
        <v>2021</v>
      </c>
      <c r="E259" s="2">
        <v>0</v>
      </c>
      <c r="F259" s="2">
        <v>165.54</v>
      </c>
      <c r="H259" s="1">
        <f>_xlfn.XLOOKUP('Customer Info'!A2176,'Customer Info'!A2176:A2275,'Customer Info'!E2176:E2275,0,0)</f>
        <v>0</v>
      </c>
      <c r="J259" s="1">
        <f>_xlfn.XLOOKUP('Customer Info'!A2176,'Customer Info'!A2176:A2275,'Customer Info'!M2176:M2275)</f>
        <v>0</v>
      </c>
    </row>
    <row r="260" spans="1:10" ht="14" x14ac:dyDescent="0.2">
      <c r="A260" s="2" t="s">
        <v>22</v>
      </c>
      <c r="B260" s="2">
        <v>22</v>
      </c>
      <c r="C260" s="2">
        <v>10</v>
      </c>
      <c r="D260" s="2">
        <v>2021</v>
      </c>
      <c r="E260" s="2">
        <v>0</v>
      </c>
      <c r="F260" s="2">
        <v>165.54</v>
      </c>
      <c r="H260" s="1">
        <f>_xlfn.XLOOKUP('Customer Info'!A2177,'Customer Info'!A2177:A2276,'Customer Info'!E2177:E2276,0,0)</f>
        <v>0</v>
      </c>
      <c r="J260" s="1">
        <f>_xlfn.XLOOKUP('Customer Info'!A2177,'Customer Info'!A2177:A2276,'Customer Info'!M2177:M2276)</f>
        <v>0</v>
      </c>
    </row>
    <row r="261" spans="1:10" ht="14" x14ac:dyDescent="0.2">
      <c r="A261" s="2" t="s">
        <v>23</v>
      </c>
      <c r="B261" s="2">
        <v>5</v>
      </c>
      <c r="C261" s="2">
        <v>4</v>
      </c>
      <c r="D261" s="2">
        <v>2021</v>
      </c>
      <c r="E261" s="2">
        <v>0</v>
      </c>
      <c r="F261" s="2">
        <v>165.3</v>
      </c>
      <c r="H261" s="1">
        <f>_xlfn.XLOOKUP('Customer Info'!A2178,'Customer Info'!A2178:A2277,'Customer Info'!E2178:E2277,0,0)</f>
        <v>0</v>
      </c>
      <c r="J261" s="1">
        <f>_xlfn.XLOOKUP('Customer Info'!A2178,'Customer Info'!A2178:A2277,'Customer Info'!M2178:M2277)</f>
        <v>0</v>
      </c>
    </row>
    <row r="262" spans="1:10" ht="14" x14ac:dyDescent="0.2">
      <c r="A262" s="2" t="s">
        <v>99</v>
      </c>
      <c r="B262" s="2">
        <v>10</v>
      </c>
      <c r="C262" s="2">
        <v>12</v>
      </c>
      <c r="D262" s="2">
        <v>2021</v>
      </c>
      <c r="E262" s="1" t="s">
        <v>94</v>
      </c>
      <c r="F262" s="2">
        <v>165.23</v>
      </c>
      <c r="H262" s="1">
        <f>_xlfn.XLOOKUP('Customer Info'!A1230,'Customer Info'!A1230:A1329,'Customer Info'!E1230:E1329,0,0)</f>
        <v>0</v>
      </c>
      <c r="J262" s="1">
        <f>_xlfn.XLOOKUP('Customer Info'!A1230,'Customer Info'!A1230:A1329,'Customer Info'!M1230:M1329)</f>
        <v>0</v>
      </c>
    </row>
    <row r="263" spans="1:10" ht="14" x14ac:dyDescent="0.2">
      <c r="A263" s="2" t="s">
        <v>17</v>
      </c>
      <c r="B263" s="2">
        <v>8</v>
      </c>
      <c r="C263" s="2">
        <v>12</v>
      </c>
      <c r="D263" s="2">
        <v>2021</v>
      </c>
      <c r="E263" s="2">
        <v>0</v>
      </c>
      <c r="F263" s="2">
        <v>165.23</v>
      </c>
      <c r="H263" s="1">
        <f>_xlfn.XLOOKUP('Customer Info'!A2179,'Customer Info'!A2179:A2278,'Customer Info'!E2179:E2278,0,0)</f>
        <v>0</v>
      </c>
      <c r="J263" s="1">
        <f>_xlfn.XLOOKUP('Customer Info'!A2179,'Customer Info'!A2179:A2278,'Customer Info'!M2179:M2278)</f>
        <v>0</v>
      </c>
    </row>
    <row r="264" spans="1:10" ht="14" x14ac:dyDescent="0.2">
      <c r="A264" s="2" t="s">
        <v>13</v>
      </c>
      <c r="B264" s="2">
        <v>7</v>
      </c>
      <c r="C264" s="2">
        <v>2</v>
      </c>
      <c r="D264" s="2">
        <v>2021</v>
      </c>
      <c r="E264" s="2">
        <v>0</v>
      </c>
      <c r="F264" s="2">
        <v>165.2</v>
      </c>
      <c r="H264" s="1">
        <f>_xlfn.XLOOKUP('Customer Info'!A2180,'Customer Info'!A2180:A2279,'Customer Info'!E2180:E2279,0,0)</f>
        <v>0</v>
      </c>
      <c r="J264" s="1">
        <f>_xlfn.XLOOKUP('Customer Info'!A2180,'Customer Info'!A2180:A2279,'Customer Info'!M2180:M2279)</f>
        <v>0</v>
      </c>
    </row>
    <row r="265" spans="1:10" ht="14" x14ac:dyDescent="0.2">
      <c r="A265" s="2" t="s">
        <v>28</v>
      </c>
      <c r="B265" s="2">
        <v>5</v>
      </c>
      <c r="C265" s="2">
        <v>7</v>
      </c>
      <c r="D265" s="2">
        <v>2021</v>
      </c>
      <c r="E265" s="2">
        <v>0</v>
      </c>
      <c r="F265" s="2">
        <v>164.92</v>
      </c>
      <c r="H265" s="1">
        <f>_xlfn.XLOOKUP('Customer Info'!A2181,'Customer Info'!A2181:A2280,'Customer Info'!E2181:E2280,0,0)</f>
        <v>0</v>
      </c>
      <c r="J265" s="1">
        <f>_xlfn.XLOOKUP('Customer Info'!A2181,'Customer Info'!A2181:A2280,'Customer Info'!M2181:M2280)</f>
        <v>0</v>
      </c>
    </row>
    <row r="266" spans="1:10" ht="14" x14ac:dyDescent="0.2">
      <c r="A266" s="2" t="s">
        <v>11</v>
      </c>
      <c r="B266" s="2">
        <v>15</v>
      </c>
      <c r="C266" s="2">
        <v>2</v>
      </c>
      <c r="D266" s="2">
        <v>2021</v>
      </c>
      <c r="E266" s="2">
        <v>0</v>
      </c>
      <c r="F266" s="2">
        <v>164.64</v>
      </c>
      <c r="H266" s="1">
        <f>_xlfn.XLOOKUP('Customer Info'!A2182,'Customer Info'!A2182:A2281,'Customer Info'!E2182:E2281,0,0)</f>
        <v>0</v>
      </c>
      <c r="J266" s="1">
        <f>_xlfn.XLOOKUP('Customer Info'!A2182,'Customer Info'!A2182:A2281,'Customer Info'!M2182:M2281)</f>
        <v>0</v>
      </c>
    </row>
    <row r="267" spans="1:10" ht="14" hidden="1" x14ac:dyDescent="0.2">
      <c r="A267" s="2" t="s">
        <v>11</v>
      </c>
      <c r="B267" s="2">
        <v>15</v>
      </c>
      <c r="C267" s="2">
        <v>3</v>
      </c>
      <c r="D267" s="2">
        <v>2020</v>
      </c>
      <c r="E267" s="2">
        <v>0</v>
      </c>
      <c r="F267" s="2">
        <v>164.61</v>
      </c>
      <c r="H267" s="1">
        <f>_xlfn.XLOOKUP('Customer Info'!A972,'Customer Info'!A972:A1071,'Customer Info'!E972:E1071,0,0)</f>
        <v>0</v>
      </c>
      <c r="J267" s="1">
        <f>_xlfn.XLOOKUP('Customer Info'!A972,'Customer Info'!A972:A1071,'Customer Info'!M972:M1071)</f>
        <v>0</v>
      </c>
    </row>
    <row r="268" spans="1:10" ht="14" hidden="1" x14ac:dyDescent="0.2">
      <c r="A268" s="2" t="s">
        <v>29</v>
      </c>
      <c r="B268" s="2">
        <v>20</v>
      </c>
      <c r="C268" s="2">
        <v>10</v>
      </c>
      <c r="D268" s="2">
        <v>2020</v>
      </c>
      <c r="E268" s="2">
        <v>0</v>
      </c>
      <c r="F268" s="2">
        <v>164.61</v>
      </c>
      <c r="H268" s="1">
        <f>_xlfn.XLOOKUP('Customer Info'!A973,'Customer Info'!A973:A1072,'Customer Info'!E973:E1072,0,0)</f>
        <v>0</v>
      </c>
      <c r="J268" s="1">
        <f>_xlfn.XLOOKUP('Customer Info'!A973,'Customer Info'!A973:A1072,'Customer Info'!M973:M1072)</f>
        <v>0</v>
      </c>
    </row>
    <row r="269" spans="1:10" ht="14" x14ac:dyDescent="0.2">
      <c r="A269" s="2" t="s">
        <v>15</v>
      </c>
      <c r="B269" s="2">
        <v>5</v>
      </c>
      <c r="C269" s="2">
        <v>3</v>
      </c>
      <c r="D269" s="2">
        <v>2021</v>
      </c>
      <c r="E269" s="2">
        <v>0</v>
      </c>
      <c r="F269" s="2">
        <v>164.61</v>
      </c>
      <c r="H269" s="1">
        <f>_xlfn.XLOOKUP('Customer Info'!A2183,'Customer Info'!A2183:A2282,'Customer Info'!E2183:E2282,0,0)</f>
        <v>0</v>
      </c>
      <c r="J269" s="1">
        <f>_xlfn.XLOOKUP('Customer Info'!A2183,'Customer Info'!A2183:A2282,'Customer Info'!M2183:M2282)</f>
        <v>0</v>
      </c>
    </row>
    <row r="270" spans="1:10" ht="14" x14ac:dyDescent="0.2">
      <c r="A270" s="2" t="s">
        <v>32</v>
      </c>
      <c r="B270" s="2">
        <v>17</v>
      </c>
      <c r="C270" s="2">
        <v>5</v>
      </c>
      <c r="D270" s="2">
        <v>2021</v>
      </c>
      <c r="E270" s="2">
        <v>0</v>
      </c>
      <c r="F270" s="2">
        <v>164.61</v>
      </c>
      <c r="H270" s="1">
        <f>_xlfn.XLOOKUP('Customer Info'!A2184,'Customer Info'!A2184:A2283,'Customer Info'!E2184:E2283,0,0)</f>
        <v>0</v>
      </c>
      <c r="J270" s="1">
        <f>_xlfn.XLOOKUP('Customer Info'!A2184,'Customer Info'!A2184:A2283,'Customer Info'!M2184:M2283)</f>
        <v>0</v>
      </c>
    </row>
    <row r="271" spans="1:10" ht="14" hidden="1" x14ac:dyDescent="0.2">
      <c r="A271" s="2" t="s">
        <v>100</v>
      </c>
      <c r="B271" s="2">
        <v>1</v>
      </c>
      <c r="C271" s="2">
        <v>11</v>
      </c>
      <c r="D271" s="2">
        <v>2020</v>
      </c>
      <c r="E271" s="1" t="s">
        <v>94</v>
      </c>
      <c r="F271" s="2">
        <v>164.4</v>
      </c>
      <c r="H271" s="1">
        <f>_xlfn.XLOOKUP('Customer Info'!A31,'Customer Info'!A31:A130,'Customer Info'!E31:E130,0,0)</f>
        <v>2</v>
      </c>
      <c r="I271" s="1" t="str">
        <f>_xlfn.XLOOKUP('Customer Info'!A31,'Customer Info'!A31:A130,'Customer Info'!J31:J130,0)</f>
        <v>Scottish Gas</v>
      </c>
      <c r="J271" s="1" t="b">
        <f>_xlfn.XLOOKUP('Customer Info'!A31,'Customer Info'!A31:A130,'Customer Info'!M31:M130)</f>
        <v>0</v>
      </c>
    </row>
    <row r="272" spans="1:10" ht="14" hidden="1" x14ac:dyDescent="0.2">
      <c r="A272" s="2" t="s">
        <v>15</v>
      </c>
      <c r="B272" s="2">
        <v>5</v>
      </c>
      <c r="C272" s="2">
        <v>4</v>
      </c>
      <c r="D272" s="2">
        <v>2020</v>
      </c>
      <c r="E272" s="2">
        <v>0</v>
      </c>
      <c r="F272" s="2">
        <v>164.1</v>
      </c>
      <c r="H272" s="1">
        <f>_xlfn.XLOOKUP('Customer Info'!A974,'Customer Info'!A974:A1073,'Customer Info'!E974:E1073,0,0)</f>
        <v>0</v>
      </c>
      <c r="J272" s="1">
        <f>_xlfn.XLOOKUP('Customer Info'!A974,'Customer Info'!A974:A1073,'Customer Info'!M974:M1073)</f>
        <v>0</v>
      </c>
    </row>
    <row r="273" spans="1:10" ht="14" x14ac:dyDescent="0.2">
      <c r="A273" s="2" t="s">
        <v>32</v>
      </c>
      <c r="B273" s="2">
        <v>17</v>
      </c>
      <c r="C273" s="2">
        <v>7</v>
      </c>
      <c r="D273" s="2">
        <v>2021</v>
      </c>
      <c r="E273" s="2">
        <v>0</v>
      </c>
      <c r="F273" s="2">
        <v>163.99</v>
      </c>
      <c r="H273" s="1">
        <f>_xlfn.XLOOKUP('Customer Info'!A2185,'Customer Info'!A2185:A2284,'Customer Info'!E2185:E2284,0,0)</f>
        <v>0</v>
      </c>
      <c r="J273" s="1">
        <f>_xlfn.XLOOKUP('Customer Info'!A2185,'Customer Info'!A2185:A2284,'Customer Info'!M2185:M2284)</f>
        <v>0</v>
      </c>
    </row>
    <row r="274" spans="1:10" ht="14" x14ac:dyDescent="0.2">
      <c r="A274" s="2" t="s">
        <v>19</v>
      </c>
      <c r="B274" s="2">
        <v>24</v>
      </c>
      <c r="C274" s="2">
        <v>2</v>
      </c>
      <c r="D274" s="2">
        <v>2021</v>
      </c>
      <c r="E274" s="2">
        <v>0</v>
      </c>
      <c r="F274" s="2">
        <v>163.80000000000001</v>
      </c>
      <c r="H274" s="1">
        <f>_xlfn.XLOOKUP('Customer Info'!A2186,'Customer Info'!A2186:A2285,'Customer Info'!E2186:E2285,0,0)</f>
        <v>0</v>
      </c>
      <c r="J274" s="1">
        <f>_xlfn.XLOOKUP('Customer Info'!A2186,'Customer Info'!A2186:A2285,'Customer Info'!M2186:M2285)</f>
        <v>0</v>
      </c>
    </row>
    <row r="275" spans="1:10" ht="14" x14ac:dyDescent="0.2">
      <c r="A275" s="2" t="s">
        <v>98</v>
      </c>
      <c r="B275" s="2">
        <v>21</v>
      </c>
      <c r="C275" s="2">
        <v>3</v>
      </c>
      <c r="D275" s="2">
        <v>2021</v>
      </c>
      <c r="E275" s="1" t="s">
        <v>94</v>
      </c>
      <c r="F275" s="2">
        <v>163.68</v>
      </c>
      <c r="H275" s="1">
        <f>_xlfn.XLOOKUP('Customer Info'!A1231,'Customer Info'!A1231:A1330,'Customer Info'!E1231:E1330,0,0)</f>
        <v>0</v>
      </c>
      <c r="J275" s="1">
        <f>_xlfn.XLOOKUP('Customer Info'!A1231,'Customer Info'!A1231:A1330,'Customer Info'!M1231:M1330)</f>
        <v>0</v>
      </c>
    </row>
    <row r="276" spans="1:10" ht="14" x14ac:dyDescent="0.2">
      <c r="A276" s="2" t="s">
        <v>97</v>
      </c>
      <c r="B276" s="2">
        <v>12</v>
      </c>
      <c r="C276" s="2">
        <v>12</v>
      </c>
      <c r="D276" s="2">
        <v>2021</v>
      </c>
      <c r="E276" s="1" t="s">
        <v>94</v>
      </c>
      <c r="F276" s="2">
        <v>163.68</v>
      </c>
      <c r="H276" s="1">
        <f>_xlfn.XLOOKUP('Customer Info'!A1232,'Customer Info'!A1232:A1331,'Customer Info'!E1232:E1331,0,0)</f>
        <v>0</v>
      </c>
      <c r="J276" s="1">
        <f>_xlfn.XLOOKUP('Customer Info'!A1232,'Customer Info'!A1232:A1331,'Customer Info'!M1232:M1331)</f>
        <v>0</v>
      </c>
    </row>
    <row r="277" spans="1:10" ht="14" x14ac:dyDescent="0.2">
      <c r="A277" s="2" t="s">
        <v>3</v>
      </c>
      <c r="B277" s="2">
        <v>25</v>
      </c>
      <c r="C277" s="2">
        <v>12</v>
      </c>
      <c r="D277" s="2">
        <v>2021</v>
      </c>
      <c r="E277" s="2">
        <v>0</v>
      </c>
      <c r="F277" s="2">
        <v>163.68</v>
      </c>
      <c r="H277" s="1">
        <f>_xlfn.XLOOKUP('Customer Info'!A2187,'Customer Info'!A2187:A2286,'Customer Info'!E2187:E2286,0,0)</f>
        <v>0</v>
      </c>
      <c r="J277" s="1">
        <f>_xlfn.XLOOKUP('Customer Info'!A2187,'Customer Info'!A2187:A2286,'Customer Info'!M2187:M2286)</f>
        <v>0</v>
      </c>
    </row>
    <row r="278" spans="1:10" ht="14" x14ac:dyDescent="0.2">
      <c r="A278" s="2" t="s">
        <v>28</v>
      </c>
      <c r="B278" s="2">
        <v>5</v>
      </c>
      <c r="C278" s="2">
        <v>4</v>
      </c>
      <c r="D278" s="2">
        <v>2021</v>
      </c>
      <c r="E278" s="1" t="s">
        <v>94</v>
      </c>
      <c r="F278" s="2">
        <v>163.19999999999999</v>
      </c>
      <c r="H278" s="1">
        <f>_xlfn.XLOOKUP('Customer Info'!A1233,'Customer Info'!A1233:A1332,'Customer Info'!E1233:E1332,0,0)</f>
        <v>0</v>
      </c>
      <c r="J278" s="1">
        <f>_xlfn.XLOOKUP('Customer Info'!A1233,'Customer Info'!A1233:A1332,'Customer Info'!M1233:M1332)</f>
        <v>0</v>
      </c>
    </row>
    <row r="279" spans="1:10" ht="14" x14ac:dyDescent="0.2">
      <c r="A279" s="2" t="s">
        <v>30</v>
      </c>
      <c r="B279" s="2">
        <v>2</v>
      </c>
      <c r="C279" s="2">
        <v>7</v>
      </c>
      <c r="D279" s="2">
        <v>2021</v>
      </c>
      <c r="E279" s="2">
        <v>0</v>
      </c>
      <c r="F279" s="2">
        <v>163.06</v>
      </c>
      <c r="H279" s="1">
        <f>_xlfn.XLOOKUP('Customer Info'!A2188,'Customer Info'!A2188:A2287,'Customer Info'!E2188:E2287,0,0)</f>
        <v>0</v>
      </c>
      <c r="J279" s="1">
        <f>_xlfn.XLOOKUP('Customer Info'!A2188,'Customer Info'!A2188:A2287,'Customer Info'!M2188:M2287)</f>
        <v>0</v>
      </c>
    </row>
    <row r="280" spans="1:10" ht="14" hidden="1" x14ac:dyDescent="0.2">
      <c r="A280" s="2" t="s">
        <v>24</v>
      </c>
      <c r="B280" s="2">
        <v>22</v>
      </c>
      <c r="C280" s="2">
        <v>4</v>
      </c>
      <c r="D280" s="2">
        <v>2020</v>
      </c>
      <c r="E280" s="2">
        <v>0</v>
      </c>
      <c r="F280" s="2">
        <v>162.9</v>
      </c>
      <c r="H280" s="1">
        <f>_xlfn.XLOOKUP('Customer Info'!A975,'Customer Info'!A975:A1074,'Customer Info'!E975:E1074,0,0)</f>
        <v>0</v>
      </c>
      <c r="J280" s="1">
        <f>_xlfn.XLOOKUP('Customer Info'!A975,'Customer Info'!A975:A1074,'Customer Info'!M975:M1074)</f>
        <v>0</v>
      </c>
    </row>
    <row r="281" spans="1:10" ht="14" hidden="1" x14ac:dyDescent="0.2">
      <c r="A281" s="2" t="s">
        <v>2</v>
      </c>
      <c r="B281" s="2">
        <v>18</v>
      </c>
      <c r="C281" s="2">
        <v>11</v>
      </c>
      <c r="D281" s="2">
        <v>2020</v>
      </c>
      <c r="E281" s="2">
        <v>0</v>
      </c>
      <c r="F281" s="2">
        <v>162.9</v>
      </c>
      <c r="H281" s="1">
        <f>_xlfn.XLOOKUP('Customer Info'!A976,'Customer Info'!A976:A1075,'Customer Info'!E976:E1075,0,0)</f>
        <v>0</v>
      </c>
      <c r="J281" s="1">
        <f>_xlfn.XLOOKUP('Customer Info'!A976,'Customer Info'!A976:A1075,'Customer Info'!M976:M1075)</f>
        <v>0</v>
      </c>
    </row>
    <row r="282" spans="1:10" ht="14" hidden="1" x14ac:dyDescent="0.2">
      <c r="A282" s="2" t="s">
        <v>30</v>
      </c>
      <c r="B282" s="2">
        <v>2</v>
      </c>
      <c r="C282" s="2">
        <v>5</v>
      </c>
      <c r="D282" s="2">
        <v>2020</v>
      </c>
      <c r="E282" s="2">
        <v>0</v>
      </c>
      <c r="F282" s="2">
        <v>162.75</v>
      </c>
      <c r="H282" s="1">
        <f>_xlfn.XLOOKUP('Customer Info'!A977,'Customer Info'!A977:A1076,'Customer Info'!E977:E1076,0,0)</f>
        <v>0</v>
      </c>
      <c r="J282" s="1">
        <f>_xlfn.XLOOKUP('Customer Info'!A977,'Customer Info'!A977:A1076,'Customer Info'!M977:M1076)</f>
        <v>0</v>
      </c>
    </row>
    <row r="283" spans="1:10" ht="14" hidden="1" x14ac:dyDescent="0.2">
      <c r="A283" s="2" t="s">
        <v>11</v>
      </c>
      <c r="B283" s="2">
        <v>15</v>
      </c>
      <c r="C283" s="2">
        <v>10</v>
      </c>
      <c r="D283" s="2">
        <v>2020</v>
      </c>
      <c r="E283" s="2">
        <v>0</v>
      </c>
      <c r="F283" s="2">
        <v>162.75</v>
      </c>
      <c r="H283" s="1">
        <f>_xlfn.XLOOKUP('Customer Info'!A978,'Customer Info'!A978:A1077,'Customer Info'!E978:E1077,0,0)</f>
        <v>0</v>
      </c>
      <c r="J283" s="1">
        <f>_xlfn.XLOOKUP('Customer Info'!A978,'Customer Info'!A978:A1077,'Customer Info'!M978:M1077)</f>
        <v>0</v>
      </c>
    </row>
    <row r="284" spans="1:10" ht="14" hidden="1" x14ac:dyDescent="0.2">
      <c r="A284" s="2" t="s">
        <v>8</v>
      </c>
      <c r="B284" s="2">
        <v>5</v>
      </c>
      <c r="C284" s="2">
        <v>11</v>
      </c>
      <c r="D284" s="2">
        <v>2020</v>
      </c>
      <c r="E284" s="2">
        <v>0</v>
      </c>
      <c r="F284" s="2">
        <v>162.6</v>
      </c>
      <c r="H284" s="1">
        <f>_xlfn.XLOOKUP('Customer Info'!A979,'Customer Info'!A979:A1078,'Customer Info'!E979:E1078,0,0)</f>
        <v>0</v>
      </c>
      <c r="J284" s="1">
        <f>_xlfn.XLOOKUP('Customer Info'!A979,'Customer Info'!A979:A1078,'Customer Info'!M979:M1078)</f>
        <v>0</v>
      </c>
    </row>
    <row r="285" spans="1:10" ht="14" x14ac:dyDescent="0.2">
      <c r="A285" s="2" t="s">
        <v>8</v>
      </c>
      <c r="B285" s="2">
        <v>5</v>
      </c>
      <c r="C285" s="2">
        <v>4</v>
      </c>
      <c r="D285" s="2">
        <v>2021</v>
      </c>
      <c r="E285" s="2">
        <v>0</v>
      </c>
      <c r="F285" s="2">
        <v>162.6</v>
      </c>
      <c r="H285" s="1">
        <f>_xlfn.XLOOKUP('Customer Info'!A2189,'Customer Info'!A2189:A2288,'Customer Info'!E2189:E2288,0,0)</f>
        <v>0</v>
      </c>
      <c r="J285" s="1">
        <f>_xlfn.XLOOKUP('Customer Info'!A2189,'Customer Info'!A2189:A2288,'Customer Info'!M2189:M2288)</f>
        <v>0</v>
      </c>
    </row>
    <row r="286" spans="1:10" ht="14" hidden="1" x14ac:dyDescent="0.2">
      <c r="A286" s="2" t="s">
        <v>99</v>
      </c>
      <c r="B286" s="2">
        <v>10</v>
      </c>
      <c r="C286" s="2">
        <v>2</v>
      </c>
      <c r="D286" s="2">
        <v>2020</v>
      </c>
      <c r="E286" s="1" t="s">
        <v>94</v>
      </c>
      <c r="F286" s="2">
        <v>162.4</v>
      </c>
      <c r="H286" s="1">
        <f>_xlfn.XLOOKUP('Customer Info'!A32,'Customer Info'!A32:A131,'Customer Info'!E32:E131,0,0)</f>
        <v>2</v>
      </c>
      <c r="I286" s="1" t="str">
        <f>_xlfn.XLOOKUP('Customer Info'!A32,'Customer Info'!A32:A131,'Customer Info'!J32:J131,0)</f>
        <v>Scottish Gas</v>
      </c>
      <c r="J286" s="1" t="b">
        <f>_xlfn.XLOOKUP('Customer Info'!A32,'Customer Info'!A32:A131,'Customer Info'!M32:M131)</f>
        <v>0</v>
      </c>
    </row>
    <row r="287" spans="1:10" ht="14" x14ac:dyDescent="0.2">
      <c r="A287" s="2" t="s">
        <v>30</v>
      </c>
      <c r="B287" s="2">
        <v>2</v>
      </c>
      <c r="C287" s="2">
        <v>6</v>
      </c>
      <c r="D287" s="2">
        <v>2021</v>
      </c>
      <c r="E287" s="2">
        <v>0</v>
      </c>
      <c r="F287" s="2">
        <v>162.30000000000001</v>
      </c>
      <c r="H287" s="1">
        <f>_xlfn.XLOOKUP('Customer Info'!A2190,'Customer Info'!A2190:A2289,'Customer Info'!E2190:E2289,0,0)</f>
        <v>0</v>
      </c>
      <c r="J287" s="1">
        <f>_xlfn.XLOOKUP('Customer Info'!A2190,'Customer Info'!A2190:A2289,'Customer Info'!M2190:M2289)</f>
        <v>0</v>
      </c>
    </row>
    <row r="288" spans="1:10" ht="14" hidden="1" x14ac:dyDescent="0.2">
      <c r="A288" s="2" t="s">
        <v>1</v>
      </c>
      <c r="B288" s="2">
        <v>21</v>
      </c>
      <c r="C288" s="2">
        <v>11</v>
      </c>
      <c r="D288" s="2">
        <v>2020</v>
      </c>
      <c r="E288" s="2">
        <v>0</v>
      </c>
      <c r="F288" s="2">
        <v>162</v>
      </c>
      <c r="H288" s="1">
        <f>_xlfn.XLOOKUP('Customer Info'!A980,'Customer Info'!A980:A1079,'Customer Info'!E980:E1079,0,0)</f>
        <v>0</v>
      </c>
      <c r="J288" s="1">
        <f>_xlfn.XLOOKUP('Customer Info'!A980,'Customer Info'!A980:A1079,'Customer Info'!M980:M1079)</f>
        <v>0</v>
      </c>
    </row>
    <row r="289" spans="1:10" ht="14" hidden="1" x14ac:dyDescent="0.2">
      <c r="A289" s="2" t="s">
        <v>1</v>
      </c>
      <c r="B289" s="2">
        <v>21</v>
      </c>
      <c r="C289" s="2">
        <v>1</v>
      </c>
      <c r="D289" s="2">
        <v>2020</v>
      </c>
      <c r="E289" s="2">
        <v>0</v>
      </c>
      <c r="F289" s="2">
        <v>161.82</v>
      </c>
      <c r="H289" s="1">
        <f>_xlfn.XLOOKUP('Customer Info'!A981,'Customer Info'!A981:A1080,'Customer Info'!E981:E1080,0,0)</f>
        <v>0</v>
      </c>
      <c r="J289" s="1">
        <f>_xlfn.XLOOKUP('Customer Info'!A981,'Customer Info'!A981:A1080,'Customer Info'!M981:M1080)</f>
        <v>0</v>
      </c>
    </row>
    <row r="290" spans="1:10" ht="14" hidden="1" x14ac:dyDescent="0.2">
      <c r="A290" s="2" t="s">
        <v>24</v>
      </c>
      <c r="B290" s="2">
        <v>22</v>
      </c>
      <c r="C290" s="2">
        <v>3</v>
      </c>
      <c r="D290" s="2">
        <v>2020</v>
      </c>
      <c r="E290" s="2">
        <v>0</v>
      </c>
      <c r="F290" s="2">
        <v>161.82</v>
      </c>
      <c r="H290" s="1">
        <f>_xlfn.XLOOKUP('Customer Info'!A982,'Customer Info'!A982:A1081,'Customer Info'!E982:E1081,0,0)</f>
        <v>0</v>
      </c>
      <c r="J290" s="1">
        <f>_xlfn.XLOOKUP('Customer Info'!A982,'Customer Info'!A982:A1081,'Customer Info'!M982:M1081)</f>
        <v>0</v>
      </c>
    </row>
    <row r="291" spans="1:10" ht="14" hidden="1" x14ac:dyDescent="0.2">
      <c r="A291" s="2" t="s">
        <v>17</v>
      </c>
      <c r="B291" s="2">
        <v>8</v>
      </c>
      <c r="C291" s="2">
        <v>12</v>
      </c>
      <c r="D291" s="2">
        <v>2020</v>
      </c>
      <c r="E291" s="2">
        <v>0</v>
      </c>
      <c r="F291" s="2">
        <v>161.51</v>
      </c>
      <c r="H291" s="1">
        <f>_xlfn.XLOOKUP('Customer Info'!A983,'Customer Info'!A983:A1082,'Customer Info'!E983:E1082,0,0)</f>
        <v>0</v>
      </c>
      <c r="J291" s="1">
        <f>_xlfn.XLOOKUP('Customer Info'!A983,'Customer Info'!A983:A1082,'Customer Info'!M983:M1082)</f>
        <v>0</v>
      </c>
    </row>
    <row r="292" spans="1:10" ht="14" hidden="1" x14ac:dyDescent="0.2">
      <c r="A292" s="2" t="s">
        <v>27</v>
      </c>
      <c r="B292" s="2">
        <v>1</v>
      </c>
      <c r="C292" s="2">
        <v>4</v>
      </c>
      <c r="D292" s="2">
        <v>2020</v>
      </c>
      <c r="E292" s="1" t="s">
        <v>94</v>
      </c>
      <c r="F292" s="2">
        <v>161.4</v>
      </c>
      <c r="H292" s="1">
        <f>_xlfn.XLOOKUP('Customer Info'!A33,'Customer Info'!A33:A132,'Customer Info'!E33:E132,0,0)</f>
        <v>3</v>
      </c>
      <c r="I292" s="1" t="str">
        <f>_xlfn.XLOOKUP('Customer Info'!A33,'Customer Info'!A33:A132,'Customer Info'!J33:J132,0)</f>
        <v>Scottish Gas</v>
      </c>
      <c r="J292" s="1" t="b">
        <f>_xlfn.XLOOKUP('Customer Info'!A33,'Customer Info'!A33:A132,'Customer Info'!M33:M132)</f>
        <v>0</v>
      </c>
    </row>
    <row r="293" spans="1:10" ht="14" x14ac:dyDescent="0.2">
      <c r="A293" s="2" t="s">
        <v>5</v>
      </c>
      <c r="B293" s="2">
        <v>7</v>
      </c>
      <c r="C293" s="2">
        <v>1</v>
      </c>
      <c r="D293" s="2">
        <v>2021</v>
      </c>
      <c r="E293" s="1" t="s">
        <v>94</v>
      </c>
      <c r="F293" s="2">
        <v>161.19999999999999</v>
      </c>
      <c r="H293" s="1">
        <f>_xlfn.XLOOKUP('Customer Info'!A1234,'Customer Info'!A1234:A1333,'Customer Info'!E1234:E1333,0,0)</f>
        <v>0</v>
      </c>
      <c r="J293" s="1">
        <f>_xlfn.XLOOKUP('Customer Info'!A1234,'Customer Info'!A1234:A1333,'Customer Info'!M1234:M1333)</f>
        <v>0</v>
      </c>
    </row>
    <row r="294" spans="1:10" ht="14" hidden="1" x14ac:dyDescent="0.2">
      <c r="A294" s="2" t="s">
        <v>32</v>
      </c>
      <c r="B294" s="2">
        <v>17</v>
      </c>
      <c r="C294" s="2">
        <v>5</v>
      </c>
      <c r="D294" s="2">
        <v>2020</v>
      </c>
      <c r="E294" s="2">
        <v>0</v>
      </c>
      <c r="F294" s="2">
        <v>161.19999999999999</v>
      </c>
      <c r="H294" s="1">
        <f>_xlfn.XLOOKUP('Customer Info'!A984,'Customer Info'!A984:A1083,'Customer Info'!E984:E1083,0,0)</f>
        <v>0</v>
      </c>
      <c r="J294" s="1">
        <f>_xlfn.XLOOKUP('Customer Info'!A984,'Customer Info'!A984:A1083,'Customer Info'!M984:M1083)</f>
        <v>0</v>
      </c>
    </row>
    <row r="295" spans="1:10" ht="14" hidden="1" x14ac:dyDescent="0.2">
      <c r="A295" s="2" t="s">
        <v>20</v>
      </c>
      <c r="B295" s="2">
        <v>12</v>
      </c>
      <c r="C295" s="2">
        <v>1</v>
      </c>
      <c r="D295" s="2">
        <v>2020</v>
      </c>
      <c r="E295" s="1" t="s">
        <v>94</v>
      </c>
      <c r="F295" s="2">
        <v>160.88999999999999</v>
      </c>
      <c r="H295" s="1">
        <f>_xlfn.XLOOKUP('Customer Info'!A34,'Customer Info'!A34:A133,'Customer Info'!E34:E133,0,0)</f>
        <v>2</v>
      </c>
      <c r="I295" s="1" t="str">
        <f>_xlfn.XLOOKUP('Customer Info'!A34,'Customer Info'!A34:A133,'Customer Info'!J34:J133,0)</f>
        <v>Scottish Gas</v>
      </c>
      <c r="J295" s="1" t="b">
        <f>_xlfn.XLOOKUP('Customer Info'!A34,'Customer Info'!A34:A133,'Customer Info'!M34:M133)</f>
        <v>0</v>
      </c>
    </row>
    <row r="296" spans="1:10" ht="14" x14ac:dyDescent="0.2">
      <c r="A296" s="2" t="s">
        <v>32</v>
      </c>
      <c r="B296" s="2">
        <v>17</v>
      </c>
      <c r="C296" s="2">
        <v>8</v>
      </c>
      <c r="D296" s="2">
        <v>2021</v>
      </c>
      <c r="E296" s="2">
        <v>0</v>
      </c>
      <c r="F296" s="2">
        <v>160.88999999999999</v>
      </c>
      <c r="H296" s="1">
        <f>_xlfn.XLOOKUP('Customer Info'!A2191,'Customer Info'!A2191:A2290,'Customer Info'!E2191:E2290,0,0)</f>
        <v>0</v>
      </c>
      <c r="J296" s="1">
        <f>_xlfn.XLOOKUP('Customer Info'!A2191,'Customer Info'!A2191:A2290,'Customer Info'!M2191:M2290)</f>
        <v>0</v>
      </c>
    </row>
    <row r="297" spans="1:10" ht="14" x14ac:dyDescent="0.2">
      <c r="A297" s="2" t="s">
        <v>100</v>
      </c>
      <c r="B297" s="2">
        <v>1</v>
      </c>
      <c r="C297" s="2">
        <v>11</v>
      </c>
      <c r="D297" s="2">
        <v>2021</v>
      </c>
      <c r="E297" s="1" t="s">
        <v>94</v>
      </c>
      <c r="F297" s="2">
        <v>160.80000000000001</v>
      </c>
      <c r="H297" s="1">
        <f>_xlfn.XLOOKUP('Customer Info'!A1235,'Customer Info'!A1235:A1334,'Customer Info'!E1235:E1334,0,0)</f>
        <v>0</v>
      </c>
      <c r="J297" s="1">
        <f>_xlfn.XLOOKUP('Customer Info'!A1235,'Customer Info'!A1235:A1334,'Customer Info'!M1235:M1334)</f>
        <v>0</v>
      </c>
    </row>
    <row r="298" spans="1:10" ht="14" hidden="1" x14ac:dyDescent="0.2">
      <c r="A298" s="2" t="s">
        <v>10</v>
      </c>
      <c r="B298" s="2">
        <v>18</v>
      </c>
      <c r="C298" s="2">
        <v>2</v>
      </c>
      <c r="D298" s="2">
        <v>2020</v>
      </c>
      <c r="E298" s="1" t="s">
        <v>94</v>
      </c>
      <c r="F298" s="2">
        <v>160.72</v>
      </c>
      <c r="H298" s="1">
        <f>_xlfn.XLOOKUP('Customer Info'!A35,'Customer Info'!A35:A134,'Customer Info'!E35:E134,0,0)</f>
        <v>3</v>
      </c>
      <c r="I298" s="1" t="str">
        <f>_xlfn.XLOOKUP('Customer Info'!A35,'Customer Info'!A35:A134,'Customer Info'!J35:J134,0)</f>
        <v>Scottish Gas</v>
      </c>
      <c r="J298" s="1" t="b">
        <f>_xlfn.XLOOKUP('Customer Info'!A35,'Customer Info'!A35:A134,'Customer Info'!M35:M134)</f>
        <v>0</v>
      </c>
    </row>
    <row r="299" spans="1:10" ht="14" hidden="1" x14ac:dyDescent="0.2">
      <c r="A299" s="2" t="s">
        <v>7</v>
      </c>
      <c r="B299" s="2">
        <v>20</v>
      </c>
      <c r="C299" s="2">
        <v>12</v>
      </c>
      <c r="D299" s="2">
        <v>2020</v>
      </c>
      <c r="E299" s="1" t="s">
        <v>94</v>
      </c>
      <c r="F299" s="2">
        <v>160.58000000000001</v>
      </c>
      <c r="H299" s="1">
        <f>_xlfn.XLOOKUP('Customer Info'!A36,'Customer Info'!A36:A135,'Customer Info'!E36:E135,0,0)</f>
        <v>2</v>
      </c>
      <c r="I299" s="1" t="str">
        <f>_xlfn.XLOOKUP('Customer Info'!A36,'Customer Info'!A36:A135,'Customer Info'!J36:J135,0)</f>
        <v>Scottish Gas</v>
      </c>
      <c r="J299" s="1" t="b">
        <f>_xlfn.XLOOKUP('Customer Info'!A36,'Customer Info'!A36:A135,'Customer Info'!M36:M135)</f>
        <v>0</v>
      </c>
    </row>
    <row r="300" spans="1:10" ht="14" hidden="1" x14ac:dyDescent="0.2">
      <c r="A300" s="2" t="s">
        <v>17</v>
      </c>
      <c r="B300" s="2">
        <v>8</v>
      </c>
      <c r="C300" s="2">
        <v>2</v>
      </c>
      <c r="D300" s="2">
        <v>2020</v>
      </c>
      <c r="E300" s="2">
        <v>0</v>
      </c>
      <c r="F300" s="2">
        <v>160.44</v>
      </c>
      <c r="H300" s="1">
        <f>_xlfn.XLOOKUP('Customer Info'!A985,'Customer Info'!A985:A1084,'Customer Info'!E985:E1084,0,0)</f>
        <v>0</v>
      </c>
      <c r="J300" s="1">
        <f>_xlfn.XLOOKUP('Customer Info'!A985,'Customer Info'!A985:A1084,'Customer Info'!M985:M1084)</f>
        <v>0</v>
      </c>
    </row>
    <row r="301" spans="1:10" ht="14" hidden="1" x14ac:dyDescent="0.2">
      <c r="A301" s="2" t="s">
        <v>97</v>
      </c>
      <c r="B301" s="2">
        <v>12</v>
      </c>
      <c r="C301" s="2">
        <v>1</v>
      </c>
      <c r="D301" s="2">
        <v>2020</v>
      </c>
      <c r="E301" s="1" t="s">
        <v>94</v>
      </c>
      <c r="F301" s="2">
        <v>160.27000000000001</v>
      </c>
      <c r="H301" s="1">
        <f>_xlfn.XLOOKUP('Customer Info'!A37,'Customer Info'!A37:A136,'Customer Info'!E37:E136,0,0)</f>
        <v>3</v>
      </c>
      <c r="I301" s="1" t="str">
        <f>_xlfn.XLOOKUP('Customer Info'!A37,'Customer Info'!A37:A136,'Customer Info'!J37:J136,0)</f>
        <v>Scottish Gas</v>
      </c>
      <c r="J301" s="1" t="b">
        <f>_xlfn.XLOOKUP('Customer Info'!A37,'Customer Info'!A37:A136,'Customer Info'!M37:M136)</f>
        <v>0</v>
      </c>
    </row>
    <row r="302" spans="1:10" ht="14" x14ac:dyDescent="0.2">
      <c r="A302" s="2" t="s">
        <v>29</v>
      </c>
      <c r="B302" s="2">
        <v>20</v>
      </c>
      <c r="C302" s="2">
        <v>10</v>
      </c>
      <c r="D302" s="2">
        <v>2021</v>
      </c>
      <c r="E302" s="2">
        <v>0</v>
      </c>
      <c r="F302" s="2">
        <v>160.27000000000001</v>
      </c>
      <c r="H302" s="1">
        <f>_xlfn.XLOOKUP('Customer Info'!A2192,'Customer Info'!A2192:A2291,'Customer Info'!E2192:E2291,0,0)</f>
        <v>0</v>
      </c>
      <c r="J302" s="1">
        <f>_xlfn.XLOOKUP('Customer Info'!A2192,'Customer Info'!A2192:A2291,'Customer Info'!M2192:M2291)</f>
        <v>0</v>
      </c>
    </row>
    <row r="303" spans="1:10" ht="14" hidden="1" x14ac:dyDescent="0.2">
      <c r="A303" s="2" t="s">
        <v>28</v>
      </c>
      <c r="B303" s="2">
        <v>5</v>
      </c>
      <c r="C303" s="2">
        <v>10</v>
      </c>
      <c r="D303" s="2">
        <v>2020</v>
      </c>
      <c r="E303" s="2">
        <v>0</v>
      </c>
      <c r="F303" s="2">
        <v>159.96</v>
      </c>
      <c r="H303" s="1">
        <f>_xlfn.XLOOKUP('Customer Info'!A986,'Customer Info'!A986:A1085,'Customer Info'!E986:E1085,0,0)</f>
        <v>0</v>
      </c>
      <c r="J303" s="1">
        <f>_xlfn.XLOOKUP('Customer Info'!A986,'Customer Info'!A986:A1085,'Customer Info'!M986:M1085)</f>
        <v>0</v>
      </c>
    </row>
    <row r="304" spans="1:10" ht="14" x14ac:dyDescent="0.2">
      <c r="A304" s="2" t="s">
        <v>7</v>
      </c>
      <c r="B304" s="2">
        <v>20</v>
      </c>
      <c r="C304" s="2">
        <v>2</v>
      </c>
      <c r="D304" s="2">
        <v>2021</v>
      </c>
      <c r="E304" s="2">
        <v>0</v>
      </c>
      <c r="F304" s="2">
        <v>159.88</v>
      </c>
      <c r="H304" s="1">
        <f>_xlfn.XLOOKUP('Customer Info'!A2193,'Customer Info'!A2193:A2292,'Customer Info'!E2193:E2292,0,0)</f>
        <v>0</v>
      </c>
      <c r="J304" s="1">
        <f>_xlfn.XLOOKUP('Customer Info'!A2193,'Customer Info'!A2193:A2292,'Customer Info'!M2193:M2292)</f>
        <v>0</v>
      </c>
    </row>
    <row r="305" spans="1:10" ht="14" hidden="1" x14ac:dyDescent="0.2">
      <c r="A305" s="2" t="s">
        <v>22</v>
      </c>
      <c r="B305" s="2">
        <v>22</v>
      </c>
      <c r="C305" s="2">
        <v>10</v>
      </c>
      <c r="D305" s="2">
        <v>2020</v>
      </c>
      <c r="E305" s="1" t="s">
        <v>94</v>
      </c>
      <c r="F305" s="2">
        <v>159.65</v>
      </c>
      <c r="H305" s="1">
        <f>_xlfn.XLOOKUP('Customer Info'!A38,'Customer Info'!A38:A137,'Customer Info'!E38:E137,0,0)</f>
        <v>3</v>
      </c>
      <c r="I305" s="1" t="str">
        <f>_xlfn.XLOOKUP('Customer Info'!A38,'Customer Info'!A38:A137,'Customer Info'!J38:J137,0)</f>
        <v>Scottish Gas</v>
      </c>
      <c r="J305" s="1" t="b">
        <f>_xlfn.XLOOKUP('Customer Info'!A38,'Customer Info'!A38:A137,'Customer Info'!M38:M137)</f>
        <v>0</v>
      </c>
    </row>
    <row r="306" spans="1:10" ht="14" hidden="1" x14ac:dyDescent="0.2">
      <c r="A306" s="2" t="s">
        <v>31</v>
      </c>
      <c r="B306" s="2">
        <v>14</v>
      </c>
      <c r="C306" s="2">
        <v>5</v>
      </c>
      <c r="D306" s="2">
        <v>2020</v>
      </c>
      <c r="E306" s="2">
        <v>0</v>
      </c>
      <c r="F306" s="2">
        <v>159.65</v>
      </c>
      <c r="H306" s="1">
        <f>_xlfn.XLOOKUP('Customer Info'!A987,'Customer Info'!A987:A1086,'Customer Info'!E987:E1086,0,0)</f>
        <v>0</v>
      </c>
      <c r="J306" s="1">
        <f>_xlfn.XLOOKUP('Customer Info'!A987,'Customer Info'!A987:A1086,'Customer Info'!M987:M1086)</f>
        <v>0</v>
      </c>
    </row>
    <row r="307" spans="1:10" ht="14" hidden="1" x14ac:dyDescent="0.2">
      <c r="A307" s="2" t="s">
        <v>7</v>
      </c>
      <c r="B307" s="2">
        <v>20</v>
      </c>
      <c r="C307" s="2">
        <v>10</v>
      </c>
      <c r="D307" s="2">
        <v>2020</v>
      </c>
      <c r="E307" s="2">
        <v>0</v>
      </c>
      <c r="F307" s="2">
        <v>159.65</v>
      </c>
      <c r="H307" s="1">
        <f>_xlfn.XLOOKUP('Customer Info'!A988,'Customer Info'!A988:A1087,'Customer Info'!E988:E1087,0,0)</f>
        <v>0</v>
      </c>
      <c r="J307" s="1">
        <f>_xlfn.XLOOKUP('Customer Info'!A988,'Customer Info'!A988:A1087,'Customer Info'!M988:M1087)</f>
        <v>0</v>
      </c>
    </row>
    <row r="308" spans="1:10" ht="14" x14ac:dyDescent="0.2">
      <c r="A308" s="2" t="s">
        <v>25</v>
      </c>
      <c r="B308" s="2">
        <v>8</v>
      </c>
      <c r="C308" s="2">
        <v>3</v>
      </c>
      <c r="D308" s="2">
        <v>2021</v>
      </c>
      <c r="E308" s="2">
        <v>0</v>
      </c>
      <c r="F308" s="2">
        <v>159.65</v>
      </c>
      <c r="H308" s="1">
        <f>_xlfn.XLOOKUP('Customer Info'!A2194,'Customer Info'!A2194:A2293,'Customer Info'!E2194:E2293,0,0)</f>
        <v>0</v>
      </c>
      <c r="J308" s="1">
        <f>_xlfn.XLOOKUP('Customer Info'!A2194,'Customer Info'!A2194:A2293,'Customer Info'!M2194:M2293)</f>
        <v>0</v>
      </c>
    </row>
    <row r="309" spans="1:10" ht="14" hidden="1" x14ac:dyDescent="0.2">
      <c r="A309" s="2" t="s">
        <v>25</v>
      </c>
      <c r="B309" s="2">
        <v>8</v>
      </c>
      <c r="C309" s="2">
        <v>3</v>
      </c>
      <c r="D309" s="2">
        <v>2020</v>
      </c>
      <c r="E309" s="1" t="s">
        <v>94</v>
      </c>
      <c r="F309" s="2">
        <v>159.03</v>
      </c>
      <c r="H309" s="1">
        <f>_xlfn.XLOOKUP('Customer Info'!A39,'Customer Info'!A39:A138,'Customer Info'!E39:E138,0,0)</f>
        <v>3</v>
      </c>
      <c r="I309" s="1" t="str">
        <f>_xlfn.XLOOKUP('Customer Info'!A39,'Customer Info'!A39:A138,'Customer Info'!J39:J138,0)</f>
        <v>Scottish Gas</v>
      </c>
      <c r="J309" s="1" t="b">
        <f>_xlfn.XLOOKUP('Customer Info'!A39,'Customer Info'!A39:A138,'Customer Info'!M39:M138)</f>
        <v>0</v>
      </c>
    </row>
    <row r="310" spans="1:10" ht="14" x14ac:dyDescent="0.2">
      <c r="A310" s="2" t="s">
        <v>18</v>
      </c>
      <c r="B310" s="2">
        <v>5</v>
      </c>
      <c r="C310" s="2">
        <v>3</v>
      </c>
      <c r="D310" s="2">
        <v>2021</v>
      </c>
      <c r="E310" s="2">
        <v>0</v>
      </c>
      <c r="F310" s="2">
        <v>159.03</v>
      </c>
      <c r="H310" s="1">
        <f>_xlfn.XLOOKUP('Customer Info'!A2195,'Customer Info'!A2195:A2294,'Customer Info'!E2195:E2294,0,0)</f>
        <v>0</v>
      </c>
      <c r="J310" s="1">
        <f>_xlfn.XLOOKUP('Customer Info'!A2195,'Customer Info'!A2195:A2294,'Customer Info'!M2195:M2294)</f>
        <v>0</v>
      </c>
    </row>
    <row r="311" spans="1:10" ht="14" x14ac:dyDescent="0.2">
      <c r="A311" s="2" t="s">
        <v>29</v>
      </c>
      <c r="B311" s="2">
        <v>20</v>
      </c>
      <c r="C311" s="2">
        <v>3</v>
      </c>
      <c r="D311" s="2">
        <v>2021</v>
      </c>
      <c r="E311" s="2">
        <v>0</v>
      </c>
      <c r="F311" s="2">
        <v>159.03</v>
      </c>
      <c r="H311" s="1">
        <f>_xlfn.XLOOKUP('Customer Info'!A2196,'Customer Info'!A2196:A2295,'Customer Info'!E2196:E2295,0,0)</f>
        <v>0</v>
      </c>
      <c r="J311" s="1">
        <f>_xlfn.XLOOKUP('Customer Info'!A2196,'Customer Info'!A2196:A2295,'Customer Info'!M2196:M2295)</f>
        <v>0</v>
      </c>
    </row>
    <row r="312" spans="1:10" ht="14" hidden="1" x14ac:dyDescent="0.2">
      <c r="A312" s="2" t="s">
        <v>13</v>
      </c>
      <c r="B312" s="2">
        <v>7</v>
      </c>
      <c r="C312" s="2">
        <v>4</v>
      </c>
      <c r="D312" s="2">
        <v>2020</v>
      </c>
      <c r="E312" s="2">
        <v>0</v>
      </c>
      <c r="F312" s="2">
        <v>158.69999999999999</v>
      </c>
      <c r="H312" s="1">
        <f>_xlfn.XLOOKUP('Customer Info'!A989,'Customer Info'!A989:A1088,'Customer Info'!E989:E1088,0,0)</f>
        <v>0</v>
      </c>
      <c r="J312" s="1">
        <f>_xlfn.XLOOKUP('Customer Info'!A989,'Customer Info'!A989:A1088,'Customer Info'!M989:M1088)</f>
        <v>0</v>
      </c>
    </row>
    <row r="313" spans="1:10" ht="14" hidden="1" x14ac:dyDescent="0.2">
      <c r="A313" s="2" t="s">
        <v>26</v>
      </c>
      <c r="B313" s="2">
        <v>22</v>
      </c>
      <c r="C313" s="2">
        <v>4</v>
      </c>
      <c r="D313" s="2">
        <v>2020</v>
      </c>
      <c r="E313" s="2">
        <v>0</v>
      </c>
      <c r="F313" s="2">
        <v>158.69999999999999</v>
      </c>
      <c r="H313" s="1">
        <f>_xlfn.XLOOKUP('Customer Info'!A990,'Customer Info'!A990:A1089,'Customer Info'!E990:E1089,0,0)</f>
        <v>0</v>
      </c>
      <c r="J313" s="1">
        <f>_xlfn.XLOOKUP('Customer Info'!A990,'Customer Info'!A990:A1089,'Customer Info'!M990:M1089)</f>
        <v>0</v>
      </c>
    </row>
    <row r="314" spans="1:10" ht="14" x14ac:dyDescent="0.2">
      <c r="A314" s="2" t="s">
        <v>2</v>
      </c>
      <c r="B314" s="2">
        <v>18</v>
      </c>
      <c r="C314" s="2">
        <v>12</v>
      </c>
      <c r="D314" s="2">
        <v>2021</v>
      </c>
      <c r="E314" s="2">
        <v>0</v>
      </c>
      <c r="F314" s="2">
        <v>158.41</v>
      </c>
      <c r="H314" s="1">
        <f>_xlfn.XLOOKUP('Customer Info'!A2197,'Customer Info'!A2197:A2296,'Customer Info'!E2197:E2296,0,0)</f>
        <v>0</v>
      </c>
      <c r="J314" s="1">
        <f>_xlfn.XLOOKUP('Customer Info'!A2197,'Customer Info'!A2197:A2296,'Customer Info'!M2197:M2296)</f>
        <v>0</v>
      </c>
    </row>
    <row r="315" spans="1:10" ht="14" x14ac:dyDescent="0.2">
      <c r="A315" s="2" t="s">
        <v>17</v>
      </c>
      <c r="B315" s="2">
        <v>8</v>
      </c>
      <c r="C315" s="2">
        <v>11</v>
      </c>
      <c r="D315" s="2">
        <v>2021</v>
      </c>
      <c r="E315" s="2">
        <v>0</v>
      </c>
      <c r="F315" s="2">
        <v>158.4</v>
      </c>
      <c r="H315" s="1">
        <f>_xlfn.XLOOKUP('Customer Info'!A2198,'Customer Info'!A2198:A2297,'Customer Info'!E2198:E2297,0,0)</f>
        <v>0</v>
      </c>
      <c r="J315" s="1">
        <f>_xlfn.XLOOKUP('Customer Info'!A2198,'Customer Info'!A2198:A2297,'Customer Info'!M2198:M2297)</f>
        <v>0</v>
      </c>
    </row>
    <row r="316" spans="1:10" ht="14" x14ac:dyDescent="0.2">
      <c r="A316" s="2" t="s">
        <v>100</v>
      </c>
      <c r="B316" s="2">
        <v>1</v>
      </c>
      <c r="C316" s="2">
        <v>1</v>
      </c>
      <c r="D316" s="2">
        <v>2021</v>
      </c>
      <c r="E316" s="1" t="s">
        <v>94</v>
      </c>
      <c r="F316" s="2">
        <v>158.1</v>
      </c>
      <c r="H316" s="1">
        <f>_xlfn.XLOOKUP('Customer Info'!A1236,'Customer Info'!A1236:A1335,'Customer Info'!E1236:E1335,0,0)</f>
        <v>0</v>
      </c>
      <c r="J316" s="1">
        <f>_xlfn.XLOOKUP('Customer Info'!A1236,'Customer Info'!A1236:A1335,'Customer Info'!M1236:M1335)</f>
        <v>0</v>
      </c>
    </row>
    <row r="317" spans="1:10" ht="14" x14ac:dyDescent="0.2">
      <c r="A317" s="2" t="s">
        <v>31</v>
      </c>
      <c r="B317" s="2">
        <v>14</v>
      </c>
      <c r="C317" s="2">
        <v>6</v>
      </c>
      <c r="D317" s="2">
        <v>2021</v>
      </c>
      <c r="E317" s="2">
        <v>0</v>
      </c>
      <c r="F317" s="2">
        <v>158.1</v>
      </c>
      <c r="H317" s="1">
        <f>_xlfn.XLOOKUP('Customer Info'!A2199,'Customer Info'!A2199:A2298,'Customer Info'!E2199:E2298,0,0)</f>
        <v>0</v>
      </c>
      <c r="J317" s="1">
        <f>_xlfn.XLOOKUP('Customer Info'!A2199,'Customer Info'!A2199:A2298,'Customer Info'!M2199:M2298)</f>
        <v>0</v>
      </c>
    </row>
    <row r="318" spans="1:10" ht="14" x14ac:dyDescent="0.2">
      <c r="A318" s="2" t="s">
        <v>23</v>
      </c>
      <c r="B318" s="2">
        <v>5</v>
      </c>
      <c r="C318" s="2">
        <v>3</v>
      </c>
      <c r="D318" s="2">
        <v>2021</v>
      </c>
      <c r="E318" s="2">
        <v>0</v>
      </c>
      <c r="F318" s="2">
        <v>157.79</v>
      </c>
      <c r="H318" s="1">
        <f>_xlfn.XLOOKUP('Customer Info'!A2200,'Customer Info'!A2200:A2299,'Customer Info'!E2200:E2299,0,0)</f>
        <v>0</v>
      </c>
      <c r="J318" s="1">
        <f>_xlfn.XLOOKUP('Customer Info'!A2200,'Customer Info'!A2200:A2299,'Customer Info'!M2200:M2299)</f>
        <v>0</v>
      </c>
    </row>
    <row r="319" spans="1:10" ht="14" x14ac:dyDescent="0.2">
      <c r="A319" s="2" t="s">
        <v>7</v>
      </c>
      <c r="B319" s="2">
        <v>20</v>
      </c>
      <c r="C319" s="2">
        <v>11</v>
      </c>
      <c r="D319" s="2">
        <v>2021</v>
      </c>
      <c r="E319" s="2">
        <v>0</v>
      </c>
      <c r="F319" s="2">
        <v>157.5</v>
      </c>
      <c r="H319" s="1">
        <f>_xlfn.XLOOKUP('Customer Info'!A2201,'Customer Info'!A2201:A2300,'Customer Info'!E2201:E2300,0,0)</f>
        <v>0</v>
      </c>
      <c r="J319" s="1">
        <f>_xlfn.XLOOKUP('Customer Info'!A2201,'Customer Info'!A2201:A2300,'Customer Info'!M2201:M2300)</f>
        <v>0</v>
      </c>
    </row>
    <row r="320" spans="1:10" ht="14" x14ac:dyDescent="0.2">
      <c r="A320" s="2" t="s">
        <v>25</v>
      </c>
      <c r="B320" s="2">
        <v>8</v>
      </c>
      <c r="C320" s="2">
        <v>4</v>
      </c>
      <c r="D320" s="2">
        <v>2021</v>
      </c>
      <c r="E320" s="2">
        <v>0</v>
      </c>
      <c r="F320" s="2">
        <v>157.19999999999999</v>
      </c>
      <c r="H320" s="1">
        <f>_xlfn.XLOOKUP('Customer Info'!A2202,'Customer Info'!A2202:A2301,'Customer Info'!E2202:E2301,0,0)</f>
        <v>0</v>
      </c>
      <c r="J320" s="1">
        <f>_xlfn.XLOOKUP('Customer Info'!A2202,'Customer Info'!A2202:A2301,'Customer Info'!M2202:M2301)</f>
        <v>0</v>
      </c>
    </row>
    <row r="321" spans="1:10" ht="14" hidden="1" x14ac:dyDescent="0.2">
      <c r="A321" s="2" t="s">
        <v>28</v>
      </c>
      <c r="B321" s="2">
        <v>5</v>
      </c>
      <c r="C321" s="2">
        <v>5</v>
      </c>
      <c r="D321" s="2">
        <v>2020</v>
      </c>
      <c r="E321" s="2">
        <v>0</v>
      </c>
      <c r="F321" s="2">
        <v>157.16999999999999</v>
      </c>
      <c r="H321" s="1">
        <f>_xlfn.XLOOKUP('Customer Info'!A991,'Customer Info'!A991:A1090,'Customer Info'!E991:E1090,0,0)</f>
        <v>0</v>
      </c>
      <c r="J321" s="1">
        <f>_xlfn.XLOOKUP('Customer Info'!A991,'Customer Info'!A991:A1090,'Customer Info'!M991:M1090)</f>
        <v>0</v>
      </c>
    </row>
    <row r="322" spans="1:10" ht="14" x14ac:dyDescent="0.2">
      <c r="A322" s="2" t="s">
        <v>24</v>
      </c>
      <c r="B322" s="2">
        <v>22</v>
      </c>
      <c r="C322" s="2">
        <v>3</v>
      </c>
      <c r="D322" s="2">
        <v>2021</v>
      </c>
      <c r="E322" s="2">
        <v>0</v>
      </c>
      <c r="F322" s="2">
        <v>157.16999999999999</v>
      </c>
      <c r="H322" s="1">
        <f>_xlfn.XLOOKUP('Customer Info'!A2203,'Customer Info'!A2203:A2302,'Customer Info'!E2203:E2302,0,0)</f>
        <v>0</v>
      </c>
      <c r="J322" s="1">
        <f>_xlfn.XLOOKUP('Customer Info'!A2203,'Customer Info'!A2203:A2302,'Customer Info'!M2203:M2302)</f>
        <v>0</v>
      </c>
    </row>
    <row r="323" spans="1:10" ht="14" x14ac:dyDescent="0.2">
      <c r="A323" s="2" t="s">
        <v>27</v>
      </c>
      <c r="B323" s="2">
        <v>1</v>
      </c>
      <c r="C323" s="2">
        <v>7</v>
      </c>
      <c r="D323" s="2">
        <v>2021</v>
      </c>
      <c r="E323" s="2">
        <v>0</v>
      </c>
      <c r="F323" s="2">
        <v>157.16999999999999</v>
      </c>
      <c r="H323" s="1">
        <f>_xlfn.XLOOKUP('Customer Info'!A2204,'Customer Info'!A2204:A2303,'Customer Info'!E2204:E2303,0,0)</f>
        <v>0</v>
      </c>
      <c r="J323" s="1">
        <f>_xlfn.XLOOKUP('Customer Info'!A2204,'Customer Info'!A2204:A2303,'Customer Info'!M2204:M2303)</f>
        <v>0</v>
      </c>
    </row>
    <row r="324" spans="1:10" ht="14" x14ac:dyDescent="0.2">
      <c r="A324" s="2" t="s">
        <v>26</v>
      </c>
      <c r="B324" s="2">
        <v>22</v>
      </c>
      <c r="C324" s="2">
        <v>10</v>
      </c>
      <c r="D324" s="2">
        <v>2021</v>
      </c>
      <c r="E324" s="2">
        <v>0</v>
      </c>
      <c r="F324" s="2">
        <v>157.16999999999999</v>
      </c>
      <c r="H324" s="1">
        <f>_xlfn.XLOOKUP('Customer Info'!A2205,'Customer Info'!A2205:A2304,'Customer Info'!E2205:E2304,0,0)</f>
        <v>0</v>
      </c>
      <c r="J324" s="1">
        <f>_xlfn.XLOOKUP('Customer Info'!A2205,'Customer Info'!A2205:A2304,'Customer Info'!M2205:M2304)</f>
        <v>0</v>
      </c>
    </row>
    <row r="325" spans="1:10" ht="14" x14ac:dyDescent="0.2">
      <c r="A325" s="2" t="s">
        <v>2</v>
      </c>
      <c r="B325" s="2">
        <v>18</v>
      </c>
      <c r="C325" s="2">
        <v>1</v>
      </c>
      <c r="D325" s="2">
        <v>2021</v>
      </c>
      <c r="E325" s="2">
        <v>0</v>
      </c>
      <c r="F325" s="2">
        <v>156.86000000000001</v>
      </c>
      <c r="H325" s="1">
        <f>_xlfn.XLOOKUP('Customer Info'!A2206,'Customer Info'!A2206:A2305,'Customer Info'!E2206:E2305,0,0)</f>
        <v>0</v>
      </c>
      <c r="J325" s="1">
        <f>_xlfn.XLOOKUP('Customer Info'!A2206,'Customer Info'!A2206:A2305,'Customer Info'!M2206:M2305)</f>
        <v>0</v>
      </c>
    </row>
    <row r="326" spans="1:10" ht="14" x14ac:dyDescent="0.2">
      <c r="A326" s="2" t="s">
        <v>22</v>
      </c>
      <c r="B326" s="2">
        <v>22</v>
      </c>
      <c r="C326" s="2">
        <v>3</v>
      </c>
      <c r="D326" s="2">
        <v>2021</v>
      </c>
      <c r="E326" s="2">
        <v>0</v>
      </c>
      <c r="F326" s="2">
        <v>156.86000000000001</v>
      </c>
      <c r="H326" s="1">
        <f>_xlfn.XLOOKUP('Customer Info'!A2207,'Customer Info'!A2207:A2306,'Customer Info'!E2207:E2306,0,0)</f>
        <v>0</v>
      </c>
      <c r="J326" s="1">
        <f>_xlfn.XLOOKUP('Customer Info'!A2207,'Customer Info'!A2207:A2306,'Customer Info'!M2207:M2306)</f>
        <v>0</v>
      </c>
    </row>
    <row r="327" spans="1:10" ht="14" hidden="1" x14ac:dyDescent="0.2">
      <c r="A327" s="2" t="s">
        <v>100</v>
      </c>
      <c r="B327" s="2">
        <v>1</v>
      </c>
      <c r="C327" s="2">
        <v>4</v>
      </c>
      <c r="D327" s="2">
        <v>2020</v>
      </c>
      <c r="E327" s="1" t="s">
        <v>94</v>
      </c>
      <c r="F327" s="2">
        <v>156.6</v>
      </c>
      <c r="H327" s="1">
        <f>_xlfn.XLOOKUP('Customer Info'!A40,'Customer Info'!A40:A139,'Customer Info'!E40:E139,0,0)</f>
        <v>4</v>
      </c>
      <c r="I327" s="1" t="str">
        <f>_xlfn.XLOOKUP('Customer Info'!A40,'Customer Info'!A40:A139,'Customer Info'!J40:J139,0)</f>
        <v>Scottish Gas</v>
      </c>
      <c r="J327" s="1" t="b">
        <f>_xlfn.XLOOKUP('Customer Info'!A40,'Customer Info'!A40:A139,'Customer Info'!M40:M139)</f>
        <v>1</v>
      </c>
    </row>
    <row r="328" spans="1:10" ht="14" hidden="1" x14ac:dyDescent="0.2">
      <c r="A328" s="2" t="s">
        <v>32</v>
      </c>
      <c r="B328" s="2">
        <v>17</v>
      </c>
      <c r="C328" s="2">
        <v>9</v>
      </c>
      <c r="D328" s="2">
        <v>2020</v>
      </c>
      <c r="E328" s="2">
        <v>0</v>
      </c>
      <c r="F328" s="2">
        <v>156.6</v>
      </c>
      <c r="H328" s="1">
        <f>_xlfn.XLOOKUP('Customer Info'!A992,'Customer Info'!A992:A1091,'Customer Info'!E992:E1091,0,0)</f>
        <v>0</v>
      </c>
      <c r="J328" s="1">
        <f>_xlfn.XLOOKUP('Customer Info'!A992,'Customer Info'!A992:A1091,'Customer Info'!M992:M1091)</f>
        <v>0</v>
      </c>
    </row>
    <row r="329" spans="1:10" ht="14" x14ac:dyDescent="0.2">
      <c r="A329" s="2" t="s">
        <v>24</v>
      </c>
      <c r="B329" s="2">
        <v>22</v>
      </c>
      <c r="C329" s="2">
        <v>4</v>
      </c>
      <c r="D329" s="2">
        <v>2021</v>
      </c>
      <c r="E329" s="2">
        <v>0</v>
      </c>
      <c r="F329" s="2">
        <v>156.6</v>
      </c>
      <c r="H329" s="1">
        <f>_xlfn.XLOOKUP('Customer Info'!A2208,'Customer Info'!A2208:A2307,'Customer Info'!E2208:E2307,0,0)</f>
        <v>0</v>
      </c>
      <c r="J329" s="1">
        <f>_xlfn.XLOOKUP('Customer Info'!A2208,'Customer Info'!A2208:A2307,'Customer Info'!M2208:M2307)</f>
        <v>0</v>
      </c>
    </row>
    <row r="330" spans="1:10" ht="14" x14ac:dyDescent="0.2">
      <c r="A330" s="2" t="s">
        <v>10</v>
      </c>
      <c r="B330" s="2">
        <v>18</v>
      </c>
      <c r="C330" s="2">
        <v>11</v>
      </c>
      <c r="D330" s="2">
        <v>2021</v>
      </c>
      <c r="E330" s="2">
        <v>0</v>
      </c>
      <c r="F330" s="2">
        <v>156.6</v>
      </c>
      <c r="H330" s="1">
        <f>_xlfn.XLOOKUP('Customer Info'!A2209,'Customer Info'!A2209:A2308,'Customer Info'!E2209:E2308,0,0)</f>
        <v>0</v>
      </c>
      <c r="J330" s="1">
        <f>_xlfn.XLOOKUP('Customer Info'!A2209,'Customer Info'!A2209:A2308,'Customer Info'!M2209:M2308)</f>
        <v>0</v>
      </c>
    </row>
    <row r="331" spans="1:10" ht="14" hidden="1" x14ac:dyDescent="0.2">
      <c r="A331" s="2" t="s">
        <v>13</v>
      </c>
      <c r="B331" s="2">
        <v>7</v>
      </c>
      <c r="C331" s="2">
        <v>3</v>
      </c>
      <c r="D331" s="2">
        <v>2020</v>
      </c>
      <c r="E331" s="1" t="s">
        <v>94</v>
      </c>
      <c r="F331" s="2">
        <v>156.55000000000001</v>
      </c>
      <c r="H331" s="1">
        <f>_xlfn.XLOOKUP('Customer Info'!A41,'Customer Info'!A41:A140,'Customer Info'!E41:E140,0,0)</f>
        <v>3</v>
      </c>
      <c r="I331" s="1" t="str">
        <f>_xlfn.XLOOKUP('Customer Info'!A41,'Customer Info'!A41:A140,'Customer Info'!J41:J140,0)</f>
        <v>SSW</v>
      </c>
      <c r="J331" s="1" t="b">
        <f>_xlfn.XLOOKUP('Customer Info'!A41,'Customer Info'!A41:A140,'Customer Info'!M41:M140)</f>
        <v>1</v>
      </c>
    </row>
    <row r="332" spans="1:10" ht="14" hidden="1" x14ac:dyDescent="0.2">
      <c r="A332" s="2" t="s">
        <v>16</v>
      </c>
      <c r="B332" s="2">
        <v>14</v>
      </c>
      <c r="C332" s="2">
        <v>3</v>
      </c>
      <c r="D332" s="2">
        <v>2020</v>
      </c>
      <c r="E332" s="2">
        <v>0</v>
      </c>
      <c r="F332" s="2">
        <v>156.55000000000001</v>
      </c>
      <c r="H332" s="1">
        <f>_xlfn.XLOOKUP('Customer Info'!A993,'Customer Info'!A993:A1092,'Customer Info'!E993:E1092,0,0)</f>
        <v>0</v>
      </c>
      <c r="J332" s="1">
        <f>_xlfn.XLOOKUP('Customer Info'!A993,'Customer Info'!A993:A1092,'Customer Info'!M993:M1092)</f>
        <v>0</v>
      </c>
    </row>
    <row r="333" spans="1:10" ht="14" x14ac:dyDescent="0.2">
      <c r="A333" s="2" t="s">
        <v>5</v>
      </c>
      <c r="B333" s="2">
        <v>7</v>
      </c>
      <c r="C333" s="2">
        <v>3</v>
      </c>
      <c r="D333" s="2">
        <v>2021</v>
      </c>
      <c r="E333" s="2">
        <v>0</v>
      </c>
      <c r="F333" s="2">
        <v>156.55000000000001</v>
      </c>
      <c r="H333" s="1">
        <f>_xlfn.XLOOKUP('Customer Info'!A2210,'Customer Info'!A2210:A2309,'Customer Info'!E2210:E2309,0,0)</f>
        <v>0</v>
      </c>
      <c r="J333" s="1">
        <f>_xlfn.XLOOKUP('Customer Info'!A2210,'Customer Info'!A2210:A2309,'Customer Info'!M2210:M2309)</f>
        <v>0</v>
      </c>
    </row>
    <row r="334" spans="1:10" ht="14" x14ac:dyDescent="0.2">
      <c r="A334" s="2" t="s">
        <v>14</v>
      </c>
      <c r="B334" s="2">
        <v>10</v>
      </c>
      <c r="C334" s="2">
        <v>3</v>
      </c>
      <c r="D334" s="2">
        <v>2021</v>
      </c>
      <c r="E334" s="2">
        <v>0</v>
      </c>
      <c r="F334" s="2">
        <v>156.55000000000001</v>
      </c>
      <c r="H334" s="1">
        <f>_xlfn.XLOOKUP('Customer Info'!A2211,'Customer Info'!A2211:A2310,'Customer Info'!E2211:E2310,0,0)</f>
        <v>0</v>
      </c>
      <c r="J334" s="1">
        <f>_xlfn.XLOOKUP('Customer Info'!A2211,'Customer Info'!A2211:A2310,'Customer Info'!M2211:M2310)</f>
        <v>0</v>
      </c>
    </row>
    <row r="335" spans="1:10" ht="14" x14ac:dyDescent="0.2">
      <c r="A335" s="2" t="s">
        <v>29</v>
      </c>
      <c r="B335" s="2">
        <v>20</v>
      </c>
      <c r="C335" s="2">
        <v>2</v>
      </c>
      <c r="D335" s="2">
        <v>2021</v>
      </c>
      <c r="E335" s="2">
        <v>0</v>
      </c>
      <c r="F335" s="2">
        <v>156.52000000000001</v>
      </c>
      <c r="H335" s="1">
        <f>_xlfn.XLOOKUP('Customer Info'!A2212,'Customer Info'!A2212:A2311,'Customer Info'!E2212:E2311,0,0)</f>
        <v>0</v>
      </c>
      <c r="J335" s="1">
        <f>_xlfn.XLOOKUP('Customer Info'!A2212,'Customer Info'!A2212:A2311,'Customer Info'!M2212:M2311)</f>
        <v>0</v>
      </c>
    </row>
    <row r="336" spans="1:10" ht="14" x14ac:dyDescent="0.2">
      <c r="A336" s="2" t="s">
        <v>15</v>
      </c>
      <c r="B336" s="2">
        <v>5</v>
      </c>
      <c r="C336" s="2">
        <v>4</v>
      </c>
      <c r="D336" s="2">
        <v>2021</v>
      </c>
      <c r="E336" s="2">
        <v>0</v>
      </c>
      <c r="F336" s="2">
        <v>156.30000000000001</v>
      </c>
      <c r="H336" s="1">
        <f>_xlfn.XLOOKUP('Customer Info'!A2213,'Customer Info'!A2213:A2312,'Customer Info'!E2213:E2312,0,0)</f>
        <v>0</v>
      </c>
      <c r="J336" s="1">
        <f>_xlfn.XLOOKUP('Customer Info'!A2213,'Customer Info'!A2213:A2312,'Customer Info'!M2213:M2312)</f>
        <v>0</v>
      </c>
    </row>
    <row r="337" spans="1:10" ht="14" x14ac:dyDescent="0.2">
      <c r="A337" s="2" t="s">
        <v>30</v>
      </c>
      <c r="B337" s="2">
        <v>2</v>
      </c>
      <c r="C337" s="2">
        <v>9</v>
      </c>
      <c r="D337" s="2">
        <v>2021</v>
      </c>
      <c r="E337" s="2">
        <v>0</v>
      </c>
      <c r="F337" s="2">
        <v>156.30000000000001</v>
      </c>
      <c r="H337" s="1">
        <f>_xlfn.XLOOKUP('Customer Info'!A2214,'Customer Info'!A2214:A2313,'Customer Info'!E2214:E2313,0,0)</f>
        <v>0</v>
      </c>
      <c r="J337" s="1">
        <f>_xlfn.XLOOKUP('Customer Info'!A2214,'Customer Info'!A2214:A2313,'Customer Info'!M2214:M2313)</f>
        <v>0</v>
      </c>
    </row>
    <row r="338" spans="1:10" ht="14" hidden="1" x14ac:dyDescent="0.2">
      <c r="A338" s="2" t="s">
        <v>18</v>
      </c>
      <c r="B338" s="2">
        <v>5</v>
      </c>
      <c r="C338" s="2">
        <v>3</v>
      </c>
      <c r="D338" s="2">
        <v>2020</v>
      </c>
      <c r="E338" s="2">
        <v>0</v>
      </c>
      <c r="F338" s="2">
        <v>156.24</v>
      </c>
      <c r="H338" s="1">
        <f>_xlfn.XLOOKUP('Customer Info'!A994,'Customer Info'!A994:A1093,'Customer Info'!E994:E1093,0,0)</f>
        <v>0</v>
      </c>
      <c r="J338" s="1">
        <f>_xlfn.XLOOKUP('Customer Info'!A994,'Customer Info'!A994:A1093,'Customer Info'!M994:M1093)</f>
        <v>0</v>
      </c>
    </row>
    <row r="339" spans="1:10" ht="14" hidden="1" x14ac:dyDescent="0.2">
      <c r="A339" s="2" t="s">
        <v>20</v>
      </c>
      <c r="B339" s="2">
        <v>12</v>
      </c>
      <c r="C339" s="2">
        <v>3</v>
      </c>
      <c r="D339" s="2">
        <v>2020</v>
      </c>
      <c r="E339" s="2">
        <v>0</v>
      </c>
      <c r="F339" s="2">
        <v>156.24</v>
      </c>
      <c r="H339" s="1">
        <f>_xlfn.XLOOKUP('Customer Info'!A995,'Customer Info'!A995:A1094,'Customer Info'!E995:E1094,0,0)</f>
        <v>0</v>
      </c>
      <c r="J339" s="1">
        <f>_xlfn.XLOOKUP('Customer Info'!A995,'Customer Info'!A995:A1094,'Customer Info'!M995:M1094)</f>
        <v>0</v>
      </c>
    </row>
    <row r="340" spans="1:10" ht="14" x14ac:dyDescent="0.2">
      <c r="A340" s="2" t="s">
        <v>4</v>
      </c>
      <c r="B340" s="2">
        <v>1</v>
      </c>
      <c r="C340" s="2">
        <v>11</v>
      </c>
      <c r="D340" s="2">
        <v>2021</v>
      </c>
      <c r="E340" s="1" t="s">
        <v>94</v>
      </c>
      <c r="F340" s="2">
        <v>156</v>
      </c>
      <c r="H340" s="1">
        <f>_xlfn.XLOOKUP('Customer Info'!A1237,'Customer Info'!A1237:A1336,'Customer Info'!E1237:E1336,0,0)</f>
        <v>0</v>
      </c>
      <c r="J340" s="1">
        <f>_xlfn.XLOOKUP('Customer Info'!A1237,'Customer Info'!A1237:A1336,'Customer Info'!M1237:M1336)</f>
        <v>0</v>
      </c>
    </row>
    <row r="341" spans="1:10" ht="14" hidden="1" x14ac:dyDescent="0.2">
      <c r="A341" s="2" t="s">
        <v>99</v>
      </c>
      <c r="B341" s="2">
        <v>10</v>
      </c>
      <c r="C341" s="2">
        <v>10</v>
      </c>
      <c r="D341" s="2">
        <v>2020</v>
      </c>
      <c r="E341" s="1" t="s">
        <v>94</v>
      </c>
      <c r="F341" s="2">
        <v>155.93</v>
      </c>
      <c r="H341" s="1">
        <f>_xlfn.XLOOKUP('Customer Info'!A42,'Customer Info'!A42:A141,'Customer Info'!E42:E141,0,0)</f>
        <v>4</v>
      </c>
      <c r="I341" s="1" t="str">
        <f>_xlfn.XLOOKUP('Customer Info'!A42,'Customer Info'!A42:A141,'Customer Info'!J42:J141,0)</f>
        <v>Scottish Gas</v>
      </c>
      <c r="J341" s="1" t="b">
        <f>_xlfn.XLOOKUP('Customer Info'!A42,'Customer Info'!A42:A141,'Customer Info'!M42:M141)</f>
        <v>0</v>
      </c>
    </row>
    <row r="342" spans="1:10" ht="14" x14ac:dyDescent="0.2">
      <c r="A342" s="2" t="s">
        <v>8</v>
      </c>
      <c r="B342" s="2">
        <v>5</v>
      </c>
      <c r="C342" s="2">
        <v>10</v>
      </c>
      <c r="D342" s="2">
        <v>2021</v>
      </c>
      <c r="E342" s="2">
        <v>0</v>
      </c>
      <c r="F342" s="2">
        <v>155.93</v>
      </c>
      <c r="H342" s="1">
        <f>_xlfn.XLOOKUP('Customer Info'!A2215,'Customer Info'!A2215:A2314,'Customer Info'!E2215:E2314,0,0)</f>
        <v>0</v>
      </c>
      <c r="J342" s="1">
        <f>_xlfn.XLOOKUP('Customer Info'!A2215,'Customer Info'!A2215:A2314,'Customer Info'!M2215:M2314)</f>
        <v>0</v>
      </c>
    </row>
    <row r="343" spans="1:10" ht="14" x14ac:dyDescent="0.2">
      <c r="A343" s="2" t="s">
        <v>2</v>
      </c>
      <c r="B343" s="2">
        <v>18</v>
      </c>
      <c r="C343" s="2">
        <v>11</v>
      </c>
      <c r="D343" s="2">
        <v>2021</v>
      </c>
      <c r="E343" s="2">
        <v>0</v>
      </c>
      <c r="F343" s="2">
        <v>155.69999999999999</v>
      </c>
      <c r="H343" s="1">
        <f>_xlfn.XLOOKUP('Customer Info'!A2216,'Customer Info'!A2216:A2315,'Customer Info'!E2216:E2315,0,0)</f>
        <v>0</v>
      </c>
      <c r="J343" s="1">
        <f>_xlfn.XLOOKUP('Customer Info'!A2216,'Customer Info'!A2216:A2315,'Customer Info'!M2216:M2315)</f>
        <v>0</v>
      </c>
    </row>
    <row r="344" spans="1:10" ht="14" hidden="1" x14ac:dyDescent="0.2">
      <c r="A344" s="2" t="s">
        <v>2</v>
      </c>
      <c r="B344" s="2">
        <v>18</v>
      </c>
      <c r="C344" s="2">
        <v>2</v>
      </c>
      <c r="D344" s="2">
        <v>2020</v>
      </c>
      <c r="E344" s="2">
        <v>0</v>
      </c>
      <c r="F344" s="2">
        <v>155.4</v>
      </c>
      <c r="H344" s="1">
        <f>_xlfn.XLOOKUP('Customer Info'!A996,'Customer Info'!A996:A1095,'Customer Info'!E996:E1095,0,0)</f>
        <v>0</v>
      </c>
      <c r="J344" s="1">
        <f>_xlfn.XLOOKUP('Customer Info'!A996,'Customer Info'!A996:A1095,'Customer Info'!M996:M1095)</f>
        <v>0</v>
      </c>
    </row>
    <row r="345" spans="1:10" ht="14" x14ac:dyDescent="0.2">
      <c r="A345" s="2" t="s">
        <v>18</v>
      </c>
      <c r="B345" s="2">
        <v>5</v>
      </c>
      <c r="C345" s="2">
        <v>4</v>
      </c>
      <c r="D345" s="2">
        <v>2021</v>
      </c>
      <c r="E345" s="2">
        <v>0</v>
      </c>
      <c r="F345" s="2">
        <v>155.4</v>
      </c>
      <c r="H345" s="1">
        <f>_xlfn.XLOOKUP('Customer Info'!A2217,'Customer Info'!A2217:A2316,'Customer Info'!E2217:E2316,0,0)</f>
        <v>0</v>
      </c>
      <c r="J345" s="1">
        <f>_xlfn.XLOOKUP('Customer Info'!A2217,'Customer Info'!A2217:A2316,'Customer Info'!M2217:M2316)</f>
        <v>0</v>
      </c>
    </row>
    <row r="346" spans="1:10" ht="14" x14ac:dyDescent="0.2">
      <c r="A346" s="2" t="s">
        <v>29</v>
      </c>
      <c r="B346" s="2">
        <v>20</v>
      </c>
      <c r="C346" s="2">
        <v>4</v>
      </c>
      <c r="D346" s="2">
        <v>2021</v>
      </c>
      <c r="E346" s="2">
        <v>0</v>
      </c>
      <c r="F346" s="2">
        <v>155.4</v>
      </c>
      <c r="H346" s="1">
        <f>_xlfn.XLOOKUP('Customer Info'!A2218,'Customer Info'!A2218:A2317,'Customer Info'!E2218:E2317,0,0)</f>
        <v>0</v>
      </c>
      <c r="J346" s="1">
        <f>_xlfn.XLOOKUP('Customer Info'!A2218,'Customer Info'!A2218:A2317,'Customer Info'!M2218:M2317)</f>
        <v>0</v>
      </c>
    </row>
    <row r="347" spans="1:10" ht="14" hidden="1" x14ac:dyDescent="0.2">
      <c r="A347" s="2" t="s">
        <v>5</v>
      </c>
      <c r="B347" s="2">
        <v>7</v>
      </c>
      <c r="C347" s="2">
        <v>1</v>
      </c>
      <c r="D347" s="2">
        <v>2020</v>
      </c>
      <c r="E347" s="2">
        <v>0</v>
      </c>
      <c r="F347" s="2">
        <v>155.31</v>
      </c>
      <c r="H347" s="1">
        <f>_xlfn.XLOOKUP('Customer Info'!A997,'Customer Info'!A997:A1096,'Customer Info'!E997:E1096,0,0)</f>
        <v>0</v>
      </c>
      <c r="J347" s="1">
        <f>_xlfn.XLOOKUP('Customer Info'!A997,'Customer Info'!A997:A1096,'Customer Info'!M997:M1096)</f>
        <v>0</v>
      </c>
    </row>
    <row r="348" spans="1:10" ht="14" hidden="1" x14ac:dyDescent="0.2">
      <c r="A348" s="2" t="s">
        <v>29</v>
      </c>
      <c r="B348" s="2">
        <v>20</v>
      </c>
      <c r="C348" s="2">
        <v>3</v>
      </c>
      <c r="D348" s="2">
        <v>2020</v>
      </c>
      <c r="E348" s="2">
        <v>0</v>
      </c>
      <c r="F348" s="2">
        <v>155.31</v>
      </c>
      <c r="H348" s="1">
        <f>_xlfn.XLOOKUP('Customer Info'!A998,'Customer Info'!A998:A1097,'Customer Info'!E998:E1097,0,0)</f>
        <v>0</v>
      </c>
      <c r="J348" s="1">
        <f>_xlfn.XLOOKUP('Customer Info'!A998,'Customer Info'!A998:A1097,'Customer Info'!M998:M1097)</f>
        <v>0</v>
      </c>
    </row>
    <row r="349" spans="1:10" ht="14" hidden="1" x14ac:dyDescent="0.2">
      <c r="A349" s="2" t="s">
        <v>1</v>
      </c>
      <c r="B349" s="2">
        <v>21</v>
      </c>
      <c r="C349" s="2">
        <v>2</v>
      </c>
      <c r="D349" s="2">
        <v>2020</v>
      </c>
      <c r="E349" s="2">
        <v>0</v>
      </c>
      <c r="F349" s="2">
        <v>155.12</v>
      </c>
      <c r="H349" s="1">
        <f>_xlfn.XLOOKUP('Customer Info'!A999,'Customer Info'!A999:A1098,'Customer Info'!E999:E1098,0,0)</f>
        <v>0</v>
      </c>
      <c r="J349" s="1">
        <f>_xlfn.XLOOKUP('Customer Info'!A999,'Customer Info'!A999:A1098,'Customer Info'!M999:M1098)</f>
        <v>0</v>
      </c>
    </row>
    <row r="350" spans="1:10" ht="14" hidden="1" x14ac:dyDescent="0.2">
      <c r="A350" s="2" t="s">
        <v>32</v>
      </c>
      <c r="B350" s="2">
        <v>17</v>
      </c>
      <c r="C350" s="2">
        <v>7</v>
      </c>
      <c r="D350" s="2">
        <v>2020</v>
      </c>
      <c r="E350" s="2">
        <v>0</v>
      </c>
      <c r="F350" s="2">
        <v>155</v>
      </c>
      <c r="H350" s="1">
        <f>_xlfn.XLOOKUP('Customer Info'!A1000,'Customer Info'!A1000:A1099,'Customer Info'!E1000:E1099,0,0)</f>
        <v>0</v>
      </c>
      <c r="J350" s="1">
        <f>_xlfn.XLOOKUP('Customer Info'!A1000,'Customer Info'!A1000:A1099,'Customer Info'!M1000:M1099)</f>
        <v>0</v>
      </c>
    </row>
    <row r="351" spans="1:10" ht="14" hidden="1" x14ac:dyDescent="0.2">
      <c r="A351" s="2" t="s">
        <v>32</v>
      </c>
      <c r="B351" s="2">
        <v>17</v>
      </c>
      <c r="C351" s="2">
        <v>8</v>
      </c>
      <c r="D351" s="2">
        <v>2020</v>
      </c>
      <c r="E351" s="2">
        <v>0</v>
      </c>
      <c r="F351" s="2">
        <v>155</v>
      </c>
      <c r="H351" s="1">
        <f>_xlfn.XLOOKUP('Customer Info'!A1001,'Customer Info'!A1001:A1100,'Customer Info'!E1001:E1100,0,0)</f>
        <v>0</v>
      </c>
      <c r="J351" s="1">
        <f>_xlfn.XLOOKUP('Customer Info'!A1001,'Customer Info'!A1001:A1100,'Customer Info'!M1001:M1100)</f>
        <v>0</v>
      </c>
    </row>
    <row r="352" spans="1:10" ht="14" x14ac:dyDescent="0.2">
      <c r="A352" s="2" t="s">
        <v>31</v>
      </c>
      <c r="B352" s="2">
        <v>14</v>
      </c>
      <c r="C352" s="2">
        <v>5</v>
      </c>
      <c r="D352" s="2">
        <v>2021</v>
      </c>
      <c r="E352" s="2">
        <v>0</v>
      </c>
      <c r="F352" s="2">
        <v>155</v>
      </c>
      <c r="H352" s="1">
        <f>_xlfn.XLOOKUP('Customer Info'!A2219,'Customer Info'!A2219:A2318,'Customer Info'!E2219:E2318,0,0)</f>
        <v>0</v>
      </c>
      <c r="J352" s="1">
        <f>_xlfn.XLOOKUP('Customer Info'!A2219,'Customer Info'!A2219:A2318,'Customer Info'!M2219:M2318)</f>
        <v>0</v>
      </c>
    </row>
    <row r="353" spans="1:10" ht="14" x14ac:dyDescent="0.2">
      <c r="A353" s="2" t="s">
        <v>4</v>
      </c>
      <c r="B353" s="2">
        <v>1</v>
      </c>
      <c r="C353" s="2">
        <v>2</v>
      </c>
      <c r="D353" s="2">
        <v>2021</v>
      </c>
      <c r="E353" s="2">
        <v>0</v>
      </c>
      <c r="F353" s="2">
        <v>154.84</v>
      </c>
      <c r="H353" s="1">
        <f>_xlfn.XLOOKUP('Customer Info'!A2220,'Customer Info'!A2220:A2319,'Customer Info'!E2220:E2319,0,0)</f>
        <v>0</v>
      </c>
      <c r="J353" s="1">
        <f>_xlfn.XLOOKUP('Customer Info'!A2220,'Customer Info'!A2220:A2319,'Customer Info'!M2220:M2319)</f>
        <v>0</v>
      </c>
    </row>
    <row r="354" spans="1:10" ht="14" x14ac:dyDescent="0.2">
      <c r="A354" s="2" t="s">
        <v>31</v>
      </c>
      <c r="B354" s="2">
        <v>14</v>
      </c>
      <c r="C354" s="2">
        <v>7</v>
      </c>
      <c r="D354" s="2">
        <v>2021</v>
      </c>
      <c r="E354" s="2">
        <v>0</v>
      </c>
      <c r="F354" s="2">
        <v>154.69</v>
      </c>
      <c r="H354" s="1">
        <f>_xlfn.XLOOKUP('Customer Info'!A2221,'Customer Info'!A2221:A2320,'Customer Info'!E2221:E2320,0,0)</f>
        <v>0</v>
      </c>
      <c r="J354" s="1">
        <f>_xlfn.XLOOKUP('Customer Info'!A2221,'Customer Info'!A2221:A2320,'Customer Info'!M2221:M2320)</f>
        <v>0</v>
      </c>
    </row>
    <row r="355" spans="1:10" ht="14" x14ac:dyDescent="0.2">
      <c r="A355" s="2" t="s">
        <v>23</v>
      </c>
      <c r="B355" s="2">
        <v>5</v>
      </c>
      <c r="C355" s="2">
        <v>10</v>
      </c>
      <c r="D355" s="2">
        <v>2021</v>
      </c>
      <c r="E355" s="2">
        <v>0</v>
      </c>
      <c r="F355" s="2">
        <v>154.69</v>
      </c>
      <c r="H355" s="1">
        <f>_xlfn.XLOOKUP('Customer Info'!A2222,'Customer Info'!A2222:A2321,'Customer Info'!E2222:E2321,0,0)</f>
        <v>0</v>
      </c>
      <c r="J355" s="1">
        <f>_xlfn.XLOOKUP('Customer Info'!A2222,'Customer Info'!A2222:A2321,'Customer Info'!M2222:M2321)</f>
        <v>0</v>
      </c>
    </row>
    <row r="356" spans="1:10" ht="14" hidden="1" x14ac:dyDescent="0.2">
      <c r="A356" s="2" t="s">
        <v>12</v>
      </c>
      <c r="B356" s="2">
        <v>2</v>
      </c>
      <c r="C356" s="2">
        <v>2</v>
      </c>
      <c r="D356" s="2">
        <v>2020</v>
      </c>
      <c r="E356" s="2">
        <v>0</v>
      </c>
      <c r="F356" s="2">
        <v>154.56</v>
      </c>
      <c r="H356" s="1">
        <f>_xlfn.XLOOKUP('Customer Info'!A1002,'Customer Info'!A1002:A1101,'Customer Info'!E1002:E1101,0,0)</f>
        <v>0</v>
      </c>
      <c r="J356" s="1">
        <f>_xlfn.XLOOKUP('Customer Info'!A1002,'Customer Info'!A1002:A1101,'Customer Info'!M1002:M1101)</f>
        <v>0</v>
      </c>
    </row>
    <row r="357" spans="1:10" ht="14" hidden="1" x14ac:dyDescent="0.2">
      <c r="A357" s="2" t="s">
        <v>25</v>
      </c>
      <c r="B357" s="2">
        <v>8</v>
      </c>
      <c r="C357" s="2">
        <v>4</v>
      </c>
      <c r="D357" s="2">
        <v>2020</v>
      </c>
      <c r="E357" s="1" t="s">
        <v>94</v>
      </c>
      <c r="F357" s="2">
        <v>154.5</v>
      </c>
      <c r="H357" s="1">
        <f>_xlfn.XLOOKUP('Customer Info'!A43,'Customer Info'!A43:A142,'Customer Info'!E43:E142,0,0)</f>
        <v>4</v>
      </c>
      <c r="I357" s="1" t="str">
        <f>_xlfn.XLOOKUP('Customer Info'!A43,'Customer Info'!A43:A142,'Customer Info'!J43:J142,0)</f>
        <v>Mpower</v>
      </c>
      <c r="J357" s="1" t="b">
        <f>_xlfn.XLOOKUP('Customer Info'!A43,'Customer Info'!A43:A142,'Customer Info'!M43:M142)</f>
        <v>0</v>
      </c>
    </row>
    <row r="358" spans="1:10" ht="14" hidden="1" x14ac:dyDescent="0.2">
      <c r="A358" s="2" t="s">
        <v>99</v>
      </c>
      <c r="B358" s="2">
        <v>10</v>
      </c>
      <c r="C358" s="2">
        <v>11</v>
      </c>
      <c r="D358" s="2">
        <v>2020</v>
      </c>
      <c r="E358" s="1" t="s">
        <v>94</v>
      </c>
      <c r="F358" s="2">
        <v>154.5</v>
      </c>
      <c r="H358" s="1">
        <f>_xlfn.XLOOKUP('Customer Info'!A44,'Customer Info'!A44:A143,'Customer Info'!E44:E143,0,0)</f>
        <v>3</v>
      </c>
      <c r="I358" s="1" t="str">
        <f>_xlfn.XLOOKUP('Customer Info'!A44,'Customer Info'!A44:A143,'Customer Info'!J44:J143,0)</f>
        <v>SSW</v>
      </c>
      <c r="J358" s="1" t="b">
        <f>_xlfn.XLOOKUP('Customer Info'!A44,'Customer Info'!A44:A143,'Customer Info'!M44:M143)</f>
        <v>0</v>
      </c>
    </row>
    <row r="359" spans="1:10" ht="14" hidden="1" x14ac:dyDescent="0.2">
      <c r="A359" s="2" t="s">
        <v>9</v>
      </c>
      <c r="B359" s="2">
        <v>22</v>
      </c>
      <c r="C359" s="2">
        <v>12</v>
      </c>
      <c r="D359" s="2">
        <v>2020</v>
      </c>
      <c r="E359" s="2">
        <v>0</v>
      </c>
      <c r="F359" s="2">
        <v>154.38</v>
      </c>
      <c r="H359" s="1">
        <f>_xlfn.XLOOKUP('Customer Info'!A1003,'Customer Info'!A1003:A1102,'Customer Info'!E1003:E1102,0,0)</f>
        <v>0</v>
      </c>
      <c r="J359" s="1">
        <f>_xlfn.XLOOKUP('Customer Info'!A1003,'Customer Info'!A1003:A1102,'Customer Info'!M1003:M1102)</f>
        <v>0</v>
      </c>
    </row>
    <row r="360" spans="1:10" ht="14" x14ac:dyDescent="0.2">
      <c r="A360" s="2" t="s">
        <v>16</v>
      </c>
      <c r="B360" s="2">
        <v>14</v>
      </c>
      <c r="C360" s="2">
        <v>3</v>
      </c>
      <c r="D360" s="2">
        <v>2021</v>
      </c>
      <c r="E360" s="2">
        <v>0</v>
      </c>
      <c r="F360" s="2">
        <v>154.38</v>
      </c>
      <c r="H360" s="1">
        <f>_xlfn.XLOOKUP('Customer Info'!A2223,'Customer Info'!A2223:A2322,'Customer Info'!E2223:E2322,0,0)</f>
        <v>0</v>
      </c>
      <c r="J360" s="1">
        <f>_xlfn.XLOOKUP('Customer Info'!A2223,'Customer Info'!A2223:A2322,'Customer Info'!M2223:M2322)</f>
        <v>0</v>
      </c>
    </row>
    <row r="361" spans="1:10" ht="14" x14ac:dyDescent="0.2">
      <c r="A361" s="2" t="s">
        <v>5</v>
      </c>
      <c r="B361" s="2">
        <v>7</v>
      </c>
      <c r="C361" s="2">
        <v>10</v>
      </c>
      <c r="D361" s="2">
        <v>2021</v>
      </c>
      <c r="E361" s="2">
        <v>0</v>
      </c>
      <c r="F361" s="2">
        <v>154.38</v>
      </c>
      <c r="H361" s="1">
        <f>_xlfn.XLOOKUP('Customer Info'!A2224,'Customer Info'!A2224:A2323,'Customer Info'!E2224:E2323,0,0)</f>
        <v>0</v>
      </c>
      <c r="J361" s="1">
        <f>_xlfn.XLOOKUP('Customer Info'!A2224,'Customer Info'!A2224:A2323,'Customer Info'!M2224:M2323)</f>
        <v>0</v>
      </c>
    </row>
    <row r="362" spans="1:10" ht="14" hidden="1" x14ac:dyDescent="0.2">
      <c r="A362" s="2" t="s">
        <v>31</v>
      </c>
      <c r="B362" s="2">
        <v>14</v>
      </c>
      <c r="C362" s="2">
        <v>6</v>
      </c>
      <c r="D362" s="2">
        <v>2020</v>
      </c>
      <c r="E362" s="2">
        <v>0</v>
      </c>
      <c r="F362" s="2">
        <v>154.19999999999999</v>
      </c>
      <c r="H362" s="1">
        <f>_xlfn.XLOOKUP('Customer Info'!A1004,'Customer Info'!A1004:A1103,'Customer Info'!E1004:E1103,0,0)</f>
        <v>0</v>
      </c>
      <c r="J362" s="1">
        <f>_xlfn.XLOOKUP('Customer Info'!A1004,'Customer Info'!A1004:A1103,'Customer Info'!M1004:M1103)</f>
        <v>0</v>
      </c>
    </row>
    <row r="363" spans="1:10" ht="14" hidden="1" x14ac:dyDescent="0.2">
      <c r="A363" s="2" t="s">
        <v>31</v>
      </c>
      <c r="B363" s="2">
        <v>14</v>
      </c>
      <c r="C363" s="2">
        <v>9</v>
      </c>
      <c r="D363" s="2">
        <v>2020</v>
      </c>
      <c r="E363" s="2">
        <v>0</v>
      </c>
      <c r="F363" s="2">
        <v>154.19999999999999</v>
      </c>
      <c r="H363" s="1">
        <f>_xlfn.XLOOKUP('Customer Info'!A1005,'Customer Info'!A1005:A1104,'Customer Info'!E1005:E1104,0,0)</f>
        <v>0</v>
      </c>
      <c r="J363" s="1">
        <f>_xlfn.XLOOKUP('Customer Info'!A1005,'Customer Info'!A1005:A1104,'Customer Info'!M1005:M1104)</f>
        <v>0</v>
      </c>
    </row>
    <row r="364" spans="1:10" ht="14" hidden="1" x14ac:dyDescent="0.2">
      <c r="A364" s="2" t="s">
        <v>9</v>
      </c>
      <c r="B364" s="2">
        <v>22</v>
      </c>
      <c r="C364" s="2">
        <v>1</v>
      </c>
      <c r="D364" s="2">
        <v>2020</v>
      </c>
      <c r="E364" s="2">
        <v>0</v>
      </c>
      <c r="F364" s="2">
        <v>154.07</v>
      </c>
      <c r="H364" s="1">
        <f>_xlfn.XLOOKUP('Customer Info'!A1006,'Customer Info'!A1006:A1105,'Customer Info'!E1006:E1105,0,0)</f>
        <v>0</v>
      </c>
      <c r="J364" s="1">
        <f>_xlfn.XLOOKUP('Customer Info'!A1006,'Customer Info'!A1006:A1105,'Customer Info'!M1006:M1105)</f>
        <v>0</v>
      </c>
    </row>
    <row r="365" spans="1:10" ht="14" hidden="1" x14ac:dyDescent="0.2">
      <c r="A365" s="2" t="s">
        <v>14</v>
      </c>
      <c r="B365" s="2">
        <v>10</v>
      </c>
      <c r="C365" s="2">
        <v>10</v>
      </c>
      <c r="D365" s="2">
        <v>2020</v>
      </c>
      <c r="E365" s="2">
        <v>0</v>
      </c>
      <c r="F365" s="2">
        <v>154.07</v>
      </c>
      <c r="H365" s="1">
        <f>_xlfn.XLOOKUP('Customer Info'!A1007,'Customer Info'!A1007:A1106,'Customer Info'!E1007:E1106,0,0)</f>
        <v>0</v>
      </c>
      <c r="J365" s="1">
        <f>_xlfn.XLOOKUP('Customer Info'!A1007,'Customer Info'!A1007:A1106,'Customer Info'!M1007:M1106)</f>
        <v>0</v>
      </c>
    </row>
    <row r="366" spans="1:10" ht="14" x14ac:dyDescent="0.2">
      <c r="A366" s="2" t="s">
        <v>3</v>
      </c>
      <c r="B366" s="2">
        <v>25</v>
      </c>
      <c r="C366" s="2">
        <v>1</v>
      </c>
      <c r="D366" s="2">
        <v>2021</v>
      </c>
      <c r="E366" s="2">
        <v>0</v>
      </c>
      <c r="F366" s="2">
        <v>154.07</v>
      </c>
      <c r="H366" s="1">
        <f>_xlfn.XLOOKUP('Customer Info'!A2225,'Customer Info'!A2225:A2324,'Customer Info'!E2225:E2324,0,0)</f>
        <v>0</v>
      </c>
      <c r="J366" s="1">
        <f>_xlfn.XLOOKUP('Customer Info'!A2225,'Customer Info'!A2225:A2324,'Customer Info'!M2225:M2324)</f>
        <v>0</v>
      </c>
    </row>
    <row r="367" spans="1:10" ht="14" hidden="1" x14ac:dyDescent="0.2">
      <c r="A367" s="2" t="s">
        <v>13</v>
      </c>
      <c r="B367" s="2">
        <v>7</v>
      </c>
      <c r="C367" s="2">
        <v>10</v>
      </c>
      <c r="D367" s="2">
        <v>2020</v>
      </c>
      <c r="E367" s="2">
        <v>0</v>
      </c>
      <c r="F367" s="2">
        <v>153.76</v>
      </c>
      <c r="H367" s="1">
        <f>_xlfn.XLOOKUP('Customer Info'!A1008,'Customer Info'!A1008:A1107,'Customer Info'!E1008:E1107,0,0)</f>
        <v>0</v>
      </c>
      <c r="J367" s="1">
        <f>_xlfn.XLOOKUP('Customer Info'!A1008,'Customer Info'!A1008:A1107,'Customer Info'!M1008:M1107)</f>
        <v>0</v>
      </c>
    </row>
    <row r="368" spans="1:10" ht="14" hidden="1" x14ac:dyDescent="0.2">
      <c r="A368" s="2" t="s">
        <v>15</v>
      </c>
      <c r="B368" s="2">
        <v>5</v>
      </c>
      <c r="C368" s="2">
        <v>3</v>
      </c>
      <c r="D368" s="2">
        <v>2020</v>
      </c>
      <c r="E368" s="1" t="s">
        <v>94</v>
      </c>
      <c r="F368" s="2">
        <v>153.44999999999999</v>
      </c>
      <c r="H368" s="1">
        <f>_xlfn.XLOOKUP('Customer Info'!A45,'Customer Info'!A45:A144,'Customer Info'!E45:E144,0,0)</f>
        <v>4</v>
      </c>
      <c r="I368" s="1" t="str">
        <f>_xlfn.XLOOKUP('Customer Info'!A45,'Customer Info'!A45:A144,'Customer Info'!J45:J144,0)</f>
        <v>SSW</v>
      </c>
      <c r="J368" s="1" t="b">
        <f>_xlfn.XLOOKUP('Customer Info'!A45,'Customer Info'!A45:A144,'Customer Info'!M45:M144)</f>
        <v>0</v>
      </c>
    </row>
    <row r="369" spans="1:10" ht="14" x14ac:dyDescent="0.2">
      <c r="A369" s="2" t="s">
        <v>100</v>
      </c>
      <c r="B369" s="2">
        <v>1</v>
      </c>
      <c r="C369" s="2">
        <v>2</v>
      </c>
      <c r="D369" s="2">
        <v>2021</v>
      </c>
      <c r="E369" s="1" t="s">
        <v>94</v>
      </c>
      <c r="F369" s="2">
        <v>153.44</v>
      </c>
      <c r="H369" s="1">
        <f>_xlfn.XLOOKUP('Customer Info'!A1238,'Customer Info'!A1238:A1337,'Customer Info'!E1238:E1337,0,0)</f>
        <v>0</v>
      </c>
      <c r="J369" s="1">
        <f>_xlfn.XLOOKUP('Customer Info'!A1238,'Customer Info'!A1238:A1337,'Customer Info'!M1238:M1337)</f>
        <v>0</v>
      </c>
    </row>
    <row r="370" spans="1:10" ht="14" x14ac:dyDescent="0.2">
      <c r="A370" s="2" t="s">
        <v>20</v>
      </c>
      <c r="B370" s="2">
        <v>12</v>
      </c>
      <c r="C370" s="2">
        <v>4</v>
      </c>
      <c r="D370" s="2">
        <v>2021</v>
      </c>
      <c r="E370" s="2">
        <v>0</v>
      </c>
      <c r="F370" s="2">
        <v>153.30000000000001</v>
      </c>
      <c r="H370" s="1">
        <f>_xlfn.XLOOKUP('Customer Info'!A2226,'Customer Info'!A2226:A2325,'Customer Info'!E2226:E2325,0,0)</f>
        <v>0</v>
      </c>
      <c r="J370" s="1">
        <f>_xlfn.XLOOKUP('Customer Info'!A2226,'Customer Info'!A2226:A2325,'Customer Info'!M2226:M2325)</f>
        <v>0</v>
      </c>
    </row>
    <row r="371" spans="1:10" ht="14" hidden="1" x14ac:dyDescent="0.2">
      <c r="A371" s="2" t="s">
        <v>99</v>
      </c>
      <c r="B371" s="2">
        <v>10</v>
      </c>
      <c r="C371" s="2">
        <v>3</v>
      </c>
      <c r="D371" s="2">
        <v>2020</v>
      </c>
      <c r="E371" s="1" t="s">
        <v>94</v>
      </c>
      <c r="F371" s="2">
        <v>153.13999999999999</v>
      </c>
      <c r="H371" s="1">
        <f>_xlfn.XLOOKUP('Customer Info'!A46,'Customer Info'!A46:A145,'Customer Info'!E46:E145,0,0)</f>
        <v>3</v>
      </c>
      <c r="I371" s="1" t="str">
        <f>_xlfn.XLOOKUP('Customer Info'!A46,'Customer Info'!A46:A145,'Customer Info'!J46:J145,0)</f>
        <v>Scottish Gas</v>
      </c>
      <c r="J371" s="1" t="b">
        <f>_xlfn.XLOOKUP('Customer Info'!A46,'Customer Info'!A46:A145,'Customer Info'!M46:M145)</f>
        <v>0</v>
      </c>
    </row>
    <row r="372" spans="1:10" ht="14" hidden="1" x14ac:dyDescent="0.2">
      <c r="A372" s="2" t="s">
        <v>14</v>
      </c>
      <c r="B372" s="2">
        <v>10</v>
      </c>
      <c r="C372" s="2">
        <v>3</v>
      </c>
      <c r="D372" s="2">
        <v>2020</v>
      </c>
      <c r="E372" s="2">
        <v>0</v>
      </c>
      <c r="F372" s="2">
        <v>153.13999999999999</v>
      </c>
      <c r="H372" s="1">
        <f>_xlfn.XLOOKUP('Customer Info'!A1009,'Customer Info'!A1009:A1108,'Customer Info'!E1009:E1108,0,0)</f>
        <v>0</v>
      </c>
      <c r="J372" s="1">
        <f>_xlfn.XLOOKUP('Customer Info'!A1009,'Customer Info'!A1009:A1108,'Customer Info'!M1009:M1108)</f>
        <v>0</v>
      </c>
    </row>
    <row r="373" spans="1:10" ht="14" x14ac:dyDescent="0.2">
      <c r="A373" s="2" t="s">
        <v>12</v>
      </c>
      <c r="B373" s="2">
        <v>2</v>
      </c>
      <c r="C373" s="2">
        <v>3</v>
      </c>
      <c r="D373" s="2">
        <v>2021</v>
      </c>
      <c r="E373" s="2">
        <v>0</v>
      </c>
      <c r="F373" s="2">
        <v>153.13999999999999</v>
      </c>
      <c r="H373" s="1">
        <f>_xlfn.XLOOKUP('Customer Info'!A2227,'Customer Info'!A2227:A2326,'Customer Info'!E2227:E2326,0,0)</f>
        <v>0</v>
      </c>
      <c r="J373" s="1">
        <f>_xlfn.XLOOKUP('Customer Info'!A2227,'Customer Info'!A2227:A2326,'Customer Info'!M2227:M2326)</f>
        <v>0</v>
      </c>
    </row>
    <row r="374" spans="1:10" ht="14" x14ac:dyDescent="0.2">
      <c r="A374" s="2" t="s">
        <v>22</v>
      </c>
      <c r="B374" s="2">
        <v>22</v>
      </c>
      <c r="C374" s="2">
        <v>5</v>
      </c>
      <c r="D374" s="2">
        <v>2021</v>
      </c>
      <c r="E374" s="2">
        <v>0</v>
      </c>
      <c r="F374" s="2">
        <v>153.13999999999999</v>
      </c>
      <c r="H374" s="1">
        <f>_xlfn.XLOOKUP('Customer Info'!A2228,'Customer Info'!A2228:A2327,'Customer Info'!E2228:E2327,0,0)</f>
        <v>0</v>
      </c>
      <c r="J374" s="1">
        <f>_xlfn.XLOOKUP('Customer Info'!A2228,'Customer Info'!A2228:A2327,'Customer Info'!M2228:M2327)</f>
        <v>0</v>
      </c>
    </row>
    <row r="375" spans="1:10" ht="14" hidden="1" x14ac:dyDescent="0.2">
      <c r="A375" s="2" t="s">
        <v>9</v>
      </c>
      <c r="B375" s="2">
        <v>22</v>
      </c>
      <c r="C375" s="2">
        <v>11</v>
      </c>
      <c r="D375" s="2">
        <v>2020</v>
      </c>
      <c r="E375" s="2">
        <v>0</v>
      </c>
      <c r="F375" s="2">
        <v>153</v>
      </c>
      <c r="H375" s="1">
        <f>_xlfn.XLOOKUP('Customer Info'!A1010,'Customer Info'!A1010:A1109,'Customer Info'!E1010:E1109,0,0)</f>
        <v>0</v>
      </c>
      <c r="J375" s="1">
        <f>_xlfn.XLOOKUP('Customer Info'!A1010,'Customer Info'!A1010:A1109,'Customer Info'!M1010:M1109)</f>
        <v>0</v>
      </c>
    </row>
    <row r="376" spans="1:10" ht="14" x14ac:dyDescent="0.2">
      <c r="A376" s="2" t="s">
        <v>31</v>
      </c>
      <c r="B376" s="2">
        <v>14</v>
      </c>
      <c r="C376" s="2">
        <v>8</v>
      </c>
      <c r="D376" s="2">
        <v>2021</v>
      </c>
      <c r="E376" s="2">
        <v>0</v>
      </c>
      <c r="F376" s="2">
        <v>152.83000000000001</v>
      </c>
      <c r="H376" s="1">
        <f>_xlfn.XLOOKUP('Customer Info'!A2229,'Customer Info'!A2229:A2328,'Customer Info'!E2229:E2328,0,0)</f>
        <v>0</v>
      </c>
      <c r="J376" s="1">
        <f>_xlfn.XLOOKUP('Customer Info'!A2229,'Customer Info'!A2229:A2328,'Customer Info'!M2229:M2328)</f>
        <v>0</v>
      </c>
    </row>
    <row r="377" spans="1:10" ht="14" hidden="1" x14ac:dyDescent="0.2">
      <c r="A377" s="2" t="s">
        <v>14</v>
      </c>
      <c r="B377" s="2">
        <v>10</v>
      </c>
      <c r="C377" s="2">
        <v>4</v>
      </c>
      <c r="D377" s="2">
        <v>2020</v>
      </c>
      <c r="E377" s="2">
        <v>0</v>
      </c>
      <c r="F377" s="2">
        <v>152.69999999999999</v>
      </c>
      <c r="H377" s="1">
        <f>_xlfn.XLOOKUP('Customer Info'!A1011,'Customer Info'!A1011:A1110,'Customer Info'!E1011:E1110,0,0)</f>
        <v>0</v>
      </c>
      <c r="J377" s="1">
        <f>_xlfn.XLOOKUP('Customer Info'!A1011,'Customer Info'!A1011:A1110,'Customer Info'!M1011:M1110)</f>
        <v>0</v>
      </c>
    </row>
    <row r="378" spans="1:10" ht="14" x14ac:dyDescent="0.2">
      <c r="A378" s="2" t="s">
        <v>3</v>
      </c>
      <c r="B378" s="2">
        <v>25</v>
      </c>
      <c r="C378" s="2">
        <v>2</v>
      </c>
      <c r="D378" s="2">
        <v>2021</v>
      </c>
      <c r="E378" s="2">
        <v>0</v>
      </c>
      <c r="F378" s="2">
        <v>152.6</v>
      </c>
      <c r="H378" s="1">
        <f>_xlfn.XLOOKUP('Customer Info'!A2230,'Customer Info'!A2230:A2329,'Customer Info'!E2230:E2329,0,0)</f>
        <v>0</v>
      </c>
      <c r="J378" s="1">
        <f>_xlfn.XLOOKUP('Customer Info'!A2230,'Customer Info'!A2230:A2329,'Customer Info'!M2230:M2329)</f>
        <v>0</v>
      </c>
    </row>
    <row r="379" spans="1:10" ht="14" hidden="1" x14ac:dyDescent="0.2">
      <c r="A379" s="2" t="s">
        <v>100</v>
      </c>
      <c r="B379" s="2">
        <v>1</v>
      </c>
      <c r="C379" s="2">
        <v>3</v>
      </c>
      <c r="D379" s="2">
        <v>2020</v>
      </c>
      <c r="E379" s="1" t="s">
        <v>94</v>
      </c>
      <c r="F379" s="2">
        <v>152.52000000000001</v>
      </c>
      <c r="H379" s="1">
        <f>_xlfn.XLOOKUP('Customer Info'!A47,'Customer Info'!A47:A146,'Customer Info'!E47:E146,0,0)</f>
        <v>3</v>
      </c>
      <c r="I379" s="1" t="str">
        <f>_xlfn.XLOOKUP('Customer Info'!A47,'Customer Info'!A47:A146,'Customer Info'!J47:J146,0)</f>
        <v>SSW</v>
      </c>
      <c r="J379" s="1" t="b">
        <f>_xlfn.XLOOKUP('Customer Info'!A47,'Customer Info'!A47:A146,'Customer Info'!M47:M146)</f>
        <v>0</v>
      </c>
    </row>
    <row r="380" spans="1:10" ht="14" hidden="1" x14ac:dyDescent="0.2">
      <c r="A380" s="2" t="s">
        <v>22</v>
      </c>
      <c r="B380" s="2">
        <v>22</v>
      </c>
      <c r="C380" s="2">
        <v>3</v>
      </c>
      <c r="D380" s="2">
        <v>2020</v>
      </c>
      <c r="E380" s="2">
        <v>0</v>
      </c>
      <c r="F380" s="2">
        <v>152.52000000000001</v>
      </c>
      <c r="H380" s="1">
        <f>_xlfn.XLOOKUP('Customer Info'!A1012,'Customer Info'!A1012:A1111,'Customer Info'!E1012:E1111,0,0)</f>
        <v>0</v>
      </c>
      <c r="J380" s="1">
        <f>_xlfn.XLOOKUP('Customer Info'!A1012,'Customer Info'!A1012:A1111,'Customer Info'!M1012:M1111)</f>
        <v>0</v>
      </c>
    </row>
    <row r="381" spans="1:10" ht="14" hidden="1" x14ac:dyDescent="0.2">
      <c r="A381" s="2" t="s">
        <v>31</v>
      </c>
      <c r="B381" s="2">
        <v>14</v>
      </c>
      <c r="C381" s="2">
        <v>8</v>
      </c>
      <c r="D381" s="2">
        <v>2020</v>
      </c>
      <c r="E381" s="2">
        <v>0</v>
      </c>
      <c r="F381" s="2">
        <v>152.52000000000001</v>
      </c>
      <c r="H381" s="1">
        <f>_xlfn.XLOOKUP('Customer Info'!A1013,'Customer Info'!A1013:A1112,'Customer Info'!E1013:E1112,0,0)</f>
        <v>0</v>
      </c>
      <c r="J381" s="1">
        <f>_xlfn.XLOOKUP('Customer Info'!A1013,'Customer Info'!A1013:A1112,'Customer Info'!M1013:M1112)</f>
        <v>0</v>
      </c>
    </row>
    <row r="382" spans="1:10" ht="14" x14ac:dyDescent="0.2">
      <c r="A382" s="2" t="s">
        <v>24</v>
      </c>
      <c r="B382" s="2">
        <v>22</v>
      </c>
      <c r="C382" s="2">
        <v>10</v>
      </c>
      <c r="D382" s="2">
        <v>2021</v>
      </c>
      <c r="E382" s="2">
        <v>0</v>
      </c>
      <c r="F382" s="2">
        <v>152.52000000000001</v>
      </c>
      <c r="H382" s="1">
        <f>_xlfn.XLOOKUP('Customer Info'!A2231,'Customer Info'!A2231:A2330,'Customer Info'!E2231:E2330,0,0)</f>
        <v>0</v>
      </c>
      <c r="J382" s="1">
        <f>_xlfn.XLOOKUP('Customer Info'!A2231,'Customer Info'!A2231:A2330,'Customer Info'!M2231:M2330)</f>
        <v>0</v>
      </c>
    </row>
    <row r="383" spans="1:10" ht="14" x14ac:dyDescent="0.2">
      <c r="A383" s="2" t="s">
        <v>16</v>
      </c>
      <c r="B383" s="2">
        <v>14</v>
      </c>
      <c r="C383" s="2">
        <v>2</v>
      </c>
      <c r="D383" s="2">
        <v>2021</v>
      </c>
      <c r="E383" s="2">
        <v>0</v>
      </c>
      <c r="F383" s="2">
        <v>152.32</v>
      </c>
      <c r="H383" s="1">
        <f>_xlfn.XLOOKUP('Customer Info'!A2232,'Customer Info'!A2232:A2331,'Customer Info'!E2232:E2331,0,0)</f>
        <v>0</v>
      </c>
      <c r="J383" s="1">
        <f>_xlfn.XLOOKUP('Customer Info'!A2232,'Customer Info'!A2232:A2331,'Customer Info'!M2232:M2331)</f>
        <v>0</v>
      </c>
    </row>
    <row r="384" spans="1:10" ht="14" x14ac:dyDescent="0.2">
      <c r="A384" s="2" t="s">
        <v>8</v>
      </c>
      <c r="B384" s="2">
        <v>5</v>
      </c>
      <c r="C384" s="2">
        <v>3</v>
      </c>
      <c r="D384" s="2">
        <v>2021</v>
      </c>
      <c r="E384" s="2">
        <v>0</v>
      </c>
      <c r="F384" s="2">
        <v>152.21</v>
      </c>
      <c r="H384" s="1">
        <f>_xlfn.XLOOKUP('Customer Info'!A2233,'Customer Info'!A2233:A2332,'Customer Info'!E2233:E2332,0,0)</f>
        <v>0</v>
      </c>
      <c r="J384" s="1">
        <f>_xlfn.XLOOKUP('Customer Info'!A2233,'Customer Info'!A2233:A2332,'Customer Info'!M2233:M2332)</f>
        <v>0</v>
      </c>
    </row>
    <row r="385" spans="1:10" ht="14" x14ac:dyDescent="0.2">
      <c r="A385" s="2" t="s">
        <v>13</v>
      </c>
      <c r="B385" s="2">
        <v>7</v>
      </c>
      <c r="C385" s="2">
        <v>3</v>
      </c>
      <c r="D385" s="2">
        <v>2021</v>
      </c>
      <c r="E385" s="2">
        <v>0</v>
      </c>
      <c r="F385" s="2">
        <v>152.21</v>
      </c>
      <c r="H385" s="1">
        <f>_xlfn.XLOOKUP('Customer Info'!A2234,'Customer Info'!A2234:A2333,'Customer Info'!E2234:E2333,0,0)</f>
        <v>0</v>
      </c>
      <c r="J385" s="1">
        <f>_xlfn.XLOOKUP('Customer Info'!A2234,'Customer Info'!A2234:A2333,'Customer Info'!M2234:M2333)</f>
        <v>0</v>
      </c>
    </row>
    <row r="386" spans="1:10" ht="14" hidden="1" x14ac:dyDescent="0.2">
      <c r="A386" s="2" t="s">
        <v>17</v>
      </c>
      <c r="B386" s="2">
        <v>8</v>
      </c>
      <c r="C386" s="2">
        <v>4</v>
      </c>
      <c r="D386" s="2">
        <v>2020</v>
      </c>
      <c r="E386" s="2">
        <v>0</v>
      </c>
      <c r="F386" s="2">
        <v>152.1</v>
      </c>
      <c r="H386" s="1">
        <f>_xlfn.XLOOKUP('Customer Info'!A1014,'Customer Info'!A1014:A1113,'Customer Info'!E1014:E1113,0,0)</f>
        <v>0</v>
      </c>
      <c r="J386" s="1">
        <f>_xlfn.XLOOKUP('Customer Info'!A1014,'Customer Info'!A1014:A1113,'Customer Info'!M1014:M1113)</f>
        <v>0</v>
      </c>
    </row>
    <row r="387" spans="1:10" ht="14" x14ac:dyDescent="0.2">
      <c r="A387" s="2" t="s">
        <v>28</v>
      </c>
      <c r="B387" s="2">
        <v>5</v>
      </c>
      <c r="C387" s="2">
        <v>5</v>
      </c>
      <c r="D387" s="2">
        <v>2021</v>
      </c>
      <c r="E387" s="1" t="s">
        <v>94</v>
      </c>
      <c r="F387" s="2">
        <v>151.9</v>
      </c>
      <c r="H387" s="1">
        <f>_xlfn.XLOOKUP('Customer Info'!A1239,'Customer Info'!A1239:A1338,'Customer Info'!E1239:E1338,0,0)</f>
        <v>0</v>
      </c>
      <c r="J387" s="1">
        <f>_xlfn.XLOOKUP('Customer Info'!A1239,'Customer Info'!A1239:A1338,'Customer Info'!M1239:M1338)</f>
        <v>0</v>
      </c>
    </row>
    <row r="388" spans="1:10" ht="14" hidden="1" x14ac:dyDescent="0.2">
      <c r="A388" s="2" t="s">
        <v>8</v>
      </c>
      <c r="B388" s="2">
        <v>5</v>
      </c>
      <c r="C388" s="2">
        <v>3</v>
      </c>
      <c r="D388" s="2">
        <v>2020</v>
      </c>
      <c r="E388" s="2">
        <v>0</v>
      </c>
      <c r="F388" s="2">
        <v>151.9</v>
      </c>
      <c r="H388" s="1">
        <f>_xlfn.XLOOKUP('Customer Info'!A1015,'Customer Info'!A1015:A1114,'Customer Info'!E1015:E1114,0,0)</f>
        <v>0</v>
      </c>
      <c r="J388" s="1">
        <f>_xlfn.XLOOKUP('Customer Info'!A1015,'Customer Info'!A1015:A1114,'Customer Info'!M1015:M1114)</f>
        <v>0</v>
      </c>
    </row>
    <row r="389" spans="1:10" ht="14" hidden="1" x14ac:dyDescent="0.2">
      <c r="A389" s="2" t="s">
        <v>19</v>
      </c>
      <c r="B389" s="2">
        <v>24</v>
      </c>
      <c r="C389" s="2">
        <v>3</v>
      </c>
      <c r="D389" s="2">
        <v>2020</v>
      </c>
      <c r="E389" s="2">
        <v>0</v>
      </c>
      <c r="F389" s="2">
        <v>151.9</v>
      </c>
      <c r="H389" s="1">
        <f>_xlfn.XLOOKUP('Customer Info'!A1016,'Customer Info'!A1016:A1115,'Customer Info'!E1016:E1115,0,0)</f>
        <v>0</v>
      </c>
      <c r="J389" s="1">
        <f>_xlfn.XLOOKUP('Customer Info'!A1016,'Customer Info'!A1016:A1115,'Customer Info'!M1016:M1115)</f>
        <v>0</v>
      </c>
    </row>
    <row r="390" spans="1:10" ht="14" hidden="1" x14ac:dyDescent="0.2">
      <c r="A390" s="2" t="s">
        <v>26</v>
      </c>
      <c r="B390" s="2">
        <v>22</v>
      </c>
      <c r="C390" s="2">
        <v>9</v>
      </c>
      <c r="D390" s="2">
        <v>2020</v>
      </c>
      <c r="E390" s="2">
        <v>0</v>
      </c>
      <c r="F390" s="2">
        <v>151.80000000000001</v>
      </c>
      <c r="H390" s="1">
        <f>_xlfn.XLOOKUP('Customer Info'!A1017,'Customer Info'!A1017:A1116,'Customer Info'!E1017:E1116,0,0)</f>
        <v>0</v>
      </c>
      <c r="J390" s="1">
        <f>_xlfn.XLOOKUP('Customer Info'!A1017,'Customer Info'!A1017:A1116,'Customer Info'!M1017:M1116)</f>
        <v>0</v>
      </c>
    </row>
    <row r="391" spans="1:10" ht="14" x14ac:dyDescent="0.2">
      <c r="A391" s="2" t="s">
        <v>2</v>
      </c>
      <c r="B391" s="2">
        <v>18</v>
      </c>
      <c r="C391" s="2">
        <v>2</v>
      </c>
      <c r="D391" s="2">
        <v>2021</v>
      </c>
      <c r="E391" s="2">
        <v>0</v>
      </c>
      <c r="F391" s="2">
        <v>151.76</v>
      </c>
      <c r="H391" s="1">
        <f>_xlfn.XLOOKUP('Customer Info'!A2235,'Customer Info'!A2235:A2334,'Customer Info'!E2235:E2334,0,0)</f>
        <v>0</v>
      </c>
      <c r="J391" s="1">
        <f>_xlfn.XLOOKUP('Customer Info'!A2235,'Customer Info'!A2235:A2334,'Customer Info'!M2235:M2334)</f>
        <v>0</v>
      </c>
    </row>
    <row r="392" spans="1:10" ht="14" hidden="1" x14ac:dyDescent="0.2">
      <c r="A392" s="2" t="s">
        <v>27</v>
      </c>
      <c r="B392" s="2">
        <v>1</v>
      </c>
      <c r="C392" s="2">
        <v>10</v>
      </c>
      <c r="D392" s="2">
        <v>2020</v>
      </c>
      <c r="E392" s="2">
        <v>0</v>
      </c>
      <c r="F392" s="2">
        <v>151.59</v>
      </c>
      <c r="H392" s="1">
        <f>_xlfn.XLOOKUP('Customer Info'!A1018,'Customer Info'!A1018:A1117,'Customer Info'!E1018:E1117,0,0)</f>
        <v>0</v>
      </c>
      <c r="J392" s="1">
        <f>_xlfn.XLOOKUP('Customer Info'!A1018,'Customer Info'!A1018:A1117,'Customer Info'!M1018:M1117)</f>
        <v>0</v>
      </c>
    </row>
    <row r="393" spans="1:10" ht="14" hidden="1" x14ac:dyDescent="0.2">
      <c r="A393" s="2" t="s">
        <v>21</v>
      </c>
      <c r="B393" s="2">
        <v>15</v>
      </c>
      <c r="C393" s="2">
        <v>10</v>
      </c>
      <c r="D393" s="2">
        <v>2020</v>
      </c>
      <c r="E393" s="2">
        <v>0</v>
      </c>
      <c r="F393" s="2">
        <v>151.59</v>
      </c>
      <c r="H393" s="1">
        <f>_xlfn.XLOOKUP('Customer Info'!A1019,'Customer Info'!A1019:A1118,'Customer Info'!E1019:E1118,0,0)</f>
        <v>0</v>
      </c>
      <c r="J393" s="1">
        <f>_xlfn.XLOOKUP('Customer Info'!A1019,'Customer Info'!A1019:A1118,'Customer Info'!M1019:M1118)</f>
        <v>0</v>
      </c>
    </row>
    <row r="394" spans="1:10" ht="14" x14ac:dyDescent="0.2">
      <c r="A394" s="2" t="s">
        <v>16</v>
      </c>
      <c r="B394" s="2">
        <v>14</v>
      </c>
      <c r="C394" s="2">
        <v>4</v>
      </c>
      <c r="D394" s="2">
        <v>2021</v>
      </c>
      <c r="E394" s="2">
        <v>0</v>
      </c>
      <c r="F394" s="2">
        <v>151.5</v>
      </c>
      <c r="H394" s="1">
        <f>_xlfn.XLOOKUP('Customer Info'!A2236,'Customer Info'!A2236:A2335,'Customer Info'!E2236:E2335,0,0)</f>
        <v>0</v>
      </c>
      <c r="J394" s="1">
        <f>_xlfn.XLOOKUP('Customer Info'!A2236,'Customer Info'!A2236:A2335,'Customer Info'!M2236:M2335)</f>
        <v>0</v>
      </c>
    </row>
    <row r="395" spans="1:10" ht="14" x14ac:dyDescent="0.2">
      <c r="A395" s="2" t="s">
        <v>27</v>
      </c>
      <c r="B395" s="2">
        <v>1</v>
      </c>
      <c r="C395" s="2">
        <v>9</v>
      </c>
      <c r="D395" s="2">
        <v>2021</v>
      </c>
      <c r="E395" s="2">
        <v>0</v>
      </c>
      <c r="F395" s="2">
        <v>151.5</v>
      </c>
      <c r="H395" s="1">
        <f>_xlfn.XLOOKUP('Customer Info'!A2237,'Customer Info'!A2237:A2336,'Customer Info'!E2237:E2336,0,0)</f>
        <v>0</v>
      </c>
      <c r="J395" s="1">
        <f>_xlfn.XLOOKUP('Customer Info'!A2237,'Customer Info'!A2237:A2336,'Customer Info'!M2237:M2336)</f>
        <v>0</v>
      </c>
    </row>
    <row r="396" spans="1:10" ht="14" x14ac:dyDescent="0.2">
      <c r="A396" s="2" t="s">
        <v>99</v>
      </c>
      <c r="B396" s="2">
        <v>10</v>
      </c>
      <c r="C396" s="2">
        <v>2</v>
      </c>
      <c r="D396" s="2">
        <v>2021</v>
      </c>
      <c r="E396" s="1" t="s">
        <v>94</v>
      </c>
      <c r="F396" s="2">
        <v>151.47999999999999</v>
      </c>
      <c r="H396" s="1">
        <f>_xlfn.XLOOKUP('Customer Info'!A1240,'Customer Info'!A1240:A1339,'Customer Info'!E1240:E1339,0,0)</f>
        <v>0</v>
      </c>
      <c r="J396" s="1">
        <f>_xlfn.XLOOKUP('Customer Info'!A1240,'Customer Info'!A1240:A1339,'Customer Info'!M1240:M1339)</f>
        <v>0</v>
      </c>
    </row>
    <row r="397" spans="1:10" ht="14" x14ac:dyDescent="0.2">
      <c r="A397" s="2" t="s">
        <v>11</v>
      </c>
      <c r="B397" s="2">
        <v>15</v>
      </c>
      <c r="C397" s="2">
        <v>3</v>
      </c>
      <c r="D397" s="2">
        <v>2021</v>
      </c>
      <c r="E397" s="2">
        <v>0</v>
      </c>
      <c r="F397" s="2">
        <v>151.28</v>
      </c>
      <c r="H397" s="1">
        <f>_xlfn.XLOOKUP('Customer Info'!A2238,'Customer Info'!A2238:A2337,'Customer Info'!E2238:E2337,0,0)</f>
        <v>0</v>
      </c>
      <c r="J397" s="1">
        <f>_xlfn.XLOOKUP('Customer Info'!A2238,'Customer Info'!A2238:A2337,'Customer Info'!M2238:M2337)</f>
        <v>0</v>
      </c>
    </row>
    <row r="398" spans="1:10" ht="14" x14ac:dyDescent="0.2">
      <c r="A398" s="2" t="s">
        <v>19</v>
      </c>
      <c r="B398" s="2">
        <v>24</v>
      </c>
      <c r="C398" s="2">
        <v>3</v>
      </c>
      <c r="D398" s="2">
        <v>2021</v>
      </c>
      <c r="E398" s="2">
        <v>0</v>
      </c>
      <c r="F398" s="2">
        <v>151.28</v>
      </c>
      <c r="H398" s="1">
        <f>_xlfn.XLOOKUP('Customer Info'!A2239,'Customer Info'!A2239:A2338,'Customer Info'!E2239:E2338,0,0)</f>
        <v>0</v>
      </c>
      <c r="J398" s="1">
        <f>_xlfn.XLOOKUP('Customer Info'!A2239,'Customer Info'!A2239:A2338,'Customer Info'!M2239:M2338)</f>
        <v>0</v>
      </c>
    </row>
    <row r="399" spans="1:10" ht="14" hidden="1" x14ac:dyDescent="0.2">
      <c r="A399" s="2" t="s">
        <v>7</v>
      </c>
      <c r="B399" s="2">
        <v>20</v>
      </c>
      <c r="C399" s="2">
        <v>4</v>
      </c>
      <c r="D399" s="2">
        <v>2020</v>
      </c>
      <c r="E399" s="2">
        <v>0</v>
      </c>
      <c r="F399" s="2">
        <v>151.19999999999999</v>
      </c>
      <c r="H399" s="1">
        <f>_xlfn.XLOOKUP('Customer Info'!A1020,'Customer Info'!A1020:A1119,'Customer Info'!E1020:E1119,0,0)</f>
        <v>0</v>
      </c>
      <c r="J399" s="1">
        <f>_xlfn.XLOOKUP('Customer Info'!A1020,'Customer Info'!A1020:A1119,'Customer Info'!M1020:M1119)</f>
        <v>0</v>
      </c>
    </row>
    <row r="400" spans="1:10" ht="14" x14ac:dyDescent="0.2">
      <c r="A400" s="2" t="s">
        <v>1</v>
      </c>
      <c r="B400" s="2">
        <v>21</v>
      </c>
      <c r="C400" s="2">
        <v>11</v>
      </c>
      <c r="D400" s="2">
        <v>2021</v>
      </c>
      <c r="E400" s="2">
        <v>0</v>
      </c>
      <c r="F400" s="2">
        <v>150.9</v>
      </c>
      <c r="H400" s="1">
        <f>_xlfn.XLOOKUP('Customer Info'!A2240,'Customer Info'!A2240:A2339,'Customer Info'!E2240:E2339,0,0)</f>
        <v>0</v>
      </c>
      <c r="J400" s="1">
        <f>_xlfn.XLOOKUP('Customer Info'!A2240,'Customer Info'!A2240:A2339,'Customer Info'!M2240:M2339)</f>
        <v>0</v>
      </c>
    </row>
    <row r="401" spans="1:10" ht="14" x14ac:dyDescent="0.2">
      <c r="A401" s="2" t="s">
        <v>97</v>
      </c>
      <c r="B401" s="2">
        <v>12</v>
      </c>
      <c r="C401" s="2">
        <v>1</v>
      </c>
      <c r="D401" s="2">
        <v>2021</v>
      </c>
      <c r="E401" s="1" t="s">
        <v>94</v>
      </c>
      <c r="F401" s="2">
        <v>150.66</v>
      </c>
      <c r="H401" s="1">
        <f>_xlfn.XLOOKUP('Customer Info'!A1241,'Customer Info'!A1241:A1340,'Customer Info'!E1241:E1340,0,0)</f>
        <v>0</v>
      </c>
      <c r="J401" s="1">
        <f>_xlfn.XLOOKUP('Customer Info'!A1241,'Customer Info'!A1241:A1340,'Customer Info'!M1241:M1340)</f>
        <v>0</v>
      </c>
    </row>
    <row r="402" spans="1:10" ht="14" hidden="1" x14ac:dyDescent="0.2">
      <c r="A402" s="2" t="s">
        <v>100</v>
      </c>
      <c r="B402" s="2">
        <v>1</v>
      </c>
      <c r="C402" s="2">
        <v>10</v>
      </c>
      <c r="D402" s="2">
        <v>2020</v>
      </c>
      <c r="E402" s="1" t="s">
        <v>94</v>
      </c>
      <c r="F402" s="2">
        <v>150.66</v>
      </c>
      <c r="H402" s="1">
        <f>_xlfn.XLOOKUP('Customer Info'!A48,'Customer Info'!A48:A147,'Customer Info'!E48:E147,0,0)</f>
        <v>2</v>
      </c>
      <c r="I402" s="1" t="str">
        <f>_xlfn.XLOOKUP('Customer Info'!A48,'Customer Info'!A48:A147,'Customer Info'!J48:J147,0)</f>
        <v>SSW</v>
      </c>
      <c r="J402" s="1" t="b">
        <f>_xlfn.XLOOKUP('Customer Info'!A48,'Customer Info'!A48:A147,'Customer Info'!M48:M147)</f>
        <v>0</v>
      </c>
    </row>
    <row r="403" spans="1:10" ht="14" x14ac:dyDescent="0.2">
      <c r="A403" s="2" t="s">
        <v>7</v>
      </c>
      <c r="B403" s="2">
        <v>20</v>
      </c>
      <c r="C403" s="2">
        <v>10</v>
      </c>
      <c r="D403" s="2">
        <v>2021</v>
      </c>
      <c r="E403" s="2">
        <v>0</v>
      </c>
      <c r="F403" s="2">
        <v>150.66</v>
      </c>
      <c r="H403" s="1">
        <f>_xlfn.XLOOKUP('Customer Info'!A2241,'Customer Info'!A2241:A2340,'Customer Info'!E2241:E2340,0,0)</f>
        <v>0</v>
      </c>
      <c r="J403" s="1">
        <f>_xlfn.XLOOKUP('Customer Info'!A2241,'Customer Info'!A2241:A2340,'Customer Info'!M2241:M2340)</f>
        <v>0</v>
      </c>
    </row>
    <row r="404" spans="1:10" ht="14" hidden="1" x14ac:dyDescent="0.2">
      <c r="A404" s="2" t="s">
        <v>21</v>
      </c>
      <c r="B404" s="2">
        <v>15</v>
      </c>
      <c r="C404" s="2">
        <v>2</v>
      </c>
      <c r="D404" s="2">
        <v>2020</v>
      </c>
      <c r="E404" s="2">
        <v>0</v>
      </c>
      <c r="F404" s="2">
        <v>150.63999999999999</v>
      </c>
      <c r="H404" s="1">
        <f>_xlfn.XLOOKUP('Customer Info'!A1021,'Customer Info'!A1021:A1120,'Customer Info'!E1021:E1120,0,0)</f>
        <v>0</v>
      </c>
      <c r="J404" s="1">
        <f>_xlfn.XLOOKUP('Customer Info'!A1021,'Customer Info'!A1021:A1120,'Customer Info'!M1021:M1120)</f>
        <v>0</v>
      </c>
    </row>
    <row r="405" spans="1:10" ht="14" hidden="1" x14ac:dyDescent="0.2">
      <c r="A405" s="2" t="s">
        <v>20</v>
      </c>
      <c r="B405" s="2">
        <v>12</v>
      </c>
      <c r="C405" s="2">
        <v>4</v>
      </c>
      <c r="D405" s="2">
        <v>2020</v>
      </c>
      <c r="E405" s="2">
        <v>0</v>
      </c>
      <c r="F405" s="2">
        <v>150.6</v>
      </c>
      <c r="H405" s="1">
        <f>_xlfn.XLOOKUP('Customer Info'!A1022,'Customer Info'!A1022:A1121,'Customer Info'!E1022:E1121,0,0)</f>
        <v>0</v>
      </c>
      <c r="J405" s="1">
        <f>_xlfn.XLOOKUP('Customer Info'!A1022,'Customer Info'!A1022:A1121,'Customer Info'!M1022:M1121)</f>
        <v>0</v>
      </c>
    </row>
    <row r="406" spans="1:10" ht="14" hidden="1" x14ac:dyDescent="0.2">
      <c r="A406" s="2" t="s">
        <v>2</v>
      </c>
      <c r="B406" s="2">
        <v>18</v>
      </c>
      <c r="C406" s="2">
        <v>1</v>
      </c>
      <c r="D406" s="2">
        <v>2020</v>
      </c>
      <c r="E406" s="2">
        <v>0</v>
      </c>
      <c r="F406" s="2">
        <v>150.35</v>
      </c>
      <c r="H406" s="1">
        <f>_xlfn.XLOOKUP('Customer Info'!A1023,'Customer Info'!A1023:A1122,'Customer Info'!E1023:E1122,0,0)</f>
        <v>0</v>
      </c>
      <c r="J406" s="1">
        <f>_xlfn.XLOOKUP('Customer Info'!A1023,'Customer Info'!A1023:A1122,'Customer Info'!M1023:M1122)</f>
        <v>0</v>
      </c>
    </row>
    <row r="407" spans="1:10" ht="14" hidden="1" x14ac:dyDescent="0.2">
      <c r="A407" s="2" t="s">
        <v>23</v>
      </c>
      <c r="B407" s="2">
        <v>5</v>
      </c>
      <c r="C407" s="2">
        <v>10</v>
      </c>
      <c r="D407" s="2">
        <v>2020</v>
      </c>
      <c r="E407" s="2">
        <v>0</v>
      </c>
      <c r="F407" s="2">
        <v>150.35</v>
      </c>
      <c r="H407" s="1">
        <f>_xlfn.XLOOKUP('Customer Info'!A1024,'Customer Info'!A1024:A1123,'Customer Info'!E1024:E1123,0,0)</f>
        <v>0</v>
      </c>
      <c r="J407" s="1">
        <f>_xlfn.XLOOKUP('Customer Info'!A1024,'Customer Info'!A1024:A1123,'Customer Info'!M1024:M1123)</f>
        <v>0</v>
      </c>
    </row>
    <row r="408" spans="1:10" ht="14" x14ac:dyDescent="0.2">
      <c r="A408" s="2" t="s">
        <v>27</v>
      </c>
      <c r="B408" s="2">
        <v>1</v>
      </c>
      <c r="C408" s="2">
        <v>8</v>
      </c>
      <c r="D408" s="2">
        <v>2021</v>
      </c>
      <c r="E408" s="2">
        <v>0</v>
      </c>
      <c r="F408" s="2">
        <v>150.35</v>
      </c>
      <c r="H408" s="1">
        <f>_xlfn.XLOOKUP('Customer Info'!A2242,'Customer Info'!A2242:A2341,'Customer Info'!E2242:E2341,0,0)</f>
        <v>0</v>
      </c>
      <c r="J408" s="1">
        <f>_xlfn.XLOOKUP('Customer Info'!A2242,'Customer Info'!A2242:A2341,'Customer Info'!M2242:M2341)</f>
        <v>0</v>
      </c>
    </row>
    <row r="409" spans="1:10" ht="14" x14ac:dyDescent="0.2">
      <c r="A409" s="2" t="s">
        <v>9</v>
      </c>
      <c r="B409" s="2">
        <v>22</v>
      </c>
      <c r="C409" s="2">
        <v>10</v>
      </c>
      <c r="D409" s="2">
        <v>2021</v>
      </c>
      <c r="E409" s="2">
        <v>0</v>
      </c>
      <c r="F409" s="2">
        <v>150.35</v>
      </c>
      <c r="H409" s="1">
        <f>_xlfn.XLOOKUP('Customer Info'!A2243,'Customer Info'!A2243:A2342,'Customer Info'!E2243:E2342,0,0)</f>
        <v>0</v>
      </c>
      <c r="J409" s="1">
        <f>_xlfn.XLOOKUP('Customer Info'!A2243,'Customer Info'!A2243:A2342,'Customer Info'!M2243:M2342)</f>
        <v>0</v>
      </c>
    </row>
    <row r="410" spans="1:10" ht="14" x14ac:dyDescent="0.2">
      <c r="A410" s="2" t="s">
        <v>99</v>
      </c>
      <c r="B410" s="2">
        <v>10</v>
      </c>
      <c r="C410" s="2">
        <v>10</v>
      </c>
      <c r="D410" s="2">
        <v>2021</v>
      </c>
      <c r="E410" s="1" t="s">
        <v>94</v>
      </c>
      <c r="F410" s="2">
        <v>150.04</v>
      </c>
      <c r="H410" s="1">
        <f>_xlfn.XLOOKUP('Customer Info'!A1242,'Customer Info'!A1242:A1341,'Customer Info'!E1242:E1341,0,0)</f>
        <v>0</v>
      </c>
      <c r="J410" s="1">
        <f>_xlfn.XLOOKUP('Customer Info'!A1242,'Customer Info'!A1242:A1341,'Customer Info'!M1242:M1341)</f>
        <v>0</v>
      </c>
    </row>
    <row r="411" spans="1:10" ht="14" hidden="1" x14ac:dyDescent="0.2">
      <c r="A411" s="2" t="s">
        <v>29</v>
      </c>
      <c r="B411" s="2">
        <v>20</v>
      </c>
      <c r="C411" s="2">
        <v>9</v>
      </c>
      <c r="D411" s="2">
        <v>2020</v>
      </c>
      <c r="E411" s="2">
        <v>0</v>
      </c>
      <c r="F411" s="2">
        <v>150</v>
      </c>
      <c r="H411" s="1">
        <f>_xlfn.XLOOKUP('Customer Info'!A1025,'Customer Info'!A1025:A1124,'Customer Info'!E1025:E1124,0,0)</f>
        <v>0</v>
      </c>
      <c r="J411" s="1">
        <f>_xlfn.XLOOKUP('Customer Info'!A1025,'Customer Info'!A1025:A1124,'Customer Info'!M1025:M1124)</f>
        <v>0</v>
      </c>
    </row>
    <row r="412" spans="1:10" ht="14" hidden="1" x14ac:dyDescent="0.2">
      <c r="A412" s="2" t="s">
        <v>6</v>
      </c>
      <c r="B412" s="2">
        <v>7</v>
      </c>
      <c r="C412" s="2">
        <v>11</v>
      </c>
      <c r="D412" s="2">
        <v>2020</v>
      </c>
      <c r="E412" s="2">
        <v>0</v>
      </c>
      <c r="F412" s="2">
        <v>150</v>
      </c>
      <c r="H412" s="1">
        <f>_xlfn.XLOOKUP('Customer Info'!A1026,'Customer Info'!A1026:A1125,'Customer Info'!E1026:E1125,0,0)</f>
        <v>0</v>
      </c>
      <c r="J412" s="1">
        <f>_xlfn.XLOOKUP('Customer Info'!A1026,'Customer Info'!A1026:A1125,'Customer Info'!M1026:M1125)</f>
        <v>0</v>
      </c>
    </row>
    <row r="413" spans="1:10" ht="14" x14ac:dyDescent="0.2">
      <c r="A413" s="2" t="s">
        <v>20</v>
      </c>
      <c r="B413" s="2">
        <v>12</v>
      </c>
      <c r="C413" s="2">
        <v>10</v>
      </c>
      <c r="D413" s="2">
        <v>2021</v>
      </c>
      <c r="E413" s="1" t="s">
        <v>94</v>
      </c>
      <c r="F413" s="2">
        <v>149.72999999999999</v>
      </c>
      <c r="H413" s="1">
        <f>_xlfn.XLOOKUP('Customer Info'!A1243,'Customer Info'!A1243:A1342,'Customer Info'!E1243:E1342,0,0)</f>
        <v>0</v>
      </c>
      <c r="J413" s="1">
        <f>_xlfn.XLOOKUP('Customer Info'!A1243,'Customer Info'!A1243:A1342,'Customer Info'!M1243:M1342)</f>
        <v>0</v>
      </c>
    </row>
    <row r="414" spans="1:10" ht="14" hidden="1" x14ac:dyDescent="0.2">
      <c r="A414" s="2" t="s">
        <v>30</v>
      </c>
      <c r="B414" s="2">
        <v>2</v>
      </c>
      <c r="C414" s="2">
        <v>8</v>
      </c>
      <c r="D414" s="2">
        <v>2020</v>
      </c>
      <c r="E414" s="2">
        <v>0</v>
      </c>
      <c r="F414" s="2">
        <v>149.41999999999999</v>
      </c>
      <c r="H414" s="1">
        <f>_xlfn.XLOOKUP('Customer Info'!A1027,'Customer Info'!A1027:A1126,'Customer Info'!E1027:E1126,0,0)</f>
        <v>0</v>
      </c>
      <c r="J414" s="1">
        <f>_xlfn.XLOOKUP('Customer Info'!A1027,'Customer Info'!A1027:A1126,'Customer Info'!M1027:M1126)</f>
        <v>0</v>
      </c>
    </row>
    <row r="415" spans="1:10" ht="14" hidden="1" x14ac:dyDescent="0.2">
      <c r="A415" s="2" t="s">
        <v>4</v>
      </c>
      <c r="B415" s="2">
        <v>1</v>
      </c>
      <c r="C415" s="2">
        <v>10</v>
      </c>
      <c r="D415" s="2">
        <v>2020</v>
      </c>
      <c r="E415" s="2">
        <v>0</v>
      </c>
      <c r="F415" s="2">
        <v>149.41999999999999</v>
      </c>
      <c r="H415" s="1">
        <f>_xlfn.XLOOKUP('Customer Info'!A1028,'Customer Info'!A1028:A1127,'Customer Info'!E1028:E1127,0,0)</f>
        <v>0</v>
      </c>
      <c r="J415" s="1">
        <f>_xlfn.XLOOKUP('Customer Info'!A1028,'Customer Info'!A1028:A1127,'Customer Info'!M1028:M1127)</f>
        <v>0</v>
      </c>
    </row>
    <row r="416" spans="1:10" ht="14" x14ac:dyDescent="0.2">
      <c r="A416" s="2" t="s">
        <v>17</v>
      </c>
      <c r="B416" s="2">
        <v>8</v>
      </c>
      <c r="C416" s="2">
        <v>10</v>
      </c>
      <c r="D416" s="2">
        <v>2021</v>
      </c>
      <c r="E416" s="2">
        <v>0</v>
      </c>
      <c r="F416" s="2">
        <v>149.41999999999999</v>
      </c>
      <c r="H416" s="1">
        <f>_xlfn.XLOOKUP('Customer Info'!A2244,'Customer Info'!A2244:A2343,'Customer Info'!E2244:E2343,0,0)</f>
        <v>0</v>
      </c>
      <c r="J416" s="1">
        <f>_xlfn.XLOOKUP('Customer Info'!A2244,'Customer Info'!A2244:A2343,'Customer Info'!M2244:M2343)</f>
        <v>0</v>
      </c>
    </row>
    <row r="417" spans="1:10" ht="14" x14ac:dyDescent="0.2">
      <c r="A417" s="2" t="s">
        <v>26</v>
      </c>
      <c r="B417" s="2">
        <v>22</v>
      </c>
      <c r="C417" s="2">
        <v>9</v>
      </c>
      <c r="D417" s="2">
        <v>2021</v>
      </c>
      <c r="E417" s="2">
        <v>0</v>
      </c>
      <c r="F417" s="2">
        <v>149.4</v>
      </c>
      <c r="H417" s="1">
        <f>_xlfn.XLOOKUP('Customer Info'!A2245,'Customer Info'!A2245:A2344,'Customer Info'!E2245:E2344,0,0)</f>
        <v>0</v>
      </c>
      <c r="J417" s="1">
        <f>_xlfn.XLOOKUP('Customer Info'!A2245,'Customer Info'!A2245:A2344,'Customer Info'!M2245:M2344)</f>
        <v>0</v>
      </c>
    </row>
    <row r="418" spans="1:10" ht="14" x14ac:dyDescent="0.2">
      <c r="A418" s="2" t="s">
        <v>17</v>
      </c>
      <c r="B418" s="2">
        <v>8</v>
      </c>
      <c r="C418" s="2">
        <v>3</v>
      </c>
      <c r="D418" s="2">
        <v>2021</v>
      </c>
      <c r="E418" s="2">
        <v>0</v>
      </c>
      <c r="F418" s="2">
        <v>149.11000000000001</v>
      </c>
      <c r="H418" s="1">
        <f>_xlfn.XLOOKUP('Customer Info'!A2246,'Customer Info'!A2246:A2345,'Customer Info'!E2246:E2345,0,0)</f>
        <v>0</v>
      </c>
      <c r="J418" s="1">
        <f>_xlfn.XLOOKUP('Customer Info'!A2246,'Customer Info'!A2246:A2345,'Customer Info'!M2246:M2345)</f>
        <v>0</v>
      </c>
    </row>
    <row r="419" spans="1:10" ht="14" hidden="1" x14ac:dyDescent="0.2">
      <c r="A419" s="2" t="s">
        <v>15</v>
      </c>
      <c r="B419" s="2">
        <v>5</v>
      </c>
      <c r="C419" s="2">
        <v>2</v>
      </c>
      <c r="D419" s="2">
        <v>2020</v>
      </c>
      <c r="E419" s="2">
        <v>0</v>
      </c>
      <c r="F419" s="2">
        <v>148.96</v>
      </c>
      <c r="H419" s="1">
        <f>_xlfn.XLOOKUP('Customer Info'!A1029,'Customer Info'!A1029:A1128,'Customer Info'!E1029:E1128,0,0)</f>
        <v>0</v>
      </c>
      <c r="J419" s="1">
        <f>_xlfn.XLOOKUP('Customer Info'!A1029,'Customer Info'!A1029:A1128,'Customer Info'!M1029:M1128)</f>
        <v>0</v>
      </c>
    </row>
    <row r="420" spans="1:10" ht="14" hidden="1" x14ac:dyDescent="0.2">
      <c r="A420" s="2" t="s">
        <v>3</v>
      </c>
      <c r="B420" s="2">
        <v>25</v>
      </c>
      <c r="C420" s="2">
        <v>2</v>
      </c>
      <c r="D420" s="2">
        <v>2020</v>
      </c>
      <c r="E420" s="2">
        <v>0</v>
      </c>
      <c r="F420" s="2">
        <v>148.96</v>
      </c>
      <c r="H420" s="1">
        <f>_xlfn.XLOOKUP('Customer Info'!A1030,'Customer Info'!A1030:A1129,'Customer Info'!E1030:E1129,0,0)</f>
        <v>0</v>
      </c>
      <c r="J420" s="1">
        <f>_xlfn.XLOOKUP('Customer Info'!A1030,'Customer Info'!A1030:A1129,'Customer Info'!M1030:M1129)</f>
        <v>0</v>
      </c>
    </row>
    <row r="421" spans="1:10" ht="14" hidden="1" x14ac:dyDescent="0.2">
      <c r="A421" s="2" t="s">
        <v>28</v>
      </c>
      <c r="B421" s="2">
        <v>5</v>
      </c>
      <c r="C421" s="2">
        <v>7</v>
      </c>
      <c r="D421" s="2">
        <v>2020</v>
      </c>
      <c r="E421" s="1" t="s">
        <v>94</v>
      </c>
      <c r="F421" s="2">
        <v>148.80000000000001</v>
      </c>
      <c r="H421" s="1">
        <f>_xlfn.XLOOKUP('Customer Info'!A49,'Customer Info'!A49:A148,'Customer Info'!E49:E148,0,0)</f>
        <v>3</v>
      </c>
      <c r="I421" s="1" t="str">
        <f>_xlfn.XLOOKUP('Customer Info'!A49,'Customer Info'!A49:A148,'Customer Info'!J49:J148,0)</f>
        <v>Mpower</v>
      </c>
      <c r="J421" s="1" t="b">
        <f>_xlfn.XLOOKUP('Customer Info'!A49,'Customer Info'!A49:A148,'Customer Info'!M49:M148)</f>
        <v>0</v>
      </c>
    </row>
    <row r="422" spans="1:10" ht="14" hidden="1" x14ac:dyDescent="0.2">
      <c r="A422" s="2" t="s">
        <v>1</v>
      </c>
      <c r="B422" s="2">
        <v>21</v>
      </c>
      <c r="C422" s="2">
        <v>12</v>
      </c>
      <c r="D422" s="2">
        <v>2020</v>
      </c>
      <c r="E422" s="1" t="s">
        <v>94</v>
      </c>
      <c r="F422" s="2">
        <v>148.80000000000001</v>
      </c>
      <c r="H422" s="1">
        <f>_xlfn.XLOOKUP('Customer Info'!A50,'Customer Info'!A50:A149,'Customer Info'!E50:E149,0,0)</f>
        <v>2</v>
      </c>
      <c r="I422" s="1" t="str">
        <f>_xlfn.XLOOKUP('Customer Info'!A50,'Customer Info'!A50:A149,'Customer Info'!J50:J149,0)</f>
        <v>SSW</v>
      </c>
      <c r="J422" s="1" t="b">
        <f>_xlfn.XLOOKUP('Customer Info'!A50,'Customer Info'!A50:A149,'Customer Info'!M50:M149)</f>
        <v>0</v>
      </c>
    </row>
    <row r="423" spans="1:10" ht="14" hidden="1" x14ac:dyDescent="0.2">
      <c r="A423" s="2" t="s">
        <v>28</v>
      </c>
      <c r="B423" s="2">
        <v>5</v>
      </c>
      <c r="C423" s="2">
        <v>8</v>
      </c>
      <c r="D423" s="2">
        <v>2020</v>
      </c>
      <c r="E423" s="2">
        <v>0</v>
      </c>
      <c r="F423" s="2">
        <v>148.80000000000001</v>
      </c>
      <c r="H423" s="1">
        <f>_xlfn.XLOOKUP('Customer Info'!A1031,'Customer Info'!A1031:A1130,'Customer Info'!E1031:E1130,0,0)</f>
        <v>0</v>
      </c>
      <c r="J423" s="1">
        <f>_xlfn.XLOOKUP('Customer Info'!A1031,'Customer Info'!A1031:A1130,'Customer Info'!M1031:M1130)</f>
        <v>0</v>
      </c>
    </row>
    <row r="424" spans="1:10" ht="14" x14ac:dyDescent="0.2">
      <c r="A424" s="2" t="s">
        <v>21</v>
      </c>
      <c r="B424" s="2">
        <v>15</v>
      </c>
      <c r="C424" s="2">
        <v>3</v>
      </c>
      <c r="D424" s="2">
        <v>2021</v>
      </c>
      <c r="E424" s="2">
        <v>0</v>
      </c>
      <c r="F424" s="2">
        <v>148.80000000000001</v>
      </c>
      <c r="H424" s="1">
        <f>_xlfn.XLOOKUP('Customer Info'!A2247,'Customer Info'!A2247:A2346,'Customer Info'!E2247:E2346,0,0)</f>
        <v>0</v>
      </c>
      <c r="J424" s="1">
        <f>_xlfn.XLOOKUP('Customer Info'!A2247,'Customer Info'!A2247:A2346,'Customer Info'!M2247:M2346)</f>
        <v>0</v>
      </c>
    </row>
    <row r="425" spans="1:10" ht="14" x14ac:dyDescent="0.2">
      <c r="A425" s="2" t="s">
        <v>30</v>
      </c>
      <c r="B425" s="2">
        <v>2</v>
      </c>
      <c r="C425" s="2">
        <v>5</v>
      </c>
      <c r="D425" s="2">
        <v>2021</v>
      </c>
      <c r="E425" s="2">
        <v>0</v>
      </c>
      <c r="F425" s="2">
        <v>148.80000000000001</v>
      </c>
      <c r="H425" s="1">
        <f>_xlfn.XLOOKUP('Customer Info'!A2248,'Customer Info'!A2248:A2347,'Customer Info'!E2248:E2347,0,0)</f>
        <v>0</v>
      </c>
      <c r="J425" s="1">
        <f>_xlfn.XLOOKUP('Customer Info'!A2248,'Customer Info'!A2248:A2347,'Customer Info'!M2248:M2347)</f>
        <v>0</v>
      </c>
    </row>
    <row r="426" spans="1:10" ht="14" hidden="1" x14ac:dyDescent="0.2">
      <c r="A426" s="2" t="s">
        <v>3</v>
      </c>
      <c r="B426" s="2">
        <v>25</v>
      </c>
      <c r="C426" s="2">
        <v>11</v>
      </c>
      <c r="D426" s="2">
        <v>2020</v>
      </c>
      <c r="E426" s="2">
        <v>0</v>
      </c>
      <c r="F426" s="2">
        <v>148.5</v>
      </c>
      <c r="H426" s="1">
        <f>_xlfn.XLOOKUP('Customer Info'!A1032,'Customer Info'!A1032:A1131,'Customer Info'!E1032:E1131,0,0)</f>
        <v>0</v>
      </c>
      <c r="J426" s="1">
        <f>_xlfn.XLOOKUP('Customer Info'!A1032,'Customer Info'!A1032:A1131,'Customer Info'!M1032:M1131)</f>
        <v>0</v>
      </c>
    </row>
    <row r="427" spans="1:10" ht="14" x14ac:dyDescent="0.2">
      <c r="A427" s="2" t="s">
        <v>5</v>
      </c>
      <c r="B427" s="2">
        <v>7</v>
      </c>
      <c r="C427" s="2">
        <v>4</v>
      </c>
      <c r="D427" s="2">
        <v>2021</v>
      </c>
      <c r="E427" s="2">
        <v>0</v>
      </c>
      <c r="F427" s="2">
        <v>148.5</v>
      </c>
      <c r="H427" s="1">
        <f>_xlfn.XLOOKUP('Customer Info'!A2249,'Customer Info'!A2249:A2348,'Customer Info'!E2249:E2348,0,0)</f>
        <v>0</v>
      </c>
      <c r="J427" s="1">
        <f>_xlfn.XLOOKUP('Customer Info'!A2249,'Customer Info'!A2249:A2348,'Customer Info'!M2249:M2348)</f>
        <v>0</v>
      </c>
    </row>
    <row r="428" spans="1:10" ht="14" hidden="1" x14ac:dyDescent="0.2">
      <c r="A428" s="2" t="s">
        <v>17</v>
      </c>
      <c r="B428" s="2">
        <v>8</v>
      </c>
      <c r="C428" s="2">
        <v>3</v>
      </c>
      <c r="D428" s="2">
        <v>2020</v>
      </c>
      <c r="E428" s="2">
        <v>0</v>
      </c>
      <c r="F428" s="2">
        <v>148.49</v>
      </c>
      <c r="H428" s="1">
        <f>_xlfn.XLOOKUP('Customer Info'!A1033,'Customer Info'!A1033:A1132,'Customer Info'!E1033:E1132,0,0)</f>
        <v>0</v>
      </c>
      <c r="J428" s="1">
        <f>_xlfn.XLOOKUP('Customer Info'!A1033,'Customer Info'!A1033:A1132,'Customer Info'!M1033:M1132)</f>
        <v>0</v>
      </c>
    </row>
    <row r="429" spans="1:10" ht="14" x14ac:dyDescent="0.2">
      <c r="A429" s="2" t="s">
        <v>6</v>
      </c>
      <c r="B429" s="2">
        <v>7</v>
      </c>
      <c r="C429" s="2">
        <v>3</v>
      </c>
      <c r="D429" s="2">
        <v>2021</v>
      </c>
      <c r="E429" s="2">
        <v>0</v>
      </c>
      <c r="F429" s="2">
        <v>148.49</v>
      </c>
      <c r="H429" s="1">
        <f>_xlfn.XLOOKUP('Customer Info'!A2250,'Customer Info'!A2250:A2349,'Customer Info'!E2250:E2349,0,0)</f>
        <v>0</v>
      </c>
      <c r="J429" s="1">
        <f>_xlfn.XLOOKUP('Customer Info'!A2250,'Customer Info'!A2250:A2349,'Customer Info'!M2250:M2349)</f>
        <v>0</v>
      </c>
    </row>
    <row r="430" spans="1:10" ht="14" hidden="1" x14ac:dyDescent="0.2">
      <c r="A430" s="2" t="s">
        <v>16</v>
      </c>
      <c r="B430" s="2">
        <v>14</v>
      </c>
      <c r="C430" s="2">
        <v>2</v>
      </c>
      <c r="D430" s="2">
        <v>2020</v>
      </c>
      <c r="E430" s="2">
        <v>0</v>
      </c>
      <c r="F430" s="2">
        <v>148.4</v>
      </c>
      <c r="H430" s="1">
        <f>_xlfn.XLOOKUP('Customer Info'!A1034,'Customer Info'!A1034:A1133,'Customer Info'!E1034:E1133,0,0)</f>
        <v>0</v>
      </c>
      <c r="J430" s="1">
        <f>_xlfn.XLOOKUP('Customer Info'!A1034,'Customer Info'!A1034:A1133,'Customer Info'!M1034:M1133)</f>
        <v>0</v>
      </c>
    </row>
    <row r="431" spans="1:10" ht="14" x14ac:dyDescent="0.2">
      <c r="A431" s="2" t="s">
        <v>100</v>
      </c>
      <c r="B431" s="2">
        <v>1</v>
      </c>
      <c r="C431" s="2">
        <v>4</v>
      </c>
      <c r="D431" s="2">
        <v>2021</v>
      </c>
      <c r="E431" s="1" t="s">
        <v>94</v>
      </c>
      <c r="F431" s="2">
        <v>148.19999999999999</v>
      </c>
      <c r="H431" s="1">
        <f>_xlfn.XLOOKUP('Customer Info'!A1244,'Customer Info'!A1244:A1343,'Customer Info'!E1244:E1343,0,0)</f>
        <v>0</v>
      </c>
      <c r="J431" s="1">
        <f>_xlfn.XLOOKUP('Customer Info'!A1244,'Customer Info'!A1244:A1343,'Customer Info'!M1244:M1343)</f>
        <v>0</v>
      </c>
    </row>
    <row r="432" spans="1:10" ht="14" x14ac:dyDescent="0.2">
      <c r="A432" s="2" t="s">
        <v>1</v>
      </c>
      <c r="B432" s="2">
        <v>21</v>
      </c>
      <c r="C432" s="2">
        <v>2</v>
      </c>
      <c r="D432" s="2">
        <v>2021</v>
      </c>
      <c r="E432" s="2">
        <v>0</v>
      </c>
      <c r="F432" s="2">
        <v>148.12</v>
      </c>
      <c r="H432" s="1">
        <f>_xlfn.XLOOKUP('Customer Info'!A2251,'Customer Info'!A2251:A2350,'Customer Info'!E2251:E2350,0,0)</f>
        <v>0</v>
      </c>
      <c r="J432" s="1">
        <f>_xlfn.XLOOKUP('Customer Info'!A2251,'Customer Info'!A2251:A2350,'Customer Info'!M2251:M2350)</f>
        <v>0</v>
      </c>
    </row>
    <row r="433" spans="1:10" ht="14" x14ac:dyDescent="0.2">
      <c r="A433" s="2" t="s">
        <v>17</v>
      </c>
      <c r="B433" s="2">
        <v>8</v>
      </c>
      <c r="C433" s="2">
        <v>4</v>
      </c>
      <c r="D433" s="2">
        <v>2021</v>
      </c>
      <c r="E433" s="2">
        <v>0</v>
      </c>
      <c r="F433" s="2">
        <v>147.9</v>
      </c>
      <c r="H433" s="1">
        <f>_xlfn.XLOOKUP('Customer Info'!A2252,'Customer Info'!A2252:A2351,'Customer Info'!E2252:E2351,0,0)</f>
        <v>0</v>
      </c>
      <c r="J433" s="1">
        <f>_xlfn.XLOOKUP('Customer Info'!A2252,'Customer Info'!A2252:A2351,'Customer Info'!M2252:M2351)</f>
        <v>0</v>
      </c>
    </row>
    <row r="434" spans="1:10" ht="14" x14ac:dyDescent="0.2">
      <c r="A434" s="2" t="s">
        <v>19</v>
      </c>
      <c r="B434" s="2">
        <v>24</v>
      </c>
      <c r="C434" s="2">
        <v>4</v>
      </c>
      <c r="D434" s="2">
        <v>2021</v>
      </c>
      <c r="E434" s="2">
        <v>0</v>
      </c>
      <c r="F434" s="2">
        <v>147.9</v>
      </c>
      <c r="H434" s="1">
        <f>_xlfn.XLOOKUP('Customer Info'!A2253,'Customer Info'!A2253:A2352,'Customer Info'!E2253:E2352,0,0)</f>
        <v>0</v>
      </c>
      <c r="J434" s="1">
        <f>_xlfn.XLOOKUP('Customer Info'!A2253,'Customer Info'!A2253:A2352,'Customer Info'!M2253:M2352)</f>
        <v>0</v>
      </c>
    </row>
    <row r="435" spans="1:10" ht="14" hidden="1" x14ac:dyDescent="0.2">
      <c r="A435" s="2" t="s">
        <v>26</v>
      </c>
      <c r="B435" s="2">
        <v>22</v>
      </c>
      <c r="C435" s="2">
        <v>10</v>
      </c>
      <c r="D435" s="2">
        <v>2020</v>
      </c>
      <c r="E435" s="2">
        <v>0</v>
      </c>
      <c r="F435" s="2">
        <v>147.87</v>
      </c>
      <c r="H435" s="1">
        <f>_xlfn.XLOOKUP('Customer Info'!A1035,'Customer Info'!A1035:A1134,'Customer Info'!E1035:E1134,0,0)</f>
        <v>0</v>
      </c>
      <c r="J435" s="1">
        <f>_xlfn.XLOOKUP('Customer Info'!A1035,'Customer Info'!A1035:A1134,'Customer Info'!M1035:M1134)</f>
        <v>0</v>
      </c>
    </row>
    <row r="436" spans="1:10" ht="14" hidden="1" x14ac:dyDescent="0.2">
      <c r="A436" s="2" t="s">
        <v>15</v>
      </c>
      <c r="B436" s="2">
        <v>5</v>
      </c>
      <c r="C436" s="2">
        <v>10</v>
      </c>
      <c r="D436" s="2">
        <v>2020</v>
      </c>
      <c r="E436" s="2">
        <v>0</v>
      </c>
      <c r="F436" s="2">
        <v>147.25</v>
      </c>
      <c r="H436" s="1">
        <f>_xlfn.XLOOKUP('Customer Info'!A1036,'Customer Info'!A1036:A1135,'Customer Info'!E1036:E1135,0,0)</f>
        <v>0</v>
      </c>
      <c r="J436" s="1">
        <f>_xlfn.XLOOKUP('Customer Info'!A1036,'Customer Info'!A1036:A1135,'Customer Info'!M1036:M1135)</f>
        <v>0</v>
      </c>
    </row>
    <row r="437" spans="1:10" ht="14" hidden="1" x14ac:dyDescent="0.2">
      <c r="A437" s="2" t="s">
        <v>5</v>
      </c>
      <c r="B437" s="2">
        <v>7</v>
      </c>
      <c r="C437" s="2">
        <v>12</v>
      </c>
      <c r="D437" s="2">
        <v>2020</v>
      </c>
      <c r="E437" s="2">
        <v>0</v>
      </c>
      <c r="F437" s="2">
        <v>146.94</v>
      </c>
      <c r="H437" s="1">
        <f>_xlfn.XLOOKUP('Customer Info'!A1037,'Customer Info'!A1037:A1136,'Customer Info'!E1037:E1136,0,0)</f>
        <v>0</v>
      </c>
      <c r="J437" s="1">
        <f>_xlfn.XLOOKUP('Customer Info'!A1037,'Customer Info'!A1037:A1136,'Customer Info'!M1037:M1136)</f>
        <v>0</v>
      </c>
    </row>
    <row r="438" spans="1:10" ht="14" hidden="1" x14ac:dyDescent="0.2">
      <c r="A438" s="2" t="s">
        <v>25</v>
      </c>
      <c r="B438" s="2">
        <v>8</v>
      </c>
      <c r="C438" s="2">
        <v>6</v>
      </c>
      <c r="D438" s="2">
        <v>2020</v>
      </c>
      <c r="E438" s="2">
        <v>0</v>
      </c>
      <c r="F438" s="2">
        <v>146.69999999999999</v>
      </c>
      <c r="H438" s="1">
        <f>_xlfn.XLOOKUP('Customer Info'!A1038,'Customer Info'!A1038:A1137,'Customer Info'!E1038:E1137,0,0)</f>
        <v>0</v>
      </c>
      <c r="J438" s="1">
        <f>_xlfn.XLOOKUP('Customer Info'!A1038,'Customer Info'!A1038:A1137,'Customer Info'!M1038:M1137)</f>
        <v>0</v>
      </c>
    </row>
    <row r="439" spans="1:10" ht="14" hidden="1" x14ac:dyDescent="0.2">
      <c r="A439" s="2" t="s">
        <v>29</v>
      </c>
      <c r="B439" s="2">
        <v>20</v>
      </c>
      <c r="C439" s="2">
        <v>5</v>
      </c>
      <c r="D439" s="2">
        <v>2020</v>
      </c>
      <c r="E439" s="1" t="s">
        <v>94</v>
      </c>
      <c r="F439" s="2">
        <v>146.63</v>
      </c>
      <c r="H439" s="1">
        <f>_xlfn.XLOOKUP('Customer Info'!A51,'Customer Info'!A51:A150,'Customer Info'!E51:E150,0,0)</f>
        <v>2</v>
      </c>
      <c r="I439" s="1" t="str">
        <f>_xlfn.XLOOKUP('Customer Info'!A51,'Customer Info'!A51:A150,'Customer Info'!J51:J150,0)</f>
        <v>SSW</v>
      </c>
      <c r="J439" s="1" t="b">
        <f>_xlfn.XLOOKUP('Customer Info'!A51,'Customer Info'!A51:A150,'Customer Info'!M51:M150)</f>
        <v>0</v>
      </c>
    </row>
    <row r="440" spans="1:10" ht="14" hidden="1" x14ac:dyDescent="0.2">
      <c r="A440" s="2" t="s">
        <v>6</v>
      </c>
      <c r="B440" s="2">
        <v>7</v>
      </c>
      <c r="C440" s="2">
        <v>1</v>
      </c>
      <c r="D440" s="2">
        <v>2020</v>
      </c>
      <c r="E440" s="2">
        <v>0</v>
      </c>
      <c r="F440" s="2">
        <v>146.63</v>
      </c>
      <c r="H440" s="1">
        <f>_xlfn.XLOOKUP('Customer Info'!A1039,'Customer Info'!A1039:A1138,'Customer Info'!E1039:E1138,0,0)</f>
        <v>0</v>
      </c>
      <c r="J440" s="1">
        <f>_xlfn.XLOOKUP('Customer Info'!A1039,'Customer Info'!A1039:A1138,'Customer Info'!M1039:M1138)</f>
        <v>0</v>
      </c>
    </row>
    <row r="441" spans="1:10" ht="14" hidden="1" x14ac:dyDescent="0.2">
      <c r="A441" s="2" t="s">
        <v>19</v>
      </c>
      <c r="B441" s="2">
        <v>24</v>
      </c>
      <c r="C441" s="2">
        <v>10</v>
      </c>
      <c r="D441" s="2">
        <v>2020</v>
      </c>
      <c r="E441" s="2">
        <v>0</v>
      </c>
      <c r="F441" s="2">
        <v>146.32</v>
      </c>
      <c r="H441" s="1">
        <f>_xlfn.XLOOKUP('Customer Info'!A1040,'Customer Info'!A1040:A1139,'Customer Info'!E1040:E1139,0,0)</f>
        <v>0</v>
      </c>
      <c r="J441" s="1">
        <f>_xlfn.XLOOKUP('Customer Info'!A1040,'Customer Info'!A1040:A1139,'Customer Info'!M1040:M1139)</f>
        <v>0</v>
      </c>
    </row>
    <row r="442" spans="1:10" ht="14" x14ac:dyDescent="0.2">
      <c r="A442" s="2" t="s">
        <v>11</v>
      </c>
      <c r="B442" s="2">
        <v>15</v>
      </c>
      <c r="C442" s="2">
        <v>10</v>
      </c>
      <c r="D442" s="2">
        <v>2021</v>
      </c>
      <c r="E442" s="2">
        <v>0</v>
      </c>
      <c r="F442" s="2">
        <v>146.32</v>
      </c>
      <c r="H442" s="1">
        <f>_xlfn.XLOOKUP('Customer Info'!A2254,'Customer Info'!A2254:A2353,'Customer Info'!E2254:E2353,0,0)</f>
        <v>0</v>
      </c>
      <c r="J442" s="1">
        <f>_xlfn.XLOOKUP('Customer Info'!A2254,'Customer Info'!A2254:A2353,'Customer Info'!M2254:M2353)</f>
        <v>0</v>
      </c>
    </row>
    <row r="443" spans="1:10" ht="14" hidden="1" x14ac:dyDescent="0.2">
      <c r="A443" s="2" t="s">
        <v>98</v>
      </c>
      <c r="B443" s="2">
        <v>21</v>
      </c>
      <c r="C443" s="2">
        <v>2</v>
      </c>
      <c r="D443" s="2">
        <v>2020</v>
      </c>
      <c r="E443" s="1" t="s">
        <v>94</v>
      </c>
      <c r="F443" s="2">
        <v>145.88</v>
      </c>
      <c r="H443" s="1">
        <f>_xlfn.XLOOKUP('Customer Info'!A52,'Customer Info'!A52:A151,'Customer Info'!E52:E151,0,0)</f>
        <v>2</v>
      </c>
      <c r="I443" s="1" t="str">
        <f>_xlfn.XLOOKUP('Customer Info'!A52,'Customer Info'!A52:A151,'Customer Info'!J52:J151,0)</f>
        <v>Mpower</v>
      </c>
      <c r="J443" s="1" t="b">
        <f>_xlfn.XLOOKUP('Customer Info'!A52,'Customer Info'!A52:A151,'Customer Info'!M52:M151)</f>
        <v>0</v>
      </c>
    </row>
    <row r="444" spans="1:10" ht="14" hidden="1" x14ac:dyDescent="0.2">
      <c r="A444" s="2" t="s">
        <v>8</v>
      </c>
      <c r="B444" s="2">
        <v>5</v>
      </c>
      <c r="C444" s="2">
        <v>2</v>
      </c>
      <c r="D444" s="2">
        <v>2020</v>
      </c>
      <c r="E444" s="2">
        <v>0</v>
      </c>
      <c r="F444" s="2">
        <v>145.88</v>
      </c>
      <c r="H444" s="1">
        <f>_xlfn.XLOOKUP('Customer Info'!A1041,'Customer Info'!A1041:A1140,'Customer Info'!E1041:E1140,0,0)</f>
        <v>0</v>
      </c>
      <c r="J444" s="1">
        <f>_xlfn.XLOOKUP('Customer Info'!A1041,'Customer Info'!A1041:A1140,'Customer Info'!M1041:M1140)</f>
        <v>0</v>
      </c>
    </row>
    <row r="445" spans="1:10" ht="14" hidden="1" x14ac:dyDescent="0.2">
      <c r="A445" s="2" t="s">
        <v>97</v>
      </c>
      <c r="B445" s="2">
        <v>12</v>
      </c>
      <c r="C445" s="2">
        <v>11</v>
      </c>
      <c r="D445" s="2">
        <v>2020</v>
      </c>
      <c r="E445" s="1" t="s">
        <v>94</v>
      </c>
      <c r="F445" s="2">
        <v>145.80000000000001</v>
      </c>
      <c r="H445" s="1">
        <f>_xlfn.XLOOKUP('Customer Info'!A53,'Customer Info'!A53:A152,'Customer Info'!E53:E152,0,0)</f>
        <v>2</v>
      </c>
      <c r="I445" s="1" t="str">
        <f>_xlfn.XLOOKUP('Customer Info'!A53,'Customer Info'!A53:A152,'Customer Info'!J53:J152,0)</f>
        <v>SSW</v>
      </c>
      <c r="J445" s="1" t="b">
        <f>_xlfn.XLOOKUP('Customer Info'!A53,'Customer Info'!A53:A152,'Customer Info'!M53:M152)</f>
        <v>0</v>
      </c>
    </row>
    <row r="446" spans="1:10" ht="14" x14ac:dyDescent="0.2">
      <c r="A446" s="2" t="s">
        <v>14</v>
      </c>
      <c r="B446" s="2">
        <v>10</v>
      </c>
      <c r="C446" s="2">
        <v>4</v>
      </c>
      <c r="D446" s="2">
        <v>2021</v>
      </c>
      <c r="E446" s="2">
        <v>0</v>
      </c>
      <c r="F446" s="2">
        <v>145.80000000000001</v>
      </c>
      <c r="H446" s="1">
        <f>_xlfn.XLOOKUP('Customer Info'!A2255,'Customer Info'!A2255:A2354,'Customer Info'!E2255:E2354,0,0)</f>
        <v>0</v>
      </c>
      <c r="J446" s="1">
        <f>_xlfn.XLOOKUP('Customer Info'!A2255,'Customer Info'!A2255:A2354,'Customer Info'!M2255:M2354)</f>
        <v>0</v>
      </c>
    </row>
    <row r="447" spans="1:10" ht="14" x14ac:dyDescent="0.2">
      <c r="A447" s="2" t="s">
        <v>100</v>
      </c>
      <c r="B447" s="2">
        <v>1</v>
      </c>
      <c r="C447" s="2">
        <v>10</v>
      </c>
      <c r="D447" s="2">
        <v>2021</v>
      </c>
      <c r="E447" s="1" t="s">
        <v>94</v>
      </c>
      <c r="F447" s="2">
        <v>145.38999999999999</v>
      </c>
      <c r="H447" s="1">
        <f>_xlfn.XLOOKUP('Customer Info'!A1245,'Customer Info'!A1245:A1344,'Customer Info'!E1245:E1344,0,0)</f>
        <v>0</v>
      </c>
      <c r="J447" s="1">
        <f>_xlfn.XLOOKUP('Customer Info'!A1245,'Customer Info'!A1245:A1344,'Customer Info'!M1245:M1344)</f>
        <v>0</v>
      </c>
    </row>
    <row r="448" spans="1:10" ht="14" hidden="1" x14ac:dyDescent="0.2">
      <c r="A448" s="2" t="s">
        <v>24</v>
      </c>
      <c r="B448" s="2">
        <v>22</v>
      </c>
      <c r="C448" s="2">
        <v>5</v>
      </c>
      <c r="D448" s="2">
        <v>2020</v>
      </c>
      <c r="E448" s="2">
        <v>0</v>
      </c>
      <c r="F448" s="2">
        <v>145.38999999999999</v>
      </c>
      <c r="H448" s="1">
        <f>_xlfn.XLOOKUP('Customer Info'!A1042,'Customer Info'!A1042:A1141,'Customer Info'!E1042:E1141,0,0)</f>
        <v>0</v>
      </c>
      <c r="J448" s="1">
        <f>_xlfn.XLOOKUP('Customer Info'!A1042,'Customer Info'!A1042:A1141,'Customer Info'!M1042:M1141)</f>
        <v>0</v>
      </c>
    </row>
    <row r="449" spans="1:10" ht="14" hidden="1" x14ac:dyDescent="0.2">
      <c r="A449" s="2" t="s">
        <v>20</v>
      </c>
      <c r="B449" s="2">
        <v>12</v>
      </c>
      <c r="C449" s="2">
        <v>10</v>
      </c>
      <c r="D449" s="2">
        <v>2020</v>
      </c>
      <c r="E449" s="2">
        <v>0</v>
      </c>
      <c r="F449" s="2">
        <v>144.77000000000001</v>
      </c>
      <c r="H449" s="1">
        <f>_xlfn.XLOOKUP('Customer Info'!A1043,'Customer Info'!A1043:A1142,'Customer Info'!E1043:E1142,0,0)</f>
        <v>0</v>
      </c>
      <c r="J449" s="1">
        <f>_xlfn.XLOOKUP('Customer Info'!A1043,'Customer Info'!A1043:A1142,'Customer Info'!M1043:M1142)</f>
        <v>0</v>
      </c>
    </row>
    <row r="450" spans="1:10" ht="14" x14ac:dyDescent="0.2">
      <c r="A450" s="2" t="s">
        <v>27</v>
      </c>
      <c r="B450" s="2">
        <v>1</v>
      </c>
      <c r="C450" s="2">
        <v>5</v>
      </c>
      <c r="D450" s="2">
        <v>2021</v>
      </c>
      <c r="E450" s="2">
        <v>0</v>
      </c>
      <c r="F450" s="2">
        <v>144.77000000000001</v>
      </c>
      <c r="H450" s="1">
        <f>_xlfn.XLOOKUP('Customer Info'!A2256,'Customer Info'!A2256:A2355,'Customer Info'!E2256:E2355,0,0)</f>
        <v>0</v>
      </c>
      <c r="J450" s="1">
        <f>_xlfn.XLOOKUP('Customer Info'!A2256,'Customer Info'!A2256:A2355,'Customer Info'!M2256:M2355)</f>
        <v>0</v>
      </c>
    </row>
    <row r="451" spans="1:10" ht="14" x14ac:dyDescent="0.2">
      <c r="A451" s="2" t="s">
        <v>21</v>
      </c>
      <c r="B451" s="2">
        <v>15</v>
      </c>
      <c r="C451" s="2">
        <v>10</v>
      </c>
      <c r="D451" s="2">
        <v>2021</v>
      </c>
      <c r="E451" s="1" t="s">
        <v>94</v>
      </c>
      <c r="F451" s="2">
        <v>144.46</v>
      </c>
      <c r="H451" s="1">
        <f>_xlfn.XLOOKUP('Customer Info'!A1246,'Customer Info'!A1246:A1345,'Customer Info'!E1246:E1345,0,0)</f>
        <v>0</v>
      </c>
      <c r="J451" s="1">
        <f>_xlfn.XLOOKUP('Customer Info'!A1246,'Customer Info'!A1246:A1345,'Customer Info'!M1246:M1345)</f>
        <v>0</v>
      </c>
    </row>
    <row r="452" spans="1:10" ht="14" hidden="1" x14ac:dyDescent="0.2">
      <c r="A452" s="2" t="s">
        <v>8</v>
      </c>
      <c r="B452" s="2">
        <v>5</v>
      </c>
      <c r="C452" s="2">
        <v>10</v>
      </c>
      <c r="D452" s="2">
        <v>2020</v>
      </c>
      <c r="E452" s="1" t="s">
        <v>94</v>
      </c>
      <c r="F452" s="2">
        <v>144.46</v>
      </c>
      <c r="H452" s="1">
        <f>_xlfn.XLOOKUP('Customer Info'!A54,'Customer Info'!A54:A153,'Customer Info'!E54:E153,0,0)</f>
        <v>2</v>
      </c>
      <c r="I452" s="1" t="str">
        <f>_xlfn.XLOOKUP('Customer Info'!A54,'Customer Info'!A54:A153,'Customer Info'!J54:J153,0)</f>
        <v>Mpower</v>
      </c>
      <c r="J452" s="1" t="b">
        <f>_xlfn.XLOOKUP('Customer Info'!A54,'Customer Info'!A54:A153,'Customer Info'!M54:M153)</f>
        <v>0</v>
      </c>
    </row>
    <row r="453" spans="1:10" ht="14" hidden="1" x14ac:dyDescent="0.2">
      <c r="A453" s="2" t="s">
        <v>30</v>
      </c>
      <c r="B453" s="2">
        <v>2</v>
      </c>
      <c r="C453" s="2">
        <v>9</v>
      </c>
      <c r="D453" s="2">
        <v>2020</v>
      </c>
      <c r="E453" s="2">
        <v>0</v>
      </c>
      <c r="F453" s="2">
        <v>144.30000000000001</v>
      </c>
      <c r="H453" s="1">
        <f>_xlfn.XLOOKUP('Customer Info'!A1044,'Customer Info'!A1044:A1143,'Customer Info'!E1044:E1143,0,0)</f>
        <v>0</v>
      </c>
      <c r="J453" s="1">
        <f>_xlfn.XLOOKUP('Customer Info'!A1044,'Customer Info'!A1044:A1143,'Customer Info'!M1044:M1143)</f>
        <v>0</v>
      </c>
    </row>
    <row r="454" spans="1:10" ht="14" hidden="1" x14ac:dyDescent="0.2">
      <c r="A454" s="2" t="s">
        <v>25</v>
      </c>
      <c r="B454" s="2">
        <v>8</v>
      </c>
      <c r="C454" s="2">
        <v>9</v>
      </c>
      <c r="D454" s="2">
        <v>2020</v>
      </c>
      <c r="E454" s="2">
        <v>0</v>
      </c>
      <c r="F454" s="2">
        <v>144.30000000000001</v>
      </c>
      <c r="H454" s="1">
        <f>_xlfn.XLOOKUP('Customer Info'!A1045,'Customer Info'!A1045:A1144,'Customer Info'!E1045:E1144,0,0)</f>
        <v>0</v>
      </c>
      <c r="J454" s="1">
        <f>_xlfn.XLOOKUP('Customer Info'!A1045,'Customer Info'!A1045:A1144,'Customer Info'!M1045:M1144)</f>
        <v>0</v>
      </c>
    </row>
    <row r="455" spans="1:10" ht="14" x14ac:dyDescent="0.2">
      <c r="A455" s="2" t="s">
        <v>4</v>
      </c>
      <c r="B455" s="2">
        <v>1</v>
      </c>
      <c r="C455" s="2">
        <v>1</v>
      </c>
      <c r="D455" s="2">
        <v>2021</v>
      </c>
      <c r="E455" s="2">
        <v>0</v>
      </c>
      <c r="F455" s="2">
        <v>144.15</v>
      </c>
      <c r="H455" s="1">
        <f>_xlfn.XLOOKUP('Customer Info'!A2257,'Customer Info'!A2257:A2356,'Customer Info'!E2257:E2356,0,0)</f>
        <v>0</v>
      </c>
      <c r="J455" s="1">
        <f>_xlfn.XLOOKUP('Customer Info'!A2257,'Customer Info'!A2257:A2356,'Customer Info'!M2257:M2356)</f>
        <v>0</v>
      </c>
    </row>
    <row r="456" spans="1:10" ht="14" hidden="1" x14ac:dyDescent="0.2">
      <c r="A456" s="2" t="s">
        <v>10</v>
      </c>
      <c r="B456" s="2">
        <v>18</v>
      </c>
      <c r="C456" s="2">
        <v>10</v>
      </c>
      <c r="D456" s="2">
        <v>2020</v>
      </c>
      <c r="E456" s="2">
        <v>0</v>
      </c>
      <c r="F456" s="2">
        <v>143.84</v>
      </c>
      <c r="H456" s="1">
        <f>_xlfn.XLOOKUP('Customer Info'!A1046,'Customer Info'!A1046:A1145,'Customer Info'!E1046:E1145,0,0)</f>
        <v>0</v>
      </c>
      <c r="J456" s="1">
        <f>_xlfn.XLOOKUP('Customer Info'!A1046,'Customer Info'!A1046:A1145,'Customer Info'!M1046:M1145)</f>
        <v>0</v>
      </c>
    </row>
    <row r="457" spans="1:10" ht="14" x14ac:dyDescent="0.2">
      <c r="A457" s="2" t="s">
        <v>18</v>
      </c>
      <c r="B457" s="2">
        <v>5</v>
      </c>
      <c r="C457" s="2">
        <v>10</v>
      </c>
      <c r="D457" s="2">
        <v>2021</v>
      </c>
      <c r="E457" s="2">
        <v>0</v>
      </c>
      <c r="F457" s="2">
        <v>143.84</v>
      </c>
      <c r="H457" s="1">
        <f>_xlfn.XLOOKUP('Customer Info'!A2258,'Customer Info'!A2258:A2357,'Customer Info'!E2258:E2357,0,0)</f>
        <v>0</v>
      </c>
      <c r="J457" s="1">
        <f>_xlfn.XLOOKUP('Customer Info'!A2258,'Customer Info'!A2258:A2357,'Customer Info'!M2258:M2357)</f>
        <v>0</v>
      </c>
    </row>
    <row r="458" spans="1:10" ht="14" hidden="1" x14ac:dyDescent="0.2">
      <c r="A458" s="2" t="s">
        <v>28</v>
      </c>
      <c r="B458" s="2">
        <v>5</v>
      </c>
      <c r="C458" s="2">
        <v>4</v>
      </c>
      <c r="D458" s="2">
        <v>2020</v>
      </c>
      <c r="E458" s="2">
        <v>0</v>
      </c>
      <c r="F458" s="2">
        <v>143.69999999999999</v>
      </c>
      <c r="H458" s="1">
        <f>_xlfn.XLOOKUP('Customer Info'!A1047,'Customer Info'!A1047:A1146,'Customer Info'!E1047:E1146,0,0)</f>
        <v>0</v>
      </c>
      <c r="J458" s="1">
        <f>_xlfn.XLOOKUP('Customer Info'!A1047,'Customer Info'!A1047:A1146,'Customer Info'!M1047:M1146)</f>
        <v>0</v>
      </c>
    </row>
    <row r="459" spans="1:10" ht="14" x14ac:dyDescent="0.2">
      <c r="A459" s="2" t="s">
        <v>30</v>
      </c>
      <c r="B459" s="2">
        <v>2</v>
      </c>
      <c r="C459" s="2">
        <v>8</v>
      </c>
      <c r="D459" s="2">
        <v>2021</v>
      </c>
      <c r="E459" s="2">
        <v>0</v>
      </c>
      <c r="F459" s="2">
        <v>143.22</v>
      </c>
      <c r="H459" s="1">
        <f>_xlfn.XLOOKUP('Customer Info'!A2259,'Customer Info'!A2259:A2358,'Customer Info'!E2259:E2358,0,0)</f>
        <v>0</v>
      </c>
      <c r="J459" s="1">
        <f>_xlfn.XLOOKUP('Customer Info'!A2259,'Customer Info'!A2259:A2358,'Customer Info'!M2259:M2358)</f>
        <v>0</v>
      </c>
    </row>
    <row r="460" spans="1:10" ht="14" hidden="1" x14ac:dyDescent="0.2">
      <c r="A460" s="2" t="s">
        <v>9</v>
      </c>
      <c r="B460" s="2">
        <v>22</v>
      </c>
      <c r="C460" s="2">
        <v>2</v>
      </c>
      <c r="D460" s="2">
        <v>2020</v>
      </c>
      <c r="E460" s="2">
        <v>0</v>
      </c>
      <c r="F460" s="2">
        <v>143.08000000000001</v>
      </c>
      <c r="H460" s="1">
        <f>_xlfn.XLOOKUP('Customer Info'!A1048,'Customer Info'!A1048:A1147,'Customer Info'!E1048:E1147,0,0)</f>
        <v>0</v>
      </c>
      <c r="J460" s="1">
        <f>_xlfn.XLOOKUP('Customer Info'!A1048,'Customer Info'!A1048:A1147,'Customer Info'!M1048:M1147)</f>
        <v>0</v>
      </c>
    </row>
    <row r="461" spans="1:10" ht="14" hidden="1" x14ac:dyDescent="0.2">
      <c r="A461" s="2" t="s">
        <v>30</v>
      </c>
      <c r="B461" s="2">
        <v>2</v>
      </c>
      <c r="C461" s="2">
        <v>7</v>
      </c>
      <c r="D461" s="2">
        <v>2020</v>
      </c>
      <c r="E461" s="1" t="s">
        <v>94</v>
      </c>
      <c r="F461" s="2">
        <v>142.91</v>
      </c>
      <c r="H461" s="1">
        <f>_xlfn.XLOOKUP('Customer Info'!A55,'Customer Info'!A55:A154,'Customer Info'!E55:E154,0,0)</f>
        <v>4</v>
      </c>
      <c r="I461" s="1" t="str">
        <f>_xlfn.XLOOKUP('Customer Info'!A55,'Customer Info'!A55:A154,'Customer Info'!J55:J154,0)</f>
        <v>SSW</v>
      </c>
      <c r="J461" s="1" t="b">
        <f>_xlfn.XLOOKUP('Customer Info'!A55,'Customer Info'!A55:A154,'Customer Info'!M55:M154)</f>
        <v>0</v>
      </c>
    </row>
    <row r="462" spans="1:10" ht="14" hidden="1" x14ac:dyDescent="0.2">
      <c r="A462" s="2" t="s">
        <v>16</v>
      </c>
      <c r="B462" s="2">
        <v>14</v>
      </c>
      <c r="C462" s="2">
        <v>10</v>
      </c>
      <c r="D462" s="2">
        <v>2020</v>
      </c>
      <c r="E462" s="2">
        <v>0</v>
      </c>
      <c r="F462" s="2">
        <v>142.91</v>
      </c>
      <c r="H462" s="1">
        <f>_xlfn.XLOOKUP('Customer Info'!A1049,'Customer Info'!A1049:A1148,'Customer Info'!E1049:E1148,0,0)</f>
        <v>0</v>
      </c>
      <c r="J462" s="1">
        <f>_xlfn.XLOOKUP('Customer Info'!A1049,'Customer Info'!A1049:A1148,'Customer Info'!M1049:M1148)</f>
        <v>0</v>
      </c>
    </row>
    <row r="463" spans="1:10" ht="14" x14ac:dyDescent="0.2">
      <c r="A463" s="2" t="s">
        <v>98</v>
      </c>
      <c r="B463" s="2">
        <v>21</v>
      </c>
      <c r="C463" s="2">
        <v>4</v>
      </c>
      <c r="D463" s="2">
        <v>2021</v>
      </c>
      <c r="E463" s="1" t="s">
        <v>94</v>
      </c>
      <c r="F463" s="2">
        <v>142.80000000000001</v>
      </c>
      <c r="H463" s="1">
        <f>_xlfn.XLOOKUP('Customer Info'!A1247,'Customer Info'!A1247:A1346,'Customer Info'!E1247:E1346,0,0)</f>
        <v>0</v>
      </c>
      <c r="J463" s="1">
        <f>_xlfn.XLOOKUP('Customer Info'!A1247,'Customer Info'!A1247:A1346,'Customer Info'!M1247:M1346)</f>
        <v>0</v>
      </c>
    </row>
    <row r="464" spans="1:10" ht="14" hidden="1" x14ac:dyDescent="0.2">
      <c r="A464" s="2" t="s">
        <v>11</v>
      </c>
      <c r="B464" s="2">
        <v>15</v>
      </c>
      <c r="C464" s="2">
        <v>5</v>
      </c>
      <c r="D464" s="2">
        <v>2020</v>
      </c>
      <c r="E464" s="2">
        <v>0</v>
      </c>
      <c r="F464" s="2">
        <v>142.6</v>
      </c>
      <c r="H464" s="1">
        <f>_xlfn.XLOOKUP('Customer Info'!A1050,'Customer Info'!A1050:A1149,'Customer Info'!E1050:E1149,0,0)</f>
        <v>0</v>
      </c>
      <c r="J464" s="1">
        <f>_xlfn.XLOOKUP('Customer Info'!A1050,'Customer Info'!A1050:A1149,'Customer Info'!M1050:M1149)</f>
        <v>0</v>
      </c>
    </row>
    <row r="465" spans="1:10" ht="14" hidden="1" x14ac:dyDescent="0.2">
      <c r="A465" s="2" t="s">
        <v>26</v>
      </c>
      <c r="B465" s="2">
        <v>22</v>
      </c>
      <c r="C465" s="2">
        <v>5</v>
      </c>
      <c r="D465" s="2">
        <v>2020</v>
      </c>
      <c r="E465" s="2">
        <v>0</v>
      </c>
      <c r="F465" s="2">
        <v>142.6</v>
      </c>
      <c r="H465" s="1">
        <f>_xlfn.XLOOKUP('Customer Info'!A1051,'Customer Info'!A1051:A1150,'Customer Info'!E1051:E1150,0,0)</f>
        <v>0</v>
      </c>
      <c r="J465" s="1">
        <f>_xlfn.XLOOKUP('Customer Info'!A1051,'Customer Info'!A1051:A1150,'Customer Info'!M1051:M1150)</f>
        <v>0</v>
      </c>
    </row>
    <row r="466" spans="1:10" ht="14" hidden="1" x14ac:dyDescent="0.2">
      <c r="A466" s="2" t="s">
        <v>18</v>
      </c>
      <c r="B466" s="2">
        <v>5</v>
      </c>
      <c r="C466" s="2">
        <v>10</v>
      </c>
      <c r="D466" s="2">
        <v>2020</v>
      </c>
      <c r="E466" s="2">
        <v>0</v>
      </c>
      <c r="F466" s="2">
        <v>142.6</v>
      </c>
      <c r="H466" s="1">
        <f>_xlfn.XLOOKUP('Customer Info'!A1052,'Customer Info'!A1052:A1151,'Customer Info'!E1052:E1151,0,0)</f>
        <v>0</v>
      </c>
      <c r="J466" s="1">
        <f>_xlfn.XLOOKUP('Customer Info'!A1052,'Customer Info'!A1052:A1151,'Customer Info'!M1052:M1151)</f>
        <v>0</v>
      </c>
    </row>
    <row r="467" spans="1:10" ht="14" x14ac:dyDescent="0.2">
      <c r="A467" s="2" t="s">
        <v>19</v>
      </c>
      <c r="B467" s="2">
        <v>24</v>
      </c>
      <c r="C467" s="2">
        <v>10</v>
      </c>
      <c r="D467" s="2">
        <v>2021</v>
      </c>
      <c r="E467" s="2">
        <v>0</v>
      </c>
      <c r="F467" s="2">
        <v>142.6</v>
      </c>
      <c r="H467" s="1">
        <f>_xlfn.XLOOKUP('Customer Info'!A2260,'Customer Info'!A2260:A2359,'Customer Info'!E2260:E2359,0,0)</f>
        <v>0</v>
      </c>
      <c r="J467" s="1">
        <f>_xlfn.XLOOKUP('Customer Info'!A2260,'Customer Info'!A2260:A2359,'Customer Info'!M2260:M2359)</f>
        <v>0</v>
      </c>
    </row>
    <row r="468" spans="1:10" ht="14" hidden="1" x14ac:dyDescent="0.2">
      <c r="A468" s="2" t="s">
        <v>11</v>
      </c>
      <c r="B468" s="2">
        <v>15</v>
      </c>
      <c r="C468" s="2">
        <v>4</v>
      </c>
      <c r="D468" s="2">
        <v>2020</v>
      </c>
      <c r="E468" s="2">
        <v>0</v>
      </c>
      <c r="F468" s="2">
        <v>142.5</v>
      </c>
      <c r="H468" s="1">
        <f>_xlfn.XLOOKUP('Customer Info'!A1053,'Customer Info'!A1053:A1152,'Customer Info'!E1053:E1152,0,0)</f>
        <v>0</v>
      </c>
      <c r="J468" s="1">
        <f>_xlfn.XLOOKUP('Customer Info'!A1053,'Customer Info'!A1053:A1152,'Customer Info'!M1053:M1152)</f>
        <v>0</v>
      </c>
    </row>
    <row r="469" spans="1:10" ht="14" x14ac:dyDescent="0.2">
      <c r="A469" s="2" t="s">
        <v>23</v>
      </c>
      <c r="B469" s="2">
        <v>5</v>
      </c>
      <c r="C469" s="2">
        <v>5</v>
      </c>
      <c r="D469" s="2">
        <v>2021</v>
      </c>
      <c r="E469" s="2">
        <v>0</v>
      </c>
      <c r="F469" s="2">
        <v>142.29</v>
      </c>
      <c r="H469" s="1">
        <f>_xlfn.XLOOKUP('Customer Info'!A2261,'Customer Info'!A2261:A2360,'Customer Info'!E2261:E2360,0,0)</f>
        <v>0</v>
      </c>
      <c r="J469" s="1">
        <f>_xlfn.XLOOKUP('Customer Info'!A2261,'Customer Info'!A2261:A2360,'Customer Info'!M2261:M2360)</f>
        <v>0</v>
      </c>
    </row>
    <row r="470" spans="1:10" ht="14" x14ac:dyDescent="0.2">
      <c r="A470" s="2" t="s">
        <v>100</v>
      </c>
      <c r="B470" s="2">
        <v>1</v>
      </c>
      <c r="C470" s="2">
        <v>3</v>
      </c>
      <c r="D470" s="2">
        <v>2021</v>
      </c>
      <c r="E470" s="1" t="s">
        <v>94</v>
      </c>
      <c r="F470" s="2">
        <v>141.97999999999999</v>
      </c>
      <c r="H470" s="1">
        <f>_xlfn.XLOOKUP('Customer Info'!A1248,'Customer Info'!A1248:A1347,'Customer Info'!E1248:E1347,0,0)</f>
        <v>0</v>
      </c>
      <c r="J470" s="1">
        <f>_xlfn.XLOOKUP('Customer Info'!A1248,'Customer Info'!A1248:A1347,'Customer Info'!M1248:M1347)</f>
        <v>0</v>
      </c>
    </row>
    <row r="471" spans="1:10" ht="14" hidden="1" x14ac:dyDescent="0.2">
      <c r="A471" s="2" t="s">
        <v>98</v>
      </c>
      <c r="B471" s="2">
        <v>21</v>
      </c>
      <c r="C471" s="2">
        <v>3</v>
      </c>
      <c r="D471" s="2">
        <v>2020</v>
      </c>
      <c r="E471" s="1" t="s">
        <v>94</v>
      </c>
      <c r="F471" s="2">
        <v>141.97999999999999</v>
      </c>
      <c r="H471" s="1">
        <f>_xlfn.XLOOKUP('Customer Info'!A56,'Customer Info'!A56:A155,'Customer Info'!E56:E155,0,0)</f>
        <v>3</v>
      </c>
      <c r="I471" s="1" t="str">
        <f>_xlfn.XLOOKUP('Customer Info'!A56,'Customer Info'!A56:A155,'Customer Info'!J56:J155,0)</f>
        <v>Scottish Gas</v>
      </c>
      <c r="J471" s="1" t="b">
        <f>_xlfn.XLOOKUP('Customer Info'!A56,'Customer Info'!A56:A155,'Customer Info'!M56:M155)</f>
        <v>0</v>
      </c>
    </row>
    <row r="472" spans="1:10" ht="14" x14ac:dyDescent="0.2">
      <c r="A472" s="2" t="s">
        <v>1</v>
      </c>
      <c r="B472" s="2">
        <v>21</v>
      </c>
      <c r="C472" s="2">
        <v>1</v>
      </c>
      <c r="D472" s="2">
        <v>2021</v>
      </c>
      <c r="E472" s="2">
        <v>0</v>
      </c>
      <c r="F472" s="2">
        <v>141.66999999999999</v>
      </c>
      <c r="H472" s="1">
        <f>_xlfn.XLOOKUP('Customer Info'!A2262,'Customer Info'!A2262:A2361,'Customer Info'!E2262:E2361,0,0)</f>
        <v>0</v>
      </c>
      <c r="J472" s="1">
        <f>_xlfn.XLOOKUP('Customer Info'!A2262,'Customer Info'!A2262:A2361,'Customer Info'!M2262:M2361)</f>
        <v>0</v>
      </c>
    </row>
    <row r="473" spans="1:10" ht="14" x14ac:dyDescent="0.2">
      <c r="A473" s="2" t="s">
        <v>7</v>
      </c>
      <c r="B473" s="2">
        <v>20</v>
      </c>
      <c r="C473" s="2">
        <v>3</v>
      </c>
      <c r="D473" s="2">
        <v>2021</v>
      </c>
      <c r="E473" s="1" t="s">
        <v>94</v>
      </c>
      <c r="F473" s="2">
        <v>141.36000000000001</v>
      </c>
      <c r="H473" s="1">
        <f>_xlfn.XLOOKUP('Customer Info'!A1249,'Customer Info'!A1249:A1348,'Customer Info'!E1249:E1348,0,0)</f>
        <v>0</v>
      </c>
      <c r="J473" s="1">
        <f>_xlfn.XLOOKUP('Customer Info'!A1249,'Customer Info'!A1249:A1348,'Customer Info'!M1249:M1348)</f>
        <v>0</v>
      </c>
    </row>
    <row r="474" spans="1:10" ht="14" hidden="1" x14ac:dyDescent="0.2">
      <c r="A474" s="2" t="s">
        <v>7</v>
      </c>
      <c r="B474" s="2">
        <v>20</v>
      </c>
      <c r="C474" s="2">
        <v>3</v>
      </c>
      <c r="D474" s="2">
        <v>2020</v>
      </c>
      <c r="E474" s="2">
        <v>0</v>
      </c>
      <c r="F474" s="2">
        <v>141.36000000000001</v>
      </c>
      <c r="H474" s="1">
        <f>_xlfn.XLOOKUP('Customer Info'!A1054,'Customer Info'!A1054:A1153,'Customer Info'!E1054:E1153,0,0)</f>
        <v>0</v>
      </c>
      <c r="J474" s="1">
        <f>_xlfn.XLOOKUP('Customer Info'!A1054,'Customer Info'!A1054:A1153,'Customer Info'!M1054:M1153)</f>
        <v>0</v>
      </c>
    </row>
    <row r="475" spans="1:10" ht="14" x14ac:dyDescent="0.2">
      <c r="A475" s="2" t="s">
        <v>10</v>
      </c>
      <c r="B475" s="2">
        <v>18</v>
      </c>
      <c r="C475" s="2">
        <v>4</v>
      </c>
      <c r="D475" s="2">
        <v>2021</v>
      </c>
      <c r="E475" s="2">
        <v>0</v>
      </c>
      <c r="F475" s="2">
        <v>141.30000000000001</v>
      </c>
      <c r="H475" s="1">
        <f>_xlfn.XLOOKUP('Customer Info'!A2263,'Customer Info'!A2263:A2362,'Customer Info'!E2263:E2362,0,0)</f>
        <v>0</v>
      </c>
      <c r="J475" s="1">
        <f>_xlfn.XLOOKUP('Customer Info'!A2263,'Customer Info'!A2263:A2362,'Customer Info'!M2263:M2362)</f>
        <v>0</v>
      </c>
    </row>
    <row r="476" spans="1:10" ht="14" x14ac:dyDescent="0.2">
      <c r="A476" s="2" t="s">
        <v>11</v>
      </c>
      <c r="B476" s="2">
        <v>15</v>
      </c>
      <c r="C476" s="2">
        <v>9</v>
      </c>
      <c r="D476" s="2">
        <v>2021</v>
      </c>
      <c r="E476" s="2">
        <v>0</v>
      </c>
      <c r="F476" s="2">
        <v>141.30000000000001</v>
      </c>
      <c r="H476" s="1">
        <f>_xlfn.XLOOKUP('Customer Info'!A2264,'Customer Info'!A2264:A2363,'Customer Info'!E2264:E2363,0,0)</f>
        <v>0</v>
      </c>
      <c r="J476" s="1">
        <f>_xlfn.XLOOKUP('Customer Info'!A2264,'Customer Info'!A2264:A2363,'Customer Info'!M2264:M2363)</f>
        <v>0</v>
      </c>
    </row>
    <row r="477" spans="1:10" ht="14" hidden="1" x14ac:dyDescent="0.2">
      <c r="A477" s="2" t="s">
        <v>25</v>
      </c>
      <c r="B477" s="2">
        <v>8</v>
      </c>
      <c r="C477" s="2">
        <v>5</v>
      </c>
      <c r="D477" s="2">
        <v>2020</v>
      </c>
      <c r="E477" s="2">
        <v>0</v>
      </c>
      <c r="F477" s="2">
        <v>141.05000000000001</v>
      </c>
      <c r="H477" s="1">
        <f>_xlfn.XLOOKUP('Customer Info'!A1055,'Customer Info'!A1055:A1154,'Customer Info'!E1055:E1154,0,0)</f>
        <v>0</v>
      </c>
      <c r="J477" s="1">
        <f>_xlfn.XLOOKUP('Customer Info'!A1055,'Customer Info'!A1055:A1154,'Customer Info'!M1055:M1154)</f>
        <v>0</v>
      </c>
    </row>
    <row r="478" spans="1:10" ht="14" x14ac:dyDescent="0.2">
      <c r="A478" s="2" t="s">
        <v>29</v>
      </c>
      <c r="B478" s="2">
        <v>20</v>
      </c>
      <c r="C478" s="2">
        <v>5</v>
      </c>
      <c r="D478" s="2">
        <v>2021</v>
      </c>
      <c r="E478" s="2">
        <v>0</v>
      </c>
      <c r="F478" s="2">
        <v>141.05000000000001</v>
      </c>
      <c r="H478" s="1">
        <f>_xlfn.XLOOKUP('Customer Info'!A2265,'Customer Info'!A2265:A2364,'Customer Info'!E2265:E2364,0,0)</f>
        <v>0</v>
      </c>
      <c r="J478" s="1">
        <f>_xlfn.XLOOKUP('Customer Info'!A2265,'Customer Info'!A2265:A2364,'Customer Info'!M2265:M2364)</f>
        <v>0</v>
      </c>
    </row>
    <row r="479" spans="1:10" ht="14" x14ac:dyDescent="0.2">
      <c r="A479" s="2" t="s">
        <v>29</v>
      </c>
      <c r="B479" s="2">
        <v>20</v>
      </c>
      <c r="C479" s="2">
        <v>7</v>
      </c>
      <c r="D479" s="2">
        <v>2021</v>
      </c>
      <c r="E479" s="2">
        <v>0</v>
      </c>
      <c r="F479" s="2">
        <v>141.05000000000001</v>
      </c>
      <c r="H479" s="1">
        <f>_xlfn.XLOOKUP('Customer Info'!A2266,'Customer Info'!A2266:A2365,'Customer Info'!E2266:E2365,0,0)</f>
        <v>0</v>
      </c>
      <c r="J479" s="1">
        <f>_xlfn.XLOOKUP('Customer Info'!A2266,'Customer Info'!A2266:A2365,'Customer Info'!M2266:M2365)</f>
        <v>0</v>
      </c>
    </row>
    <row r="480" spans="1:10" ht="14" x14ac:dyDescent="0.2">
      <c r="A480" s="2" t="s">
        <v>12</v>
      </c>
      <c r="B480" s="2">
        <v>2</v>
      </c>
      <c r="C480" s="2">
        <v>10</v>
      </c>
      <c r="D480" s="2">
        <v>2021</v>
      </c>
      <c r="E480" s="2">
        <v>0</v>
      </c>
      <c r="F480" s="2">
        <v>141.05000000000001</v>
      </c>
      <c r="H480" s="1">
        <f>_xlfn.XLOOKUP('Customer Info'!A2267,'Customer Info'!A2267:A2366,'Customer Info'!E2267:E2366,0,0)</f>
        <v>0</v>
      </c>
      <c r="J480" s="1">
        <f>_xlfn.XLOOKUP('Customer Info'!A2267,'Customer Info'!A2267:A2366,'Customer Info'!M2267:M2366)</f>
        <v>0</v>
      </c>
    </row>
    <row r="481" spans="1:10" ht="14" x14ac:dyDescent="0.2">
      <c r="A481" s="2" t="s">
        <v>9</v>
      </c>
      <c r="B481" s="2">
        <v>22</v>
      </c>
      <c r="C481" s="2">
        <v>3</v>
      </c>
      <c r="D481" s="2">
        <v>2021</v>
      </c>
      <c r="E481" s="2">
        <v>0</v>
      </c>
      <c r="F481" s="2">
        <v>140.74</v>
      </c>
      <c r="H481" s="1">
        <f>_xlfn.XLOOKUP('Customer Info'!A2268,'Customer Info'!A2268:A2367,'Customer Info'!E2268:E2367,0,0)</f>
        <v>0</v>
      </c>
      <c r="J481" s="1">
        <f>_xlfn.XLOOKUP('Customer Info'!A2268,'Customer Info'!A2268:A2367,'Customer Info'!M2268:M2367)</f>
        <v>0</v>
      </c>
    </row>
    <row r="482" spans="1:10" ht="14" x14ac:dyDescent="0.2">
      <c r="A482" s="2" t="s">
        <v>6</v>
      </c>
      <c r="B482" s="2">
        <v>7</v>
      </c>
      <c r="C482" s="2">
        <v>10</v>
      </c>
      <c r="D482" s="2">
        <v>2021</v>
      </c>
      <c r="E482" s="2">
        <v>0</v>
      </c>
      <c r="F482" s="2">
        <v>140.43</v>
      </c>
      <c r="H482" s="1">
        <f>_xlfn.XLOOKUP('Customer Info'!A2269,'Customer Info'!A2269:A2368,'Customer Info'!E2269:E2368,0,0)</f>
        <v>0</v>
      </c>
      <c r="J482" s="1">
        <f>_xlfn.XLOOKUP('Customer Info'!A2269,'Customer Info'!A2269:A2368,'Customer Info'!M2269:M2368)</f>
        <v>0</v>
      </c>
    </row>
    <row r="483" spans="1:10" ht="14" x14ac:dyDescent="0.2">
      <c r="A483" s="2" t="s">
        <v>1</v>
      </c>
      <c r="B483" s="2">
        <v>21</v>
      </c>
      <c r="C483" s="2">
        <v>12</v>
      </c>
      <c r="D483" s="2">
        <v>2021</v>
      </c>
      <c r="E483" s="2">
        <v>0</v>
      </c>
      <c r="F483" s="2">
        <v>140.43</v>
      </c>
      <c r="H483" s="1">
        <f>_xlfn.XLOOKUP('Customer Info'!A2270,'Customer Info'!A2270:A2369,'Customer Info'!E2270:E2369,0,0)</f>
        <v>0</v>
      </c>
      <c r="J483" s="1">
        <f>_xlfn.XLOOKUP('Customer Info'!A2270,'Customer Info'!A2270:A2369,'Customer Info'!M2270:M2369)</f>
        <v>0</v>
      </c>
    </row>
    <row r="484" spans="1:10" ht="14" hidden="1" x14ac:dyDescent="0.2">
      <c r="A484" s="2" t="s">
        <v>11</v>
      </c>
      <c r="B484" s="2">
        <v>15</v>
      </c>
      <c r="C484" s="2">
        <v>9</v>
      </c>
      <c r="D484" s="2">
        <v>2020</v>
      </c>
      <c r="E484" s="2">
        <v>0</v>
      </c>
      <c r="F484" s="2">
        <v>140.4</v>
      </c>
      <c r="H484" s="1">
        <f>_xlfn.XLOOKUP('Customer Info'!A1056,'Customer Info'!A1056:A1155,'Customer Info'!E1056:E1155,0,0)</f>
        <v>0</v>
      </c>
      <c r="J484" s="1">
        <f>_xlfn.XLOOKUP('Customer Info'!A1056,'Customer Info'!A1056:A1155,'Customer Info'!M1056:M1155)</f>
        <v>0</v>
      </c>
    </row>
    <row r="485" spans="1:10" ht="14" x14ac:dyDescent="0.2">
      <c r="A485" s="2" t="s">
        <v>23</v>
      </c>
      <c r="B485" s="2">
        <v>5</v>
      </c>
      <c r="C485" s="2">
        <v>8</v>
      </c>
      <c r="D485" s="2">
        <v>2021</v>
      </c>
      <c r="E485" s="2">
        <v>0</v>
      </c>
      <c r="F485" s="2">
        <v>140.12</v>
      </c>
      <c r="H485" s="1">
        <f>_xlfn.XLOOKUP('Customer Info'!A2271,'Customer Info'!A2271:A2370,'Customer Info'!E2271:E2370,0,0)</f>
        <v>0</v>
      </c>
      <c r="J485" s="1">
        <f>_xlfn.XLOOKUP('Customer Info'!A2271,'Customer Info'!A2271:A2370,'Customer Info'!M2271:M2370)</f>
        <v>0</v>
      </c>
    </row>
    <row r="486" spans="1:10" ht="14" hidden="1" x14ac:dyDescent="0.2">
      <c r="A486" s="2" t="s">
        <v>18</v>
      </c>
      <c r="B486" s="2">
        <v>5</v>
      </c>
      <c r="C486" s="2">
        <v>4</v>
      </c>
      <c r="D486" s="2">
        <v>2020</v>
      </c>
      <c r="E486" s="2">
        <v>0</v>
      </c>
      <c r="F486" s="2">
        <v>140.1</v>
      </c>
      <c r="H486" s="1">
        <f>_xlfn.XLOOKUP('Customer Info'!A1057,'Customer Info'!A1057:A1156,'Customer Info'!E1057:E1156,0,0)</f>
        <v>0</v>
      </c>
      <c r="J486" s="1">
        <f>_xlfn.XLOOKUP('Customer Info'!A1057,'Customer Info'!A1057:A1156,'Customer Info'!M1057:M1156)</f>
        <v>0</v>
      </c>
    </row>
    <row r="487" spans="1:10" ht="14" hidden="1" x14ac:dyDescent="0.2">
      <c r="A487" s="2" t="s">
        <v>4</v>
      </c>
      <c r="B487" s="2">
        <v>1</v>
      </c>
      <c r="C487" s="2">
        <v>3</v>
      </c>
      <c r="D487" s="2">
        <v>2020</v>
      </c>
      <c r="E487" s="2">
        <v>0</v>
      </c>
      <c r="F487" s="2">
        <v>139.81</v>
      </c>
      <c r="H487" s="1">
        <f>_xlfn.XLOOKUP('Customer Info'!A1058,'Customer Info'!A1058:A1157,'Customer Info'!E1058:E1157,0,0)</f>
        <v>0</v>
      </c>
      <c r="J487" s="1">
        <f>_xlfn.XLOOKUP('Customer Info'!A1058,'Customer Info'!A1058:A1157,'Customer Info'!M1058:M1157)</f>
        <v>0</v>
      </c>
    </row>
    <row r="488" spans="1:10" ht="14" x14ac:dyDescent="0.2">
      <c r="A488" s="2" t="s">
        <v>22</v>
      </c>
      <c r="B488" s="2">
        <v>22</v>
      </c>
      <c r="C488" s="2">
        <v>8</v>
      </c>
      <c r="D488" s="2">
        <v>2021</v>
      </c>
      <c r="E488" s="2">
        <v>0</v>
      </c>
      <c r="F488" s="2">
        <v>139.81</v>
      </c>
      <c r="H488" s="1">
        <f>_xlfn.XLOOKUP('Customer Info'!A2272,'Customer Info'!A2272:A2371,'Customer Info'!E2272:E2371,0,0)</f>
        <v>0</v>
      </c>
      <c r="J488" s="1">
        <f>_xlfn.XLOOKUP('Customer Info'!A2272,'Customer Info'!A2272:A2371,'Customer Info'!M2272:M2371)</f>
        <v>0</v>
      </c>
    </row>
    <row r="489" spans="1:10" ht="14" hidden="1" x14ac:dyDescent="0.2">
      <c r="A489" s="2" t="s">
        <v>19</v>
      </c>
      <c r="B489" s="2">
        <v>24</v>
      </c>
      <c r="C489" s="2">
        <v>4</v>
      </c>
      <c r="D489" s="2">
        <v>2020</v>
      </c>
      <c r="E489" s="2">
        <v>0</v>
      </c>
      <c r="F489" s="2">
        <v>139.80000000000001</v>
      </c>
      <c r="H489" s="1">
        <f>_xlfn.XLOOKUP('Customer Info'!A1059,'Customer Info'!A1059:A1158,'Customer Info'!E1059:E1158,0,0)</f>
        <v>0</v>
      </c>
      <c r="J489" s="1">
        <f>_xlfn.XLOOKUP('Customer Info'!A1059,'Customer Info'!A1059:A1158,'Customer Info'!M1059:M1158)</f>
        <v>0</v>
      </c>
    </row>
    <row r="490" spans="1:10" ht="14" hidden="1" x14ac:dyDescent="0.2">
      <c r="A490" s="2" t="s">
        <v>99</v>
      </c>
      <c r="B490" s="2">
        <v>10</v>
      </c>
      <c r="C490" s="2">
        <v>4</v>
      </c>
      <c r="D490" s="2">
        <v>2020</v>
      </c>
      <c r="E490" s="1" t="s">
        <v>94</v>
      </c>
      <c r="F490" s="2">
        <v>139.5</v>
      </c>
      <c r="H490" s="1">
        <f>_xlfn.XLOOKUP('Customer Info'!A57,'Customer Info'!A57:A156,'Customer Info'!E57:E156,0,0)</f>
        <v>4</v>
      </c>
      <c r="I490" s="1" t="str">
        <f>_xlfn.XLOOKUP('Customer Info'!A57,'Customer Info'!A57:A156,'Customer Info'!J57:J156,0)</f>
        <v>Scottish Gas</v>
      </c>
      <c r="J490" s="1" t="b">
        <f>_xlfn.XLOOKUP('Customer Info'!A57,'Customer Info'!A57:A156,'Customer Info'!M57:M156)</f>
        <v>0</v>
      </c>
    </row>
    <row r="491" spans="1:10" ht="14" x14ac:dyDescent="0.2">
      <c r="A491" s="2" t="s">
        <v>13</v>
      </c>
      <c r="B491" s="2">
        <v>7</v>
      </c>
      <c r="C491" s="2">
        <v>4</v>
      </c>
      <c r="D491" s="2">
        <v>2021</v>
      </c>
      <c r="E491" s="2">
        <v>0</v>
      </c>
      <c r="F491" s="2">
        <v>139.5</v>
      </c>
      <c r="H491" s="1">
        <f>_xlfn.XLOOKUP('Customer Info'!A2273,'Customer Info'!A2273:A2372,'Customer Info'!E2273:E2372,0,0)</f>
        <v>0</v>
      </c>
      <c r="J491" s="1">
        <f>_xlfn.XLOOKUP('Customer Info'!A2273,'Customer Info'!A2273:A2372,'Customer Info'!M2273:M2372)</f>
        <v>0</v>
      </c>
    </row>
    <row r="492" spans="1:10" ht="14" x14ac:dyDescent="0.2">
      <c r="A492" s="2" t="s">
        <v>28</v>
      </c>
      <c r="B492" s="2">
        <v>5</v>
      </c>
      <c r="C492" s="2">
        <v>6</v>
      </c>
      <c r="D492" s="2">
        <v>2021</v>
      </c>
      <c r="E492" s="1" t="s">
        <v>94</v>
      </c>
      <c r="F492" s="2">
        <v>139.19999999999999</v>
      </c>
      <c r="H492" s="1">
        <f>_xlfn.XLOOKUP('Customer Info'!A1250,'Customer Info'!A1250:A1349,'Customer Info'!E1250:E1349,0,0)</f>
        <v>0</v>
      </c>
      <c r="J492" s="1">
        <f>_xlfn.XLOOKUP('Customer Info'!A1250,'Customer Info'!A1250:A1349,'Customer Info'!M1250:M1349)</f>
        <v>0</v>
      </c>
    </row>
    <row r="493" spans="1:10" ht="14" x14ac:dyDescent="0.2">
      <c r="A493" s="2" t="s">
        <v>21</v>
      </c>
      <c r="B493" s="2">
        <v>15</v>
      </c>
      <c r="C493" s="2">
        <v>9</v>
      </c>
      <c r="D493" s="2">
        <v>2021</v>
      </c>
      <c r="E493" s="1" t="s">
        <v>94</v>
      </c>
      <c r="F493" s="2">
        <v>139.19999999999999</v>
      </c>
      <c r="H493" s="1">
        <f>_xlfn.XLOOKUP('Customer Info'!A1251,'Customer Info'!A1251:A1350,'Customer Info'!E1251:E1350,0,0)</f>
        <v>0</v>
      </c>
      <c r="J493" s="1">
        <f>_xlfn.XLOOKUP('Customer Info'!A1251,'Customer Info'!A1251:A1350,'Customer Info'!M1251:M1350)</f>
        <v>0</v>
      </c>
    </row>
    <row r="494" spans="1:10" ht="14" hidden="1" x14ac:dyDescent="0.2">
      <c r="A494" s="2" t="s">
        <v>30</v>
      </c>
      <c r="B494" s="2">
        <v>2</v>
      </c>
      <c r="C494" s="2">
        <v>6</v>
      </c>
      <c r="D494" s="2">
        <v>2020</v>
      </c>
      <c r="E494" s="1" t="s">
        <v>94</v>
      </c>
      <c r="F494" s="2">
        <v>139.19999999999999</v>
      </c>
      <c r="H494" s="1">
        <f>_xlfn.XLOOKUP('Customer Info'!A58,'Customer Info'!A58:A157,'Customer Info'!E58:E157,0,0)</f>
        <v>3</v>
      </c>
      <c r="I494" s="1" t="str">
        <f>_xlfn.XLOOKUP('Customer Info'!A58,'Customer Info'!A58:A157,'Customer Info'!J58:J157,0)</f>
        <v>Scottish Gas</v>
      </c>
      <c r="J494" s="1" t="b">
        <f>_xlfn.XLOOKUP('Customer Info'!A58,'Customer Info'!A58:A157,'Customer Info'!M58:M157)</f>
        <v>0</v>
      </c>
    </row>
    <row r="495" spans="1:10" ht="14" hidden="1" x14ac:dyDescent="0.2">
      <c r="A495" s="2" t="s">
        <v>12</v>
      </c>
      <c r="B495" s="2">
        <v>2</v>
      </c>
      <c r="C495" s="2">
        <v>3</v>
      </c>
      <c r="D495" s="2">
        <v>2020</v>
      </c>
      <c r="E495" s="2">
        <v>0</v>
      </c>
      <c r="F495" s="2">
        <v>139.19</v>
      </c>
      <c r="H495" s="1">
        <f>_xlfn.XLOOKUP('Customer Info'!A1060,'Customer Info'!A1060:A1159,'Customer Info'!E1060:E1159,0,0)</f>
        <v>0</v>
      </c>
      <c r="J495" s="1">
        <f>_xlfn.XLOOKUP('Customer Info'!A1060,'Customer Info'!A1060:A1159,'Customer Info'!M1060:M1159)</f>
        <v>0</v>
      </c>
    </row>
    <row r="496" spans="1:10" ht="14" x14ac:dyDescent="0.2">
      <c r="A496" s="2" t="s">
        <v>12</v>
      </c>
      <c r="B496" s="2">
        <v>2</v>
      </c>
      <c r="C496" s="2">
        <v>4</v>
      </c>
      <c r="D496" s="2">
        <v>2021</v>
      </c>
      <c r="E496" s="2">
        <v>0</v>
      </c>
      <c r="F496" s="2">
        <v>138.9</v>
      </c>
      <c r="H496" s="1">
        <f>_xlfn.XLOOKUP('Customer Info'!A2274,'Customer Info'!A2274:A2373,'Customer Info'!E2274:E2373,0,0)</f>
        <v>0</v>
      </c>
      <c r="J496" s="1">
        <f>_xlfn.XLOOKUP('Customer Info'!A2274,'Customer Info'!A2274:A2373,'Customer Info'!M2274:M2373)</f>
        <v>0</v>
      </c>
    </row>
    <row r="497" spans="1:10" ht="14" x14ac:dyDescent="0.2">
      <c r="A497" s="2" t="s">
        <v>23</v>
      </c>
      <c r="B497" s="2">
        <v>5</v>
      </c>
      <c r="C497" s="2">
        <v>9</v>
      </c>
      <c r="D497" s="2">
        <v>2021</v>
      </c>
      <c r="E497" s="2">
        <v>0</v>
      </c>
      <c r="F497" s="2">
        <v>138.9</v>
      </c>
      <c r="H497" s="1">
        <f>_xlfn.XLOOKUP('Customer Info'!A2275,'Customer Info'!A2275:A2374,'Customer Info'!E2275:E2374,0,0)</f>
        <v>0</v>
      </c>
      <c r="J497" s="1">
        <f>_xlfn.XLOOKUP('Customer Info'!A2275,'Customer Info'!A2275:A2374,'Customer Info'!M2275:M2374)</f>
        <v>0</v>
      </c>
    </row>
    <row r="498" spans="1:10" ht="14" x14ac:dyDescent="0.2">
      <c r="A498" s="2" t="s">
        <v>29</v>
      </c>
      <c r="B498" s="2">
        <v>20</v>
      </c>
      <c r="C498" s="2">
        <v>9</v>
      </c>
      <c r="D498" s="2">
        <v>2021</v>
      </c>
      <c r="E498" s="2">
        <v>0</v>
      </c>
      <c r="F498" s="2">
        <v>138.9</v>
      </c>
      <c r="H498" s="1">
        <f>_xlfn.XLOOKUP('Customer Info'!A2276,'Customer Info'!A2276:A2375,'Customer Info'!E2276:E2375,0,0)</f>
        <v>0</v>
      </c>
      <c r="J498" s="1">
        <f>_xlfn.XLOOKUP('Customer Info'!A2276,'Customer Info'!A2276:A2375,'Customer Info'!M2276:M2375)</f>
        <v>0</v>
      </c>
    </row>
    <row r="499" spans="1:10" ht="14" hidden="1" x14ac:dyDescent="0.2">
      <c r="A499" s="2" t="s">
        <v>4</v>
      </c>
      <c r="B499" s="2">
        <v>1</v>
      </c>
      <c r="C499" s="2">
        <v>4</v>
      </c>
      <c r="D499" s="2">
        <v>2020</v>
      </c>
      <c r="E499" s="2">
        <v>0</v>
      </c>
      <c r="F499" s="2">
        <v>138.6</v>
      </c>
      <c r="H499" s="1">
        <f>_xlfn.XLOOKUP('Customer Info'!A1061,'Customer Info'!A1061:A1160,'Customer Info'!E1061:E1160,0,0)</f>
        <v>0</v>
      </c>
      <c r="J499" s="1">
        <f>_xlfn.XLOOKUP('Customer Info'!A1061,'Customer Info'!A1061:A1160,'Customer Info'!M1061:M1160)</f>
        <v>0</v>
      </c>
    </row>
    <row r="500" spans="1:10" ht="14" x14ac:dyDescent="0.2">
      <c r="A500" s="2" t="s">
        <v>98</v>
      </c>
      <c r="B500" s="2">
        <v>21</v>
      </c>
      <c r="C500" s="2">
        <v>10</v>
      </c>
      <c r="D500" s="2">
        <v>2021</v>
      </c>
      <c r="E500" s="1" t="s">
        <v>94</v>
      </c>
      <c r="F500" s="2">
        <v>138.57</v>
      </c>
      <c r="H500" s="1">
        <f>_xlfn.XLOOKUP('Customer Info'!A1252,'Customer Info'!A1252:A1351,'Customer Info'!E1252:E1351,0,0)</f>
        <v>0</v>
      </c>
      <c r="J500" s="1">
        <f>_xlfn.XLOOKUP('Customer Info'!A1252,'Customer Info'!A1252:A1351,'Customer Info'!M1252:M1351)</f>
        <v>0</v>
      </c>
    </row>
    <row r="501" spans="1:10" ht="14" x14ac:dyDescent="0.2">
      <c r="A501" s="2" t="s">
        <v>21</v>
      </c>
      <c r="B501" s="2">
        <v>15</v>
      </c>
      <c r="C501" s="2">
        <v>5</v>
      </c>
      <c r="D501" s="2">
        <v>2021</v>
      </c>
      <c r="E501" s="2">
        <v>0</v>
      </c>
      <c r="F501" s="2">
        <v>138.57</v>
      </c>
      <c r="H501" s="1">
        <f>_xlfn.XLOOKUP('Customer Info'!A2277,'Customer Info'!A2277:A2376,'Customer Info'!E2277:E2376,0,0)</f>
        <v>0</v>
      </c>
      <c r="J501" s="1">
        <f>_xlfn.XLOOKUP('Customer Info'!A2277,'Customer Info'!A2277:A2376,'Customer Info'!M2277:M2376)</f>
        <v>0</v>
      </c>
    </row>
    <row r="502" spans="1:10" ht="14" x14ac:dyDescent="0.2">
      <c r="A502" s="2" t="s">
        <v>19</v>
      </c>
      <c r="B502" s="2">
        <v>24</v>
      </c>
      <c r="C502" s="2">
        <v>5</v>
      </c>
      <c r="D502" s="2">
        <v>2021</v>
      </c>
      <c r="E502" s="2">
        <v>0</v>
      </c>
      <c r="F502" s="2">
        <v>138.57</v>
      </c>
      <c r="H502" s="1">
        <f>_xlfn.XLOOKUP('Customer Info'!A2278,'Customer Info'!A2278:A2377,'Customer Info'!E2278:E2377,0,0)</f>
        <v>0</v>
      </c>
      <c r="J502" s="1">
        <f>_xlfn.XLOOKUP('Customer Info'!A2278,'Customer Info'!A2278:A2377,'Customer Info'!M2278:M2377)</f>
        <v>0</v>
      </c>
    </row>
    <row r="503" spans="1:10" ht="14" x14ac:dyDescent="0.2">
      <c r="A503" s="2" t="s">
        <v>8</v>
      </c>
      <c r="B503" s="2">
        <v>5</v>
      </c>
      <c r="C503" s="2">
        <v>7</v>
      </c>
      <c r="D503" s="2">
        <v>2021</v>
      </c>
      <c r="E503" s="2">
        <v>0</v>
      </c>
      <c r="F503" s="2">
        <v>138.57</v>
      </c>
      <c r="H503" s="1">
        <f>_xlfn.XLOOKUP('Customer Info'!A2279,'Customer Info'!A2279:A2378,'Customer Info'!E2279:E2378,0,0)</f>
        <v>0</v>
      </c>
      <c r="J503" s="1">
        <f>_xlfn.XLOOKUP('Customer Info'!A2279,'Customer Info'!A2279:A2378,'Customer Info'!M2279:M2378)</f>
        <v>0</v>
      </c>
    </row>
    <row r="504" spans="1:10" ht="14" hidden="1" x14ac:dyDescent="0.2">
      <c r="A504" s="2" t="s">
        <v>3</v>
      </c>
      <c r="B504" s="2">
        <v>25</v>
      </c>
      <c r="C504" s="2">
        <v>1</v>
      </c>
      <c r="D504" s="2">
        <v>2020</v>
      </c>
      <c r="E504" s="2">
        <v>0</v>
      </c>
      <c r="F504" s="2">
        <v>138.26</v>
      </c>
      <c r="H504" s="1">
        <f>_xlfn.XLOOKUP('Customer Info'!A1062,'Customer Info'!A1062:A1161,'Customer Info'!E1062:E1161,0,0)</f>
        <v>0</v>
      </c>
      <c r="J504" s="1">
        <f>_xlfn.XLOOKUP('Customer Info'!A1062,'Customer Info'!A1062:A1161,'Customer Info'!M1062:M1161)</f>
        <v>0</v>
      </c>
    </row>
    <row r="505" spans="1:10" ht="14" x14ac:dyDescent="0.2">
      <c r="A505" s="2" t="s">
        <v>99</v>
      </c>
      <c r="B505" s="2">
        <v>10</v>
      </c>
      <c r="C505" s="2">
        <v>4</v>
      </c>
      <c r="D505" s="2">
        <v>2021</v>
      </c>
      <c r="E505" s="1" t="s">
        <v>94</v>
      </c>
      <c r="F505" s="2">
        <v>138</v>
      </c>
      <c r="H505" s="1">
        <f>_xlfn.XLOOKUP('Customer Info'!A1253,'Customer Info'!A1253:A1352,'Customer Info'!E1253:E1352,0,0)</f>
        <v>0</v>
      </c>
      <c r="J505" s="1">
        <f>_xlfn.XLOOKUP('Customer Info'!A1253,'Customer Info'!A1253:A1352,'Customer Info'!M1253:M1352)</f>
        <v>0</v>
      </c>
    </row>
    <row r="506" spans="1:10" ht="14" x14ac:dyDescent="0.2">
      <c r="A506" s="2" t="s">
        <v>17</v>
      </c>
      <c r="B506" s="2">
        <v>8</v>
      </c>
      <c r="C506" s="2">
        <v>9</v>
      </c>
      <c r="D506" s="2">
        <v>2021</v>
      </c>
      <c r="E506" s="1" t="s">
        <v>94</v>
      </c>
      <c r="F506" s="2">
        <v>138</v>
      </c>
      <c r="H506" s="1">
        <f>_xlfn.XLOOKUP('Customer Info'!A1254,'Customer Info'!A1254:A1353,'Customer Info'!E1254:E1353,0,0)</f>
        <v>0</v>
      </c>
      <c r="J506" s="1">
        <f>_xlfn.XLOOKUP('Customer Info'!A1254,'Customer Info'!A1254:A1353,'Customer Info'!M1254:M1353)</f>
        <v>0</v>
      </c>
    </row>
    <row r="507" spans="1:10" ht="14" hidden="1" x14ac:dyDescent="0.2">
      <c r="A507" s="2" t="s">
        <v>21</v>
      </c>
      <c r="B507" s="2">
        <v>15</v>
      </c>
      <c r="C507" s="2">
        <v>4</v>
      </c>
      <c r="D507" s="2">
        <v>2020</v>
      </c>
      <c r="E507" s="2">
        <v>0</v>
      </c>
      <c r="F507" s="2">
        <v>138</v>
      </c>
      <c r="H507" s="1">
        <f>_xlfn.XLOOKUP('Customer Info'!A1063,'Customer Info'!A1063:A1162,'Customer Info'!E1063:E1162,0,0)</f>
        <v>0</v>
      </c>
      <c r="J507" s="1">
        <f>_xlfn.XLOOKUP('Customer Info'!A1063,'Customer Info'!A1063:A1162,'Customer Info'!M1063:M1162)</f>
        <v>0</v>
      </c>
    </row>
    <row r="508" spans="1:10" ht="14" hidden="1" x14ac:dyDescent="0.2">
      <c r="A508" s="2" t="s">
        <v>6</v>
      </c>
      <c r="B508" s="2">
        <v>7</v>
      </c>
      <c r="C508" s="2">
        <v>3</v>
      </c>
      <c r="D508" s="2">
        <v>2020</v>
      </c>
      <c r="E508" s="2">
        <v>0</v>
      </c>
      <c r="F508" s="2">
        <v>137.94999999999999</v>
      </c>
      <c r="H508" s="1">
        <f>_xlfn.XLOOKUP('Customer Info'!A1064,'Customer Info'!A1064:A1163,'Customer Info'!E1064:E1163,0,0)</f>
        <v>0</v>
      </c>
      <c r="J508" s="1">
        <f>_xlfn.XLOOKUP('Customer Info'!A1064,'Customer Info'!A1064:A1163,'Customer Info'!M1064:M1163)</f>
        <v>0</v>
      </c>
    </row>
    <row r="509" spans="1:10" ht="14" x14ac:dyDescent="0.2">
      <c r="A509" s="2" t="s">
        <v>8</v>
      </c>
      <c r="B509" s="2">
        <v>5</v>
      </c>
      <c r="C509" s="2">
        <v>5</v>
      </c>
      <c r="D509" s="2">
        <v>2021</v>
      </c>
      <c r="E509" s="2">
        <v>0</v>
      </c>
      <c r="F509" s="2">
        <v>137.94999999999999</v>
      </c>
      <c r="H509" s="1">
        <f>_xlfn.XLOOKUP('Customer Info'!A2280,'Customer Info'!A2280:A2379,'Customer Info'!E2280:E2379,0,0)</f>
        <v>0</v>
      </c>
      <c r="J509" s="1">
        <f>_xlfn.XLOOKUP('Customer Info'!A2280,'Customer Info'!A2280:A2379,'Customer Info'!M2280:M2379)</f>
        <v>0</v>
      </c>
    </row>
    <row r="510" spans="1:10" ht="14" x14ac:dyDescent="0.2">
      <c r="A510" s="2" t="s">
        <v>27</v>
      </c>
      <c r="B510" s="2">
        <v>1</v>
      </c>
      <c r="C510" s="2">
        <v>6</v>
      </c>
      <c r="D510" s="2">
        <v>2021</v>
      </c>
      <c r="E510" s="2">
        <v>0</v>
      </c>
      <c r="F510" s="2">
        <v>137.69999999999999</v>
      </c>
      <c r="H510" s="1">
        <f>_xlfn.XLOOKUP('Customer Info'!A2281,'Customer Info'!A2281:A2380,'Customer Info'!E2281:E2380,0,0)</f>
        <v>0</v>
      </c>
      <c r="J510" s="1">
        <f>_xlfn.XLOOKUP('Customer Info'!A2281,'Customer Info'!A2281:A2380,'Customer Info'!M2281:M2380)</f>
        <v>0</v>
      </c>
    </row>
    <row r="511" spans="1:10" ht="14" hidden="1" x14ac:dyDescent="0.2">
      <c r="A511" s="2" t="s">
        <v>98</v>
      </c>
      <c r="B511" s="2">
        <v>21</v>
      </c>
      <c r="C511" s="2">
        <v>4</v>
      </c>
      <c r="D511" s="2">
        <v>2020</v>
      </c>
      <c r="E511" s="1" t="s">
        <v>94</v>
      </c>
      <c r="F511" s="2">
        <v>137.4</v>
      </c>
      <c r="H511" s="1">
        <f>_xlfn.XLOOKUP('Customer Info'!A59,'Customer Info'!A59:A158,'Customer Info'!E59:E158,0,0)</f>
        <v>3</v>
      </c>
      <c r="I511" s="1" t="str">
        <f>_xlfn.XLOOKUP('Customer Info'!A59,'Customer Info'!A59:A158,'Customer Info'!J59:J158,0)</f>
        <v>Scottish Gas</v>
      </c>
      <c r="J511" s="1" t="b">
        <f>_xlfn.XLOOKUP('Customer Info'!A59,'Customer Info'!A59:A158,'Customer Info'!M59:M158)</f>
        <v>0</v>
      </c>
    </row>
    <row r="512" spans="1:10" ht="14" hidden="1" x14ac:dyDescent="0.2">
      <c r="A512" s="2" t="s">
        <v>27</v>
      </c>
      <c r="B512" s="2">
        <v>1</v>
      </c>
      <c r="C512" s="2">
        <v>7</v>
      </c>
      <c r="D512" s="2">
        <v>2020</v>
      </c>
      <c r="E512" s="2">
        <v>0</v>
      </c>
      <c r="F512" s="2">
        <v>137.33000000000001</v>
      </c>
      <c r="H512" s="1">
        <f>_xlfn.XLOOKUP('Customer Info'!A1065,'Customer Info'!A1065:A1164,'Customer Info'!E1065:E1164,0,0)</f>
        <v>0</v>
      </c>
      <c r="J512" s="1">
        <f>_xlfn.XLOOKUP('Customer Info'!A1065,'Customer Info'!A1065:A1164,'Customer Info'!M1065:M1164)</f>
        <v>0</v>
      </c>
    </row>
    <row r="513" spans="1:10" ht="14" hidden="1" x14ac:dyDescent="0.2">
      <c r="A513" s="2" t="s">
        <v>27</v>
      </c>
      <c r="B513" s="2">
        <v>1</v>
      </c>
      <c r="C513" s="2">
        <v>8</v>
      </c>
      <c r="D513" s="2">
        <v>2020</v>
      </c>
      <c r="E513" s="2">
        <v>0</v>
      </c>
      <c r="F513" s="2">
        <v>137.33000000000001</v>
      </c>
      <c r="H513" s="1">
        <f>_xlfn.XLOOKUP('Customer Info'!A1066,'Customer Info'!A1066:A1165,'Customer Info'!E1066:E1165,0,0)</f>
        <v>0</v>
      </c>
      <c r="J513" s="1">
        <f>_xlfn.XLOOKUP('Customer Info'!A1066,'Customer Info'!A1066:A1165,'Customer Info'!M1066:M1165)</f>
        <v>0</v>
      </c>
    </row>
    <row r="514" spans="1:10" ht="14" hidden="1" x14ac:dyDescent="0.2">
      <c r="A514" s="2" t="s">
        <v>17</v>
      </c>
      <c r="B514" s="2">
        <v>8</v>
      </c>
      <c r="C514" s="2">
        <v>10</v>
      </c>
      <c r="D514" s="2">
        <v>2020</v>
      </c>
      <c r="E514" s="2">
        <v>0</v>
      </c>
      <c r="F514" s="2">
        <v>137.33000000000001</v>
      </c>
      <c r="H514" s="1">
        <f>_xlfn.XLOOKUP('Customer Info'!A1067,'Customer Info'!A1067:A1166,'Customer Info'!E1067:E1166,0,0)</f>
        <v>0</v>
      </c>
      <c r="J514" s="1">
        <f>_xlfn.XLOOKUP('Customer Info'!A1067,'Customer Info'!A1067:A1166,'Customer Info'!M1067:M1166)</f>
        <v>0</v>
      </c>
    </row>
    <row r="515" spans="1:10" ht="14" x14ac:dyDescent="0.2">
      <c r="A515" s="2" t="s">
        <v>20</v>
      </c>
      <c r="B515" s="2">
        <v>12</v>
      </c>
      <c r="C515" s="2">
        <v>8</v>
      </c>
      <c r="D515" s="2">
        <v>2021</v>
      </c>
      <c r="E515" s="2">
        <v>0</v>
      </c>
      <c r="F515" s="2">
        <v>137.33000000000001</v>
      </c>
      <c r="H515" s="1">
        <f>_xlfn.XLOOKUP('Customer Info'!A2282,'Customer Info'!A2282:A2381,'Customer Info'!E2282:E2381,0,0)</f>
        <v>0</v>
      </c>
      <c r="J515" s="1">
        <f>_xlfn.XLOOKUP('Customer Info'!A2282,'Customer Info'!A2282:A2381,'Customer Info'!M2282:M2381)</f>
        <v>0</v>
      </c>
    </row>
    <row r="516" spans="1:10" ht="14" x14ac:dyDescent="0.2">
      <c r="A516" s="2" t="s">
        <v>9</v>
      </c>
      <c r="B516" s="2">
        <v>22</v>
      </c>
      <c r="C516" s="2">
        <v>4</v>
      </c>
      <c r="D516" s="2">
        <v>2021</v>
      </c>
      <c r="E516" s="1" t="s">
        <v>94</v>
      </c>
      <c r="F516" s="2">
        <v>137.1</v>
      </c>
      <c r="H516" s="1">
        <f>_xlfn.XLOOKUP('Customer Info'!A1255,'Customer Info'!A1255:A1354,'Customer Info'!E1255:E1354,0,0)</f>
        <v>0</v>
      </c>
      <c r="J516" s="1">
        <f>_xlfn.XLOOKUP('Customer Info'!A1255,'Customer Info'!A1255:A1354,'Customer Info'!M1255:M1354)</f>
        <v>0</v>
      </c>
    </row>
    <row r="517" spans="1:10" ht="14" hidden="1" x14ac:dyDescent="0.2">
      <c r="A517" s="2" t="s">
        <v>23</v>
      </c>
      <c r="B517" s="2">
        <v>5</v>
      </c>
      <c r="C517" s="2">
        <v>5</v>
      </c>
      <c r="D517" s="2">
        <v>2020</v>
      </c>
      <c r="E517" s="2">
        <v>0</v>
      </c>
      <c r="F517" s="2">
        <v>137.02000000000001</v>
      </c>
      <c r="H517" s="1">
        <f>_xlfn.XLOOKUP('Customer Info'!A1068,'Customer Info'!A1068:A1167,'Customer Info'!E1068:E1167,0,0)</f>
        <v>0</v>
      </c>
      <c r="J517" s="1">
        <f>_xlfn.XLOOKUP('Customer Info'!A1068,'Customer Info'!A1068:A1167,'Customer Info'!M1068:M1167)</f>
        <v>0</v>
      </c>
    </row>
    <row r="518" spans="1:10" ht="14" hidden="1" x14ac:dyDescent="0.2">
      <c r="A518" s="2" t="s">
        <v>3</v>
      </c>
      <c r="B518" s="2">
        <v>25</v>
      </c>
      <c r="C518" s="2">
        <v>10</v>
      </c>
      <c r="D518" s="2">
        <v>2020</v>
      </c>
      <c r="E518" s="2">
        <v>0</v>
      </c>
      <c r="F518" s="2">
        <v>137.02000000000001</v>
      </c>
      <c r="H518" s="1">
        <f>_xlfn.XLOOKUP('Customer Info'!A1069,'Customer Info'!A1069:A1168,'Customer Info'!E1069:E1168,0,0)</f>
        <v>0</v>
      </c>
      <c r="J518" s="1">
        <f>_xlfn.XLOOKUP('Customer Info'!A1069,'Customer Info'!A1069:A1168,'Customer Info'!M1069:M1168)</f>
        <v>0</v>
      </c>
    </row>
    <row r="519" spans="1:10" ht="14" x14ac:dyDescent="0.2">
      <c r="A519" s="2" t="s">
        <v>17</v>
      </c>
      <c r="B519" s="2">
        <v>8</v>
      </c>
      <c r="C519" s="2">
        <v>7</v>
      </c>
      <c r="D519" s="2">
        <v>2021</v>
      </c>
      <c r="E519" s="2">
        <v>0</v>
      </c>
      <c r="F519" s="2">
        <v>137.02000000000001</v>
      </c>
      <c r="H519" s="1">
        <f>_xlfn.XLOOKUP('Customer Info'!A2283,'Customer Info'!A2283:A2382,'Customer Info'!E2283:E2382,0,0)</f>
        <v>0</v>
      </c>
      <c r="J519" s="1">
        <f>_xlfn.XLOOKUP('Customer Info'!A2283,'Customer Info'!A2283:A2382,'Customer Info'!M2283:M2382)</f>
        <v>0</v>
      </c>
    </row>
    <row r="520" spans="1:10" ht="14" x14ac:dyDescent="0.2">
      <c r="A520" s="2" t="s">
        <v>25</v>
      </c>
      <c r="B520" s="2">
        <v>8</v>
      </c>
      <c r="C520" s="2">
        <v>8</v>
      </c>
      <c r="D520" s="2">
        <v>2021</v>
      </c>
      <c r="E520" s="2">
        <v>0</v>
      </c>
      <c r="F520" s="2">
        <v>137.02000000000001</v>
      </c>
      <c r="H520" s="1">
        <f>_xlfn.XLOOKUP('Customer Info'!A2284,'Customer Info'!A2284:A2383,'Customer Info'!E2284:E2383,0,0)</f>
        <v>0</v>
      </c>
      <c r="J520" s="1">
        <f>_xlfn.XLOOKUP('Customer Info'!A2284,'Customer Info'!A2284:A2383,'Customer Info'!M2284:M2383)</f>
        <v>0</v>
      </c>
    </row>
    <row r="521" spans="1:10" ht="14" x14ac:dyDescent="0.2">
      <c r="A521" s="2" t="s">
        <v>29</v>
      </c>
      <c r="B521" s="2">
        <v>20</v>
      </c>
      <c r="C521" s="2">
        <v>8</v>
      </c>
      <c r="D521" s="2">
        <v>2021</v>
      </c>
      <c r="E521" s="2">
        <v>0</v>
      </c>
      <c r="F521" s="2">
        <v>137.02000000000001</v>
      </c>
      <c r="H521" s="1">
        <f>_xlfn.XLOOKUP('Customer Info'!A2285,'Customer Info'!A2285:A2384,'Customer Info'!E2285:E2384,0,0)</f>
        <v>0</v>
      </c>
      <c r="J521" s="1">
        <f>_xlfn.XLOOKUP('Customer Info'!A2285,'Customer Info'!A2285:A2384,'Customer Info'!M2285:M2384)</f>
        <v>0</v>
      </c>
    </row>
    <row r="522" spans="1:10" ht="14" x14ac:dyDescent="0.2">
      <c r="A522" s="2" t="s">
        <v>14</v>
      </c>
      <c r="B522" s="2">
        <v>10</v>
      </c>
      <c r="C522" s="2">
        <v>10</v>
      </c>
      <c r="D522" s="2">
        <v>2021</v>
      </c>
      <c r="E522" s="2">
        <v>0</v>
      </c>
      <c r="F522" s="2">
        <v>136.4</v>
      </c>
      <c r="H522" s="1">
        <f>_xlfn.XLOOKUP('Customer Info'!A2286,'Customer Info'!A2286:A2385,'Customer Info'!E2286:E2385,0,0)</f>
        <v>0</v>
      </c>
      <c r="J522" s="1">
        <f>_xlfn.XLOOKUP('Customer Info'!A2286,'Customer Info'!A2286:A2385,'Customer Info'!M2286:M2385)</f>
        <v>0</v>
      </c>
    </row>
    <row r="523" spans="1:10" ht="14" hidden="1" x14ac:dyDescent="0.2">
      <c r="A523" s="2" t="s">
        <v>97</v>
      </c>
      <c r="B523" s="2">
        <v>12</v>
      </c>
      <c r="C523" s="2">
        <v>3</v>
      </c>
      <c r="D523" s="2">
        <v>2020</v>
      </c>
      <c r="E523" s="1" t="s">
        <v>94</v>
      </c>
      <c r="F523" s="2">
        <v>136.09</v>
      </c>
      <c r="H523" s="1">
        <f>_xlfn.XLOOKUP('Customer Info'!A60,'Customer Info'!A60:A159,'Customer Info'!E60:E159,0,0)</f>
        <v>3</v>
      </c>
      <c r="I523" s="1" t="str">
        <f>_xlfn.XLOOKUP('Customer Info'!A60,'Customer Info'!A60:A159,'Customer Info'!J60:J159,0)</f>
        <v>Scottish Gas</v>
      </c>
      <c r="J523" s="1" t="b">
        <f>_xlfn.XLOOKUP('Customer Info'!A60,'Customer Info'!A60:A159,'Customer Info'!M60:M159)</f>
        <v>0</v>
      </c>
    </row>
    <row r="524" spans="1:10" ht="14" hidden="1" x14ac:dyDescent="0.2">
      <c r="A524" s="2" t="s">
        <v>29</v>
      </c>
      <c r="B524" s="2">
        <v>20</v>
      </c>
      <c r="C524" s="2">
        <v>8</v>
      </c>
      <c r="D524" s="2">
        <v>2020</v>
      </c>
      <c r="E524" s="1" t="s">
        <v>94</v>
      </c>
      <c r="F524" s="2">
        <v>136.09</v>
      </c>
      <c r="H524" s="1">
        <f>_xlfn.XLOOKUP('Customer Info'!A61,'Customer Info'!A61:A160,'Customer Info'!E61:E160,0,0)</f>
        <v>4</v>
      </c>
      <c r="I524" s="1" t="str">
        <f>_xlfn.XLOOKUP('Customer Info'!A61,'Customer Info'!A61:A160,'Customer Info'!J61:J160,0)</f>
        <v>Scottish Gas</v>
      </c>
      <c r="J524" s="1" t="b">
        <f>_xlfn.XLOOKUP('Customer Info'!A61,'Customer Info'!A61:A160,'Customer Info'!M61:M160)</f>
        <v>0</v>
      </c>
    </row>
    <row r="525" spans="1:10" ht="14" hidden="1" x14ac:dyDescent="0.2">
      <c r="A525" s="2" t="s">
        <v>3</v>
      </c>
      <c r="B525" s="2">
        <v>25</v>
      </c>
      <c r="C525" s="2">
        <v>3</v>
      </c>
      <c r="D525" s="2">
        <v>2020</v>
      </c>
      <c r="E525" s="2">
        <v>0</v>
      </c>
      <c r="F525" s="2">
        <v>136.09</v>
      </c>
      <c r="H525" s="1">
        <f>_xlfn.XLOOKUP('Customer Info'!A1070,'Customer Info'!A1070:A1169,'Customer Info'!E1070:E1169,0,0)</f>
        <v>0</v>
      </c>
      <c r="J525" s="1">
        <f>_xlfn.XLOOKUP('Customer Info'!A1070,'Customer Info'!A1070:A1169,'Customer Info'!M1070:M1169)</f>
        <v>0</v>
      </c>
    </row>
    <row r="526" spans="1:10" ht="14" hidden="1" x14ac:dyDescent="0.2">
      <c r="A526" s="2" t="s">
        <v>2</v>
      </c>
      <c r="B526" s="2">
        <v>18</v>
      </c>
      <c r="C526" s="2">
        <v>10</v>
      </c>
      <c r="D526" s="2">
        <v>2020</v>
      </c>
      <c r="E526" s="2">
        <v>0</v>
      </c>
      <c r="F526" s="2">
        <v>136.09</v>
      </c>
      <c r="H526" s="1">
        <f>_xlfn.XLOOKUP('Customer Info'!A1071,'Customer Info'!A1071:A1170,'Customer Info'!E1071:E1170,0,0)</f>
        <v>0</v>
      </c>
      <c r="J526" s="1">
        <f>_xlfn.XLOOKUP('Customer Info'!A1071,'Customer Info'!A1071:A1170,'Customer Info'!M1071:M1170)</f>
        <v>0</v>
      </c>
    </row>
    <row r="527" spans="1:10" ht="14" x14ac:dyDescent="0.2">
      <c r="A527" s="2" t="s">
        <v>26</v>
      </c>
      <c r="B527" s="2">
        <v>22</v>
      </c>
      <c r="C527" s="2">
        <v>8</v>
      </c>
      <c r="D527" s="2">
        <v>2021</v>
      </c>
      <c r="E527" s="2">
        <v>0</v>
      </c>
      <c r="F527" s="2">
        <v>136.09</v>
      </c>
      <c r="H527" s="1">
        <f>_xlfn.XLOOKUP('Customer Info'!A2287,'Customer Info'!A2287:A2386,'Customer Info'!E2287:E2386,0,0)</f>
        <v>0</v>
      </c>
      <c r="J527" s="1">
        <f>_xlfn.XLOOKUP('Customer Info'!A2287,'Customer Info'!A2287:A2386,'Customer Info'!M2287:M2386)</f>
        <v>0</v>
      </c>
    </row>
    <row r="528" spans="1:10" ht="14" hidden="1" x14ac:dyDescent="0.2">
      <c r="A528" s="2" t="s">
        <v>1</v>
      </c>
      <c r="B528" s="2">
        <v>21</v>
      </c>
      <c r="C528" s="2">
        <v>10</v>
      </c>
      <c r="D528" s="2">
        <v>2020</v>
      </c>
      <c r="E528" s="2">
        <v>0</v>
      </c>
      <c r="F528" s="2">
        <v>135.78</v>
      </c>
      <c r="H528" s="1">
        <f>_xlfn.XLOOKUP('Customer Info'!A1072,'Customer Info'!A1072:A1171,'Customer Info'!E1072:E1171,0,0)</f>
        <v>0</v>
      </c>
      <c r="J528" s="1">
        <f>_xlfn.XLOOKUP('Customer Info'!A1072,'Customer Info'!A1072:A1171,'Customer Info'!M1072:M1171)</f>
        <v>0</v>
      </c>
    </row>
    <row r="529" spans="1:10" ht="14" x14ac:dyDescent="0.2">
      <c r="A529" s="2" t="s">
        <v>97</v>
      </c>
      <c r="B529" s="2">
        <v>12</v>
      </c>
      <c r="C529" s="2">
        <v>11</v>
      </c>
      <c r="D529" s="2">
        <v>2021</v>
      </c>
      <c r="E529" s="1" t="s">
        <v>94</v>
      </c>
      <c r="F529" s="2">
        <v>135.6</v>
      </c>
      <c r="H529" s="1">
        <f>_xlfn.XLOOKUP('Customer Info'!A1256,'Customer Info'!A1256:A1355,'Customer Info'!E1256:E1355,0,0)</f>
        <v>0</v>
      </c>
      <c r="J529" s="1">
        <f>_xlfn.XLOOKUP('Customer Info'!A1256,'Customer Info'!A1256:A1355,'Customer Info'!M1256:M1355)</f>
        <v>0</v>
      </c>
    </row>
    <row r="530" spans="1:10" ht="14" hidden="1" x14ac:dyDescent="0.2">
      <c r="A530" s="2" t="s">
        <v>24</v>
      </c>
      <c r="B530" s="2">
        <v>22</v>
      </c>
      <c r="C530" s="2">
        <v>9</v>
      </c>
      <c r="D530" s="2">
        <v>2020</v>
      </c>
      <c r="E530" s="1" t="s">
        <v>94</v>
      </c>
      <c r="F530" s="2">
        <v>135.6</v>
      </c>
      <c r="H530" s="1">
        <f>_xlfn.XLOOKUP('Customer Info'!A62,'Customer Info'!A62:A161,'Customer Info'!E62:E161,0,0)</f>
        <v>2</v>
      </c>
      <c r="I530" s="1" t="str">
        <f>_xlfn.XLOOKUP('Customer Info'!A62,'Customer Info'!A62:A161,'Customer Info'!J62:J161,0)</f>
        <v>Scottish Gas</v>
      </c>
      <c r="J530" s="1" t="b">
        <f>_xlfn.XLOOKUP('Customer Info'!A62,'Customer Info'!A62:A161,'Customer Info'!M62:M161)</f>
        <v>0</v>
      </c>
    </row>
    <row r="531" spans="1:10" ht="14" hidden="1" x14ac:dyDescent="0.2">
      <c r="A531" s="2" t="s">
        <v>29</v>
      </c>
      <c r="B531" s="2">
        <v>20</v>
      </c>
      <c r="C531" s="2">
        <v>6</v>
      </c>
      <c r="D531" s="2">
        <v>2020</v>
      </c>
      <c r="E531" s="2">
        <v>0</v>
      </c>
      <c r="F531" s="2">
        <v>135.6</v>
      </c>
      <c r="H531" s="1">
        <f>_xlfn.XLOOKUP('Customer Info'!A1073,'Customer Info'!A1073:A1172,'Customer Info'!E1073:E1172,0,0)</f>
        <v>0</v>
      </c>
      <c r="J531" s="1">
        <f>_xlfn.XLOOKUP('Customer Info'!A1073,'Customer Info'!A1073:A1172,'Customer Info'!M1073:M1172)</f>
        <v>0</v>
      </c>
    </row>
    <row r="532" spans="1:10" ht="14" hidden="1" x14ac:dyDescent="0.2">
      <c r="A532" s="2" t="s">
        <v>6</v>
      </c>
      <c r="B532" s="2">
        <v>7</v>
      </c>
      <c r="C532" s="2">
        <v>2</v>
      </c>
      <c r="D532" s="2">
        <v>2020</v>
      </c>
      <c r="E532" s="2">
        <v>0</v>
      </c>
      <c r="F532" s="2">
        <v>135.52000000000001</v>
      </c>
      <c r="H532" s="1">
        <f>_xlfn.XLOOKUP('Customer Info'!A1074,'Customer Info'!A1074:A1173,'Customer Info'!E1074:E1173,0,0)</f>
        <v>0</v>
      </c>
      <c r="J532" s="1">
        <f>_xlfn.XLOOKUP('Customer Info'!A1074,'Customer Info'!A1074:A1173,'Customer Info'!M1074:M1173)</f>
        <v>0</v>
      </c>
    </row>
    <row r="533" spans="1:10" ht="14" hidden="1" x14ac:dyDescent="0.2">
      <c r="A533" s="2" t="s">
        <v>2</v>
      </c>
      <c r="B533" s="2">
        <v>18</v>
      </c>
      <c r="C533" s="2">
        <v>12</v>
      </c>
      <c r="D533" s="2">
        <v>2020</v>
      </c>
      <c r="E533" s="2">
        <v>0</v>
      </c>
      <c r="F533" s="2">
        <v>135.47</v>
      </c>
      <c r="H533" s="1">
        <f>_xlfn.XLOOKUP('Customer Info'!A1075,'Customer Info'!A1075:A1174,'Customer Info'!E1075:E1174,0,0)</f>
        <v>0</v>
      </c>
      <c r="J533" s="1">
        <f>_xlfn.XLOOKUP('Customer Info'!A1075,'Customer Info'!A1075:A1174,'Customer Info'!M1075:M1174)</f>
        <v>0</v>
      </c>
    </row>
    <row r="534" spans="1:10" ht="14" hidden="1" x14ac:dyDescent="0.2">
      <c r="A534" s="2" t="s">
        <v>29</v>
      </c>
      <c r="B534" s="2">
        <v>20</v>
      </c>
      <c r="C534" s="2">
        <v>7</v>
      </c>
      <c r="D534" s="2">
        <v>2020</v>
      </c>
      <c r="E534" s="1" t="s">
        <v>94</v>
      </c>
      <c r="F534" s="2">
        <v>135.16</v>
      </c>
      <c r="H534" s="1">
        <f>_xlfn.XLOOKUP('Customer Info'!A63,'Customer Info'!A63:A162,'Customer Info'!E63:E162,0,0)</f>
        <v>3</v>
      </c>
      <c r="I534" s="1" t="str">
        <f>_xlfn.XLOOKUP('Customer Info'!A63,'Customer Info'!A63:A162,'Customer Info'!J63:J162,0)</f>
        <v>Scottish Gas</v>
      </c>
      <c r="J534" s="1" t="b">
        <f>_xlfn.XLOOKUP('Customer Info'!A63,'Customer Info'!A63:A162,'Customer Info'!M63:M162)</f>
        <v>0</v>
      </c>
    </row>
    <row r="535" spans="1:10" ht="14" hidden="1" x14ac:dyDescent="0.2">
      <c r="A535" s="2" t="s">
        <v>25</v>
      </c>
      <c r="B535" s="2">
        <v>8</v>
      </c>
      <c r="C535" s="2">
        <v>8</v>
      </c>
      <c r="D535" s="2">
        <v>2020</v>
      </c>
      <c r="E535" s="2">
        <v>0</v>
      </c>
      <c r="F535" s="2">
        <v>135.16</v>
      </c>
      <c r="H535" s="1">
        <f>_xlfn.XLOOKUP('Customer Info'!A1076,'Customer Info'!A1076:A1175,'Customer Info'!E1076:E1175,0,0)</f>
        <v>0</v>
      </c>
      <c r="J535" s="1">
        <f>_xlfn.XLOOKUP('Customer Info'!A1076,'Customer Info'!A1076:A1175,'Customer Info'!M1076:M1175)</f>
        <v>0</v>
      </c>
    </row>
    <row r="536" spans="1:10" ht="14" hidden="1" x14ac:dyDescent="0.2">
      <c r="A536" s="2" t="s">
        <v>10</v>
      </c>
      <c r="B536" s="2">
        <v>18</v>
      </c>
      <c r="C536" s="2">
        <v>4</v>
      </c>
      <c r="D536" s="2">
        <v>2020</v>
      </c>
      <c r="E536" s="1" t="s">
        <v>94</v>
      </c>
      <c r="F536" s="2">
        <v>135</v>
      </c>
      <c r="H536" s="1">
        <f>_xlfn.XLOOKUP('Customer Info'!A64,'Customer Info'!A64:A163,'Customer Info'!E64:E163,0,0)</f>
        <v>2</v>
      </c>
      <c r="I536" s="1" t="str">
        <f>_xlfn.XLOOKUP('Customer Info'!A64,'Customer Info'!A64:A163,'Customer Info'!J64:J163,0)</f>
        <v>Mpower</v>
      </c>
      <c r="J536" s="1" t="b">
        <f>_xlfn.XLOOKUP('Customer Info'!A64,'Customer Info'!A64:A163,'Customer Info'!M64:M163)</f>
        <v>1</v>
      </c>
    </row>
    <row r="537" spans="1:10" ht="14" hidden="1" x14ac:dyDescent="0.2">
      <c r="A537" s="2" t="s">
        <v>22</v>
      </c>
      <c r="B537" s="2">
        <v>22</v>
      </c>
      <c r="C537" s="2">
        <v>5</v>
      </c>
      <c r="D537" s="2">
        <v>2020</v>
      </c>
      <c r="E537" s="1" t="s">
        <v>94</v>
      </c>
      <c r="F537" s="2">
        <v>134.85</v>
      </c>
      <c r="H537" s="1">
        <f>_xlfn.XLOOKUP('Customer Info'!A65,'Customer Info'!A65:A164,'Customer Info'!E65:E164,0,0)</f>
        <v>3</v>
      </c>
      <c r="I537" s="1" t="str">
        <f>_xlfn.XLOOKUP('Customer Info'!A65,'Customer Info'!A65:A164,'Customer Info'!J65:J164,0)</f>
        <v>SSW</v>
      </c>
      <c r="J537" s="1" t="b">
        <f>_xlfn.XLOOKUP('Customer Info'!A65,'Customer Info'!A65:A164,'Customer Info'!M65:M164)</f>
        <v>0</v>
      </c>
    </row>
    <row r="538" spans="1:10" ht="14" hidden="1" x14ac:dyDescent="0.2">
      <c r="A538" s="2" t="s">
        <v>21</v>
      </c>
      <c r="B538" s="2">
        <v>15</v>
      </c>
      <c r="C538" s="2">
        <v>3</v>
      </c>
      <c r="D538" s="2">
        <v>2020</v>
      </c>
      <c r="E538" s="2">
        <v>0</v>
      </c>
      <c r="F538" s="2">
        <v>134.85</v>
      </c>
      <c r="H538" s="1">
        <f>_xlfn.XLOOKUP('Customer Info'!A1077,'Customer Info'!A1077:A1176,'Customer Info'!E1077:E1176,0,0)</f>
        <v>0</v>
      </c>
      <c r="J538" s="1">
        <f>_xlfn.XLOOKUP('Customer Info'!A1077,'Customer Info'!A1077:A1176,'Customer Info'!M1077:M1176)</f>
        <v>0</v>
      </c>
    </row>
    <row r="539" spans="1:10" ht="14" hidden="1" x14ac:dyDescent="0.2">
      <c r="A539" s="2" t="s">
        <v>13</v>
      </c>
      <c r="B539" s="2">
        <v>7</v>
      </c>
      <c r="C539" s="2">
        <v>8</v>
      </c>
      <c r="D539" s="2">
        <v>2020</v>
      </c>
      <c r="E539" s="2">
        <v>0</v>
      </c>
      <c r="F539" s="2">
        <v>134.85</v>
      </c>
      <c r="H539" s="1">
        <f>_xlfn.XLOOKUP('Customer Info'!A1078,'Customer Info'!A1078:A1177,'Customer Info'!E1078:E1177,0,0)</f>
        <v>0</v>
      </c>
      <c r="J539" s="1">
        <f>_xlfn.XLOOKUP('Customer Info'!A1078,'Customer Info'!A1078:A1177,'Customer Info'!M1078:M1177)</f>
        <v>0</v>
      </c>
    </row>
    <row r="540" spans="1:10" ht="14" x14ac:dyDescent="0.2">
      <c r="A540" s="2" t="s">
        <v>18</v>
      </c>
      <c r="B540" s="2">
        <v>5</v>
      </c>
      <c r="C540" s="2">
        <v>9</v>
      </c>
      <c r="D540" s="2">
        <v>2021</v>
      </c>
      <c r="E540" s="1" t="s">
        <v>94</v>
      </c>
      <c r="F540" s="2">
        <v>134.69999999999999</v>
      </c>
      <c r="H540" s="1">
        <f>_xlfn.XLOOKUP('Customer Info'!A1257,'Customer Info'!A1257:A1356,'Customer Info'!E1257:E1356,0,0)</f>
        <v>0</v>
      </c>
      <c r="J540" s="1">
        <f>_xlfn.XLOOKUP('Customer Info'!A1257,'Customer Info'!A1257:A1356,'Customer Info'!M1257:M1356)</f>
        <v>0</v>
      </c>
    </row>
    <row r="541" spans="1:10" ht="14" x14ac:dyDescent="0.2">
      <c r="A541" s="2" t="s">
        <v>28</v>
      </c>
      <c r="B541" s="2">
        <v>5</v>
      </c>
      <c r="C541" s="2">
        <v>9</v>
      </c>
      <c r="D541" s="2">
        <v>2021</v>
      </c>
      <c r="E541" s="1" t="s">
        <v>94</v>
      </c>
      <c r="F541" s="2">
        <v>134.69999999999999</v>
      </c>
      <c r="H541" s="1">
        <f>_xlfn.XLOOKUP('Customer Info'!A1258,'Customer Info'!A1258:A1357,'Customer Info'!E1258:E1357,0,0)</f>
        <v>0</v>
      </c>
      <c r="J541" s="1">
        <f>_xlfn.XLOOKUP('Customer Info'!A1258,'Customer Info'!A1258:A1357,'Customer Info'!M1258:M1357)</f>
        <v>0</v>
      </c>
    </row>
    <row r="542" spans="1:10" ht="14" x14ac:dyDescent="0.2">
      <c r="A542" s="2" t="s">
        <v>18</v>
      </c>
      <c r="B542" s="2">
        <v>5</v>
      </c>
      <c r="C542" s="2">
        <v>6</v>
      </c>
      <c r="D542" s="2">
        <v>2021</v>
      </c>
      <c r="E542" s="2">
        <v>0</v>
      </c>
      <c r="F542" s="2">
        <v>134.69999999999999</v>
      </c>
      <c r="H542" s="1">
        <f>_xlfn.XLOOKUP('Customer Info'!A2288,'Customer Info'!A2288:A2387,'Customer Info'!E2288:E2387,0,0)</f>
        <v>0</v>
      </c>
      <c r="J542" s="1">
        <f>_xlfn.XLOOKUP('Customer Info'!A2288,'Customer Info'!A2288:A2387,'Customer Info'!M2288:M2387)</f>
        <v>0</v>
      </c>
    </row>
    <row r="543" spans="1:10" ht="14" x14ac:dyDescent="0.2">
      <c r="A543" s="2" t="s">
        <v>3</v>
      </c>
      <c r="B543" s="2">
        <v>25</v>
      </c>
      <c r="C543" s="2">
        <v>10</v>
      </c>
      <c r="D543" s="2">
        <v>2021</v>
      </c>
      <c r="E543" s="2">
        <v>0</v>
      </c>
      <c r="F543" s="2">
        <v>134.54</v>
      </c>
      <c r="H543" s="1">
        <f>_xlfn.XLOOKUP('Customer Info'!A2289,'Customer Info'!A2289:A2388,'Customer Info'!E2289:E2388,0,0)</f>
        <v>0</v>
      </c>
      <c r="J543" s="1">
        <f>_xlfn.XLOOKUP('Customer Info'!A2289,'Customer Info'!A2289:A2388,'Customer Info'!M2289:M2388)</f>
        <v>0</v>
      </c>
    </row>
    <row r="544" spans="1:10" ht="14" x14ac:dyDescent="0.2">
      <c r="A544" s="2" t="s">
        <v>8</v>
      </c>
      <c r="B544" s="2">
        <v>5</v>
      </c>
      <c r="C544" s="2">
        <v>6</v>
      </c>
      <c r="D544" s="2">
        <v>2021</v>
      </c>
      <c r="E544" s="1" t="s">
        <v>94</v>
      </c>
      <c r="F544" s="2">
        <v>134.4</v>
      </c>
      <c r="H544" s="1">
        <f>_xlfn.XLOOKUP('Customer Info'!A1259,'Customer Info'!A1259:A1358,'Customer Info'!E1259:E1358,0,0)</f>
        <v>0</v>
      </c>
      <c r="J544" s="1">
        <f>_xlfn.XLOOKUP('Customer Info'!A1259,'Customer Info'!A1259:A1358,'Customer Info'!M1259:M1358)</f>
        <v>0</v>
      </c>
    </row>
    <row r="545" spans="1:10" ht="14" hidden="1" x14ac:dyDescent="0.2">
      <c r="A545" s="2" t="s">
        <v>1</v>
      </c>
      <c r="B545" s="2">
        <v>21</v>
      </c>
      <c r="C545" s="2">
        <v>4</v>
      </c>
      <c r="D545" s="2">
        <v>2020</v>
      </c>
      <c r="E545" s="1" t="s">
        <v>94</v>
      </c>
      <c r="F545" s="2">
        <v>134.4</v>
      </c>
      <c r="H545" s="1">
        <f>_xlfn.XLOOKUP('Customer Info'!A66,'Customer Info'!A66:A165,'Customer Info'!E66:E165,0,0)</f>
        <v>1</v>
      </c>
      <c r="I545" s="1" t="str">
        <f>_xlfn.XLOOKUP('Customer Info'!A66,'Customer Info'!A66:A165,'Customer Info'!J66:J165,0)</f>
        <v>Mpower</v>
      </c>
      <c r="J545" s="1" t="b">
        <f>_xlfn.XLOOKUP('Customer Info'!A66,'Customer Info'!A66:A165,'Customer Info'!M66:M165)</f>
        <v>0</v>
      </c>
    </row>
    <row r="546" spans="1:10" ht="14" hidden="1" x14ac:dyDescent="0.2">
      <c r="A546" s="2" t="s">
        <v>24</v>
      </c>
      <c r="B546" s="2">
        <v>22</v>
      </c>
      <c r="C546" s="2">
        <v>6</v>
      </c>
      <c r="D546" s="2">
        <v>2020</v>
      </c>
      <c r="E546" s="2">
        <v>0</v>
      </c>
      <c r="F546" s="2">
        <v>134.4</v>
      </c>
      <c r="H546" s="1">
        <f>_xlfn.XLOOKUP('Customer Info'!A1079,'Customer Info'!A1079:A1178,'Customer Info'!E1079:E1178,0,0)</f>
        <v>0</v>
      </c>
      <c r="J546" s="1">
        <f>_xlfn.XLOOKUP('Customer Info'!A1079,'Customer Info'!A1079:A1178,'Customer Info'!M1079:M1178)</f>
        <v>0</v>
      </c>
    </row>
    <row r="547" spans="1:10" ht="14" x14ac:dyDescent="0.2">
      <c r="A547" s="2" t="s">
        <v>10</v>
      </c>
      <c r="B547" s="2">
        <v>18</v>
      </c>
      <c r="C547" s="2">
        <v>3</v>
      </c>
      <c r="D547" s="2">
        <v>2021</v>
      </c>
      <c r="E547" s="2">
        <v>0</v>
      </c>
      <c r="F547" s="2">
        <v>134.22999999999999</v>
      </c>
      <c r="H547" s="1">
        <f>_xlfn.XLOOKUP('Customer Info'!A2290,'Customer Info'!A2290:A2389,'Customer Info'!E2290:E2389,0,0)</f>
        <v>0</v>
      </c>
      <c r="J547" s="1">
        <f>_xlfn.XLOOKUP('Customer Info'!A2290,'Customer Info'!A2290:A2389,'Customer Info'!M2290:M2389)</f>
        <v>0</v>
      </c>
    </row>
    <row r="548" spans="1:10" ht="14" x14ac:dyDescent="0.2">
      <c r="A548" s="2" t="s">
        <v>23</v>
      </c>
      <c r="B548" s="2">
        <v>5</v>
      </c>
      <c r="C548" s="2">
        <v>7</v>
      </c>
      <c r="D548" s="2">
        <v>2021</v>
      </c>
      <c r="E548" s="2">
        <v>0</v>
      </c>
      <c r="F548" s="2">
        <v>133.91999999999999</v>
      </c>
      <c r="H548" s="1">
        <f>_xlfn.XLOOKUP('Customer Info'!A2291,'Customer Info'!A2291:A2390,'Customer Info'!E2291:E2390,0,0)</f>
        <v>0</v>
      </c>
      <c r="J548" s="1">
        <f>_xlfn.XLOOKUP('Customer Info'!A2291,'Customer Info'!A2291:A2390,'Customer Info'!M2291:M2390)</f>
        <v>0</v>
      </c>
    </row>
    <row r="549" spans="1:10" ht="14" x14ac:dyDescent="0.2">
      <c r="A549" s="2" t="s">
        <v>29</v>
      </c>
      <c r="B549" s="2">
        <v>20</v>
      </c>
      <c r="C549" s="2">
        <v>6</v>
      </c>
      <c r="D549" s="2">
        <v>2021</v>
      </c>
      <c r="E549" s="2">
        <v>0</v>
      </c>
      <c r="F549" s="2">
        <v>133.80000000000001</v>
      </c>
      <c r="H549" s="1">
        <f>_xlfn.XLOOKUP('Customer Info'!A2292,'Customer Info'!A2292:A2391,'Customer Info'!E2292:E2391,0,0)</f>
        <v>0</v>
      </c>
      <c r="J549" s="1">
        <f>_xlfn.XLOOKUP('Customer Info'!A2292,'Customer Info'!A2292:A2391,'Customer Info'!M2292:M2391)</f>
        <v>0</v>
      </c>
    </row>
    <row r="550" spans="1:10" ht="14" x14ac:dyDescent="0.2">
      <c r="A550" s="2" t="s">
        <v>99</v>
      </c>
      <c r="B550" s="2">
        <v>10</v>
      </c>
      <c r="C550" s="2">
        <v>3</v>
      </c>
      <c r="D550" s="2">
        <v>2021</v>
      </c>
      <c r="E550" s="1" t="s">
        <v>94</v>
      </c>
      <c r="F550" s="2">
        <v>133.61000000000001</v>
      </c>
      <c r="H550" s="1">
        <f>_xlfn.XLOOKUP('Customer Info'!A1260,'Customer Info'!A1260:A1359,'Customer Info'!E1260:E1359,0,0)</f>
        <v>0</v>
      </c>
      <c r="J550" s="1">
        <f>_xlfn.XLOOKUP('Customer Info'!A1260,'Customer Info'!A1260:A1359,'Customer Info'!M1260:M1359)</f>
        <v>0</v>
      </c>
    </row>
    <row r="551" spans="1:10" ht="14" hidden="1" x14ac:dyDescent="0.2">
      <c r="A551" s="2" t="s">
        <v>13</v>
      </c>
      <c r="B551" s="2">
        <v>7</v>
      </c>
      <c r="C551" s="2">
        <v>9</v>
      </c>
      <c r="D551" s="2">
        <v>2020</v>
      </c>
      <c r="E551" s="2">
        <v>0</v>
      </c>
      <c r="F551" s="2">
        <v>133.5</v>
      </c>
      <c r="H551" s="1">
        <f>_xlfn.XLOOKUP('Customer Info'!A1080,'Customer Info'!A1080:A1179,'Customer Info'!E1080:E1179,0,0)</f>
        <v>0</v>
      </c>
      <c r="J551" s="1">
        <f>_xlfn.XLOOKUP('Customer Info'!A1080,'Customer Info'!A1080:A1179,'Customer Info'!M1080:M1179)</f>
        <v>0</v>
      </c>
    </row>
    <row r="552" spans="1:10" ht="14" x14ac:dyDescent="0.2">
      <c r="A552" s="2" t="s">
        <v>20</v>
      </c>
      <c r="B552" s="2">
        <v>12</v>
      </c>
      <c r="C552" s="2">
        <v>9</v>
      </c>
      <c r="D552" s="2">
        <v>2021</v>
      </c>
      <c r="E552" s="2">
        <v>0</v>
      </c>
      <c r="F552" s="2">
        <v>133.5</v>
      </c>
      <c r="H552" s="1">
        <f>_xlfn.XLOOKUP('Customer Info'!A2293,'Customer Info'!A2293:A2392,'Customer Info'!E2293:E2392,0,0)</f>
        <v>0</v>
      </c>
      <c r="J552" s="1">
        <f>_xlfn.XLOOKUP('Customer Info'!A2293,'Customer Info'!A2293:A2392,'Customer Info'!M2293:M2392)</f>
        <v>0</v>
      </c>
    </row>
    <row r="553" spans="1:10" ht="14" x14ac:dyDescent="0.2">
      <c r="A553" s="2" t="s">
        <v>13</v>
      </c>
      <c r="B553" s="2">
        <v>7</v>
      </c>
      <c r="C553" s="2">
        <v>10</v>
      </c>
      <c r="D553" s="2">
        <v>2021</v>
      </c>
      <c r="E553" s="1" t="s">
        <v>94</v>
      </c>
      <c r="F553" s="2">
        <v>133.30000000000001</v>
      </c>
      <c r="H553" s="1">
        <f>_xlfn.XLOOKUP('Customer Info'!A1261,'Customer Info'!A1261:A1360,'Customer Info'!E1261:E1360,0,0)</f>
        <v>0</v>
      </c>
      <c r="J553" s="1">
        <f>_xlfn.XLOOKUP('Customer Info'!A1261,'Customer Info'!A1261:A1360,'Customer Info'!M1261:M1360)</f>
        <v>0</v>
      </c>
    </row>
    <row r="554" spans="1:10" ht="14" hidden="1" x14ac:dyDescent="0.2">
      <c r="A554" s="2" t="s">
        <v>14</v>
      </c>
      <c r="B554" s="2">
        <v>10</v>
      </c>
      <c r="C554" s="2">
        <v>6</v>
      </c>
      <c r="D554" s="2">
        <v>2020</v>
      </c>
      <c r="E554" s="2">
        <v>0</v>
      </c>
      <c r="F554" s="2">
        <v>133.19999999999999</v>
      </c>
      <c r="H554" s="1">
        <f>_xlfn.XLOOKUP('Customer Info'!A1081,'Customer Info'!A1081:A1180,'Customer Info'!E1081:E1180,0,0)</f>
        <v>0</v>
      </c>
      <c r="J554" s="1">
        <f>_xlfn.XLOOKUP('Customer Info'!A1081,'Customer Info'!A1081:A1180,'Customer Info'!M1081:M1180)</f>
        <v>0</v>
      </c>
    </row>
    <row r="555" spans="1:10" ht="14" x14ac:dyDescent="0.2">
      <c r="A555" s="2" t="s">
        <v>21</v>
      </c>
      <c r="B555" s="2">
        <v>15</v>
      </c>
      <c r="C555" s="2">
        <v>4</v>
      </c>
      <c r="D555" s="2">
        <v>2021</v>
      </c>
      <c r="E555" s="2">
        <v>0</v>
      </c>
      <c r="F555" s="2">
        <v>133.19999999999999</v>
      </c>
      <c r="H555" s="1">
        <f>_xlfn.XLOOKUP('Customer Info'!A2294,'Customer Info'!A2294:A2393,'Customer Info'!E2294:E2393,0,0)</f>
        <v>0</v>
      </c>
      <c r="J555" s="1">
        <f>_xlfn.XLOOKUP('Customer Info'!A2294,'Customer Info'!A2294:A2393,'Customer Info'!M2294:M2393)</f>
        <v>0</v>
      </c>
    </row>
    <row r="556" spans="1:10" ht="14" x14ac:dyDescent="0.2">
      <c r="A556" s="2" t="s">
        <v>26</v>
      </c>
      <c r="B556" s="2">
        <v>22</v>
      </c>
      <c r="C556" s="2">
        <v>5</v>
      </c>
      <c r="D556" s="2">
        <v>2021</v>
      </c>
      <c r="E556" s="1" t="s">
        <v>94</v>
      </c>
      <c r="F556" s="2">
        <v>132.99</v>
      </c>
      <c r="H556" s="1">
        <f>_xlfn.XLOOKUP('Customer Info'!A1262,'Customer Info'!A1262:A1361,'Customer Info'!E1262:E1361,0,0)</f>
        <v>0</v>
      </c>
      <c r="J556" s="1">
        <f>_xlfn.XLOOKUP('Customer Info'!A1262,'Customer Info'!A1262:A1361,'Customer Info'!M1262:M1361)</f>
        <v>0</v>
      </c>
    </row>
    <row r="557" spans="1:10" ht="14" hidden="1" x14ac:dyDescent="0.2">
      <c r="A557" s="2" t="s">
        <v>13</v>
      </c>
      <c r="B557" s="2">
        <v>7</v>
      </c>
      <c r="C557" s="2">
        <v>5</v>
      </c>
      <c r="D557" s="2">
        <v>2020</v>
      </c>
      <c r="E557" s="2">
        <v>0</v>
      </c>
      <c r="F557" s="2">
        <v>132.99</v>
      </c>
      <c r="H557" s="1">
        <f>_xlfn.XLOOKUP('Customer Info'!A1082,'Customer Info'!A1082:A1181,'Customer Info'!E1082:E1181,0,0)</f>
        <v>0</v>
      </c>
      <c r="J557" s="1">
        <f>_xlfn.XLOOKUP('Customer Info'!A1082,'Customer Info'!A1082:A1181,'Customer Info'!M1082:M1181)</f>
        <v>0</v>
      </c>
    </row>
    <row r="558" spans="1:10" ht="14" hidden="1" x14ac:dyDescent="0.2">
      <c r="A558" s="2" t="s">
        <v>12</v>
      </c>
      <c r="B558" s="2">
        <v>2</v>
      </c>
      <c r="C558" s="2">
        <v>10</v>
      </c>
      <c r="D558" s="2">
        <v>2020</v>
      </c>
      <c r="E558" s="2">
        <v>0</v>
      </c>
      <c r="F558" s="2">
        <v>132.99</v>
      </c>
      <c r="H558" s="1">
        <f>_xlfn.XLOOKUP('Customer Info'!A1083,'Customer Info'!A1083:A1182,'Customer Info'!E1083:E1182,0,0)</f>
        <v>0</v>
      </c>
      <c r="J558" s="1">
        <f>_xlfn.XLOOKUP('Customer Info'!A1083,'Customer Info'!A1083:A1182,'Customer Info'!M1083:M1182)</f>
        <v>0</v>
      </c>
    </row>
    <row r="559" spans="1:10" ht="14" x14ac:dyDescent="0.2">
      <c r="A559" s="2" t="s">
        <v>3</v>
      </c>
      <c r="B559" s="2">
        <v>25</v>
      </c>
      <c r="C559" s="2">
        <v>3</v>
      </c>
      <c r="D559" s="2">
        <v>2021</v>
      </c>
      <c r="E559" s="2">
        <v>0</v>
      </c>
      <c r="F559" s="2">
        <v>132.99</v>
      </c>
      <c r="H559" s="1">
        <f>_xlfn.XLOOKUP('Customer Info'!A2295,'Customer Info'!A2295:A2394,'Customer Info'!E2295:E2394,0,0)</f>
        <v>0</v>
      </c>
      <c r="J559" s="1">
        <f>_xlfn.XLOOKUP('Customer Info'!A2295,'Customer Info'!A2295:A2394,'Customer Info'!M2295:M2394)</f>
        <v>0</v>
      </c>
    </row>
    <row r="560" spans="1:10" ht="14" hidden="1" x14ac:dyDescent="0.2">
      <c r="A560" s="2" t="s">
        <v>8</v>
      </c>
      <c r="B560" s="2">
        <v>5</v>
      </c>
      <c r="C560" s="2">
        <v>4</v>
      </c>
      <c r="D560" s="2">
        <v>2020</v>
      </c>
      <c r="E560" s="2">
        <v>0</v>
      </c>
      <c r="F560" s="2">
        <v>132.9</v>
      </c>
      <c r="H560" s="1">
        <f>_xlfn.XLOOKUP('Customer Info'!A1084,'Customer Info'!A1084:A1183,'Customer Info'!E1084:E1183,0,0)</f>
        <v>0</v>
      </c>
      <c r="J560" s="1">
        <f>_xlfn.XLOOKUP('Customer Info'!A1084,'Customer Info'!A1084:A1183,'Customer Info'!M1084:M1183)</f>
        <v>0</v>
      </c>
    </row>
    <row r="561" spans="1:10" ht="14" x14ac:dyDescent="0.2">
      <c r="A561" s="2" t="s">
        <v>14</v>
      </c>
      <c r="B561" s="2">
        <v>10</v>
      </c>
      <c r="C561" s="2">
        <v>9</v>
      </c>
      <c r="D561" s="2">
        <v>2021</v>
      </c>
      <c r="E561" s="2">
        <v>0</v>
      </c>
      <c r="F561" s="2">
        <v>132.9</v>
      </c>
      <c r="H561" s="1">
        <f>_xlfn.XLOOKUP('Customer Info'!A2296,'Customer Info'!A2296:A2395,'Customer Info'!E2296:E2395,0,0)</f>
        <v>0</v>
      </c>
      <c r="J561" s="1">
        <f>_xlfn.XLOOKUP('Customer Info'!A2296,'Customer Info'!A2296:A2395,'Customer Info'!M2296:M2395)</f>
        <v>0</v>
      </c>
    </row>
    <row r="562" spans="1:10" ht="14" x14ac:dyDescent="0.2">
      <c r="A562" s="2" t="s">
        <v>25</v>
      </c>
      <c r="B562" s="2">
        <v>8</v>
      </c>
      <c r="C562" s="2">
        <v>5</v>
      </c>
      <c r="D562" s="2">
        <v>2021</v>
      </c>
      <c r="E562" s="2">
        <v>0</v>
      </c>
      <c r="F562" s="2">
        <v>132.68</v>
      </c>
      <c r="H562" s="1">
        <f>_xlfn.XLOOKUP('Customer Info'!A2297,'Customer Info'!A2297:A2396,'Customer Info'!E2297:E2396,0,0)</f>
        <v>0</v>
      </c>
      <c r="J562" s="1">
        <f>_xlfn.XLOOKUP('Customer Info'!A2297,'Customer Info'!A2297:A2396,'Customer Info'!M2297:M2396)</f>
        <v>0</v>
      </c>
    </row>
    <row r="563" spans="1:10" ht="14" hidden="1" x14ac:dyDescent="0.2">
      <c r="A563" s="2" t="s">
        <v>28</v>
      </c>
      <c r="B563" s="2">
        <v>5</v>
      </c>
      <c r="C563" s="2">
        <v>9</v>
      </c>
      <c r="D563" s="2">
        <v>2020</v>
      </c>
      <c r="E563" s="2">
        <v>0</v>
      </c>
      <c r="F563" s="2">
        <v>132.6</v>
      </c>
      <c r="H563" s="1">
        <f>_xlfn.XLOOKUP('Customer Info'!A1085,'Customer Info'!A1085:A1184,'Customer Info'!E1085:E1184,0,0)</f>
        <v>0</v>
      </c>
      <c r="J563" s="1">
        <f>_xlfn.XLOOKUP('Customer Info'!A1085,'Customer Info'!A1085:A1184,'Customer Info'!M1085:M1184)</f>
        <v>0</v>
      </c>
    </row>
    <row r="564" spans="1:10" ht="14" hidden="1" x14ac:dyDescent="0.2">
      <c r="A564" s="2" t="s">
        <v>25</v>
      </c>
      <c r="B564" s="2">
        <v>8</v>
      </c>
      <c r="C564" s="2">
        <v>7</v>
      </c>
      <c r="D564" s="2">
        <v>2020</v>
      </c>
      <c r="E564" s="2">
        <v>0</v>
      </c>
      <c r="F564" s="2">
        <v>132.37</v>
      </c>
      <c r="H564" s="1">
        <f>_xlfn.XLOOKUP('Customer Info'!A1086,'Customer Info'!A1086:A1185,'Customer Info'!E1086:E1185,0,0)</f>
        <v>0</v>
      </c>
      <c r="J564" s="1">
        <f>_xlfn.XLOOKUP('Customer Info'!A1086,'Customer Info'!A1086:A1185,'Customer Info'!M1086:M1185)</f>
        <v>0</v>
      </c>
    </row>
    <row r="565" spans="1:10" ht="14" hidden="1" x14ac:dyDescent="0.2">
      <c r="A565" s="2" t="s">
        <v>9</v>
      </c>
      <c r="B565" s="2">
        <v>22</v>
      </c>
      <c r="C565" s="2">
        <v>10</v>
      </c>
      <c r="D565" s="2">
        <v>2020</v>
      </c>
      <c r="E565" s="2">
        <v>0</v>
      </c>
      <c r="F565" s="2">
        <v>132.37</v>
      </c>
      <c r="H565" s="1">
        <f>_xlfn.XLOOKUP('Customer Info'!A1087,'Customer Info'!A1087:A1186,'Customer Info'!E1087:E1186,0,0)</f>
        <v>0</v>
      </c>
      <c r="J565" s="1">
        <f>_xlfn.XLOOKUP('Customer Info'!A1087,'Customer Info'!A1087:A1186,'Customer Info'!M1087:M1186)</f>
        <v>0</v>
      </c>
    </row>
    <row r="566" spans="1:10" ht="14" x14ac:dyDescent="0.2">
      <c r="A566" s="2" t="s">
        <v>21</v>
      </c>
      <c r="B566" s="2">
        <v>15</v>
      </c>
      <c r="C566" s="2">
        <v>8</v>
      </c>
      <c r="D566" s="2">
        <v>2021</v>
      </c>
      <c r="E566" s="2">
        <v>0</v>
      </c>
      <c r="F566" s="2">
        <v>132.37</v>
      </c>
      <c r="H566" s="1">
        <f>_xlfn.XLOOKUP('Customer Info'!A2298,'Customer Info'!A2298:A2397,'Customer Info'!E2298:E2397,0,0)</f>
        <v>0</v>
      </c>
      <c r="J566" s="1">
        <f>_xlfn.XLOOKUP('Customer Info'!A2298,'Customer Info'!A2298:A2397,'Customer Info'!M2298:M2397)</f>
        <v>0</v>
      </c>
    </row>
    <row r="567" spans="1:10" ht="14" hidden="1" x14ac:dyDescent="0.2">
      <c r="A567" s="2" t="s">
        <v>5</v>
      </c>
      <c r="B567" s="2">
        <v>7</v>
      </c>
      <c r="C567" s="2">
        <v>11</v>
      </c>
      <c r="D567" s="2">
        <v>2020</v>
      </c>
      <c r="E567" s="1" t="s">
        <v>94</v>
      </c>
      <c r="F567" s="2">
        <v>132.30000000000001</v>
      </c>
      <c r="H567" s="1">
        <f>_xlfn.XLOOKUP('Customer Info'!A67,'Customer Info'!A67:A166,'Customer Info'!E67:E166,0,0)</f>
        <v>3</v>
      </c>
      <c r="I567" s="1" t="str">
        <f>_xlfn.XLOOKUP('Customer Info'!A67,'Customer Info'!A67:A166,'Customer Info'!J67:J166,0)</f>
        <v>SSW</v>
      </c>
      <c r="J567" s="1" t="b">
        <f>_xlfn.XLOOKUP('Customer Info'!A67,'Customer Info'!A67:A166,'Customer Info'!M67:M166)</f>
        <v>0</v>
      </c>
    </row>
    <row r="568" spans="1:10" ht="14" x14ac:dyDescent="0.2">
      <c r="A568" s="2" t="s">
        <v>11</v>
      </c>
      <c r="B568" s="2">
        <v>15</v>
      </c>
      <c r="C568" s="2">
        <v>4</v>
      </c>
      <c r="D568" s="2">
        <v>2021</v>
      </c>
      <c r="E568" s="2">
        <v>0</v>
      </c>
      <c r="F568" s="2">
        <v>132.30000000000001</v>
      </c>
      <c r="H568" s="1">
        <f>_xlfn.XLOOKUP('Customer Info'!A2299,'Customer Info'!A2299:A2398,'Customer Info'!E2299:E2398,0,0)</f>
        <v>0</v>
      </c>
      <c r="J568" s="1">
        <f>_xlfn.XLOOKUP('Customer Info'!A2299,'Customer Info'!A2299:A2398,'Customer Info'!M2299:M2398)</f>
        <v>0</v>
      </c>
    </row>
    <row r="569" spans="1:10" ht="14" hidden="1" x14ac:dyDescent="0.2">
      <c r="A569" s="2" t="s">
        <v>26</v>
      </c>
      <c r="B569" s="2">
        <v>22</v>
      </c>
      <c r="C569" s="2">
        <v>8</v>
      </c>
      <c r="D569" s="2">
        <v>2020</v>
      </c>
      <c r="E569" s="2">
        <v>0</v>
      </c>
      <c r="F569" s="2">
        <v>131.75</v>
      </c>
      <c r="H569" s="1">
        <f>_xlfn.XLOOKUP('Customer Info'!A1088,'Customer Info'!A1088:A1187,'Customer Info'!E1088:E1187,0,0)</f>
        <v>0</v>
      </c>
      <c r="J569" s="1">
        <f>_xlfn.XLOOKUP('Customer Info'!A1088,'Customer Info'!A1088:A1187,'Customer Info'!M1088:M1187)</f>
        <v>0</v>
      </c>
    </row>
    <row r="570" spans="1:10" ht="14" hidden="1" x14ac:dyDescent="0.2">
      <c r="A570" s="2" t="s">
        <v>7</v>
      </c>
      <c r="B570" s="2">
        <v>20</v>
      </c>
      <c r="C570" s="2">
        <v>9</v>
      </c>
      <c r="D570" s="2">
        <v>2020</v>
      </c>
      <c r="E570" s="2">
        <v>0</v>
      </c>
      <c r="F570" s="2">
        <v>131.69999999999999</v>
      </c>
      <c r="H570" s="1">
        <f>_xlfn.XLOOKUP('Customer Info'!A1089,'Customer Info'!A1089:A1188,'Customer Info'!E1089:E1188,0,0)</f>
        <v>0</v>
      </c>
      <c r="J570" s="1">
        <f>_xlfn.XLOOKUP('Customer Info'!A1089,'Customer Info'!A1089:A1188,'Customer Info'!M1089:M1188)</f>
        <v>0</v>
      </c>
    </row>
    <row r="571" spans="1:10" ht="14" x14ac:dyDescent="0.2">
      <c r="A571" s="2" t="s">
        <v>97</v>
      </c>
      <c r="B571" s="2">
        <v>12</v>
      </c>
      <c r="C571" s="2">
        <v>10</v>
      </c>
      <c r="D571" s="2">
        <v>2021</v>
      </c>
      <c r="E571" s="1" t="s">
        <v>94</v>
      </c>
      <c r="F571" s="2">
        <v>131.44</v>
      </c>
      <c r="H571" s="1">
        <f>_xlfn.XLOOKUP('Customer Info'!A1263,'Customer Info'!A1263:A1362,'Customer Info'!E1263:E1362,0,0)</f>
        <v>0</v>
      </c>
      <c r="J571" s="1">
        <f>_xlfn.XLOOKUP('Customer Info'!A1263,'Customer Info'!A1263:A1362,'Customer Info'!M1263:M1362)</f>
        <v>0</v>
      </c>
    </row>
    <row r="572" spans="1:10" ht="14" hidden="1" x14ac:dyDescent="0.2">
      <c r="A572" s="2" t="s">
        <v>24</v>
      </c>
      <c r="B572" s="2">
        <v>22</v>
      </c>
      <c r="C572" s="2">
        <v>7</v>
      </c>
      <c r="D572" s="2">
        <v>2020</v>
      </c>
      <c r="E572" s="2">
        <v>0</v>
      </c>
      <c r="F572" s="2">
        <v>131.44</v>
      </c>
      <c r="H572" s="1">
        <f>_xlfn.XLOOKUP('Customer Info'!A1090,'Customer Info'!A1090:A1189,'Customer Info'!E1090:E1189,0,0)</f>
        <v>0</v>
      </c>
      <c r="J572" s="1">
        <f>_xlfn.XLOOKUP('Customer Info'!A1090,'Customer Info'!A1090:A1189,'Customer Info'!M1090:M1189)</f>
        <v>0</v>
      </c>
    </row>
    <row r="573" spans="1:10" ht="14" x14ac:dyDescent="0.2">
      <c r="A573" s="2" t="s">
        <v>5</v>
      </c>
      <c r="B573" s="2">
        <v>7</v>
      </c>
      <c r="C573" s="2">
        <v>5</v>
      </c>
      <c r="D573" s="2">
        <v>2021</v>
      </c>
      <c r="E573" s="2">
        <v>0</v>
      </c>
      <c r="F573" s="2">
        <v>131.44</v>
      </c>
      <c r="H573" s="1">
        <f>_xlfn.XLOOKUP('Customer Info'!A2300,'Customer Info'!A2300:A2399,'Customer Info'!E2300:E2399,0,0)</f>
        <v>0</v>
      </c>
      <c r="J573" s="1">
        <f>_xlfn.XLOOKUP('Customer Info'!A2300,'Customer Info'!A2300:A2399,'Customer Info'!M2300:M2399)</f>
        <v>0</v>
      </c>
    </row>
    <row r="574" spans="1:10" ht="14" x14ac:dyDescent="0.2">
      <c r="A574" s="2" t="s">
        <v>10</v>
      </c>
      <c r="B574" s="2">
        <v>18</v>
      </c>
      <c r="C574" s="2">
        <v>10</v>
      </c>
      <c r="D574" s="2">
        <v>2021</v>
      </c>
      <c r="E574" s="2">
        <v>0</v>
      </c>
      <c r="F574" s="2">
        <v>131.44</v>
      </c>
      <c r="H574" s="1">
        <f>_xlfn.XLOOKUP('Customer Info'!A2301,'Customer Info'!A2301:A2400,'Customer Info'!E2301:E2400,0,0)</f>
        <v>0</v>
      </c>
      <c r="J574" s="1">
        <f>_xlfn.XLOOKUP('Customer Info'!A2301,'Customer Info'!A2301:A2400,'Customer Info'!M2301:M2400)</f>
        <v>0</v>
      </c>
    </row>
    <row r="575" spans="1:10" ht="14" hidden="1" x14ac:dyDescent="0.2">
      <c r="A575" s="2" t="s">
        <v>19</v>
      </c>
      <c r="B575" s="2">
        <v>24</v>
      </c>
      <c r="C575" s="2">
        <v>8</v>
      </c>
      <c r="D575" s="2">
        <v>2020</v>
      </c>
      <c r="E575" s="1" t="s">
        <v>94</v>
      </c>
      <c r="F575" s="2">
        <v>131.13</v>
      </c>
      <c r="H575" s="1">
        <f>_xlfn.XLOOKUP('Customer Info'!A68,'Customer Info'!A68:A167,'Customer Info'!E68:E167,0,0)</f>
        <v>3</v>
      </c>
      <c r="I575" s="1" t="str">
        <f>_xlfn.XLOOKUP('Customer Info'!A68,'Customer Info'!A68:A167,'Customer Info'!J68:J167,0)</f>
        <v>SSW</v>
      </c>
      <c r="J575" s="1" t="b">
        <f>_xlfn.XLOOKUP('Customer Info'!A68,'Customer Info'!A68:A167,'Customer Info'!M68:M167)</f>
        <v>0</v>
      </c>
    </row>
    <row r="576" spans="1:10" ht="14" x14ac:dyDescent="0.2">
      <c r="A576" s="2" t="s">
        <v>4</v>
      </c>
      <c r="B576" s="2">
        <v>1</v>
      </c>
      <c r="C576" s="2">
        <v>10</v>
      </c>
      <c r="D576" s="2">
        <v>2021</v>
      </c>
      <c r="E576" s="2">
        <v>0</v>
      </c>
      <c r="F576" s="2">
        <v>131.13</v>
      </c>
      <c r="H576" s="1">
        <f>_xlfn.XLOOKUP('Customer Info'!A2302,'Customer Info'!A2302:A2401,'Customer Info'!E2302:E2401,0,0)</f>
        <v>0</v>
      </c>
      <c r="J576" s="1">
        <f>_xlfn.XLOOKUP('Customer Info'!A2302,'Customer Info'!A2302:A2401,'Customer Info'!M2302:M2401)</f>
        <v>0</v>
      </c>
    </row>
    <row r="577" spans="1:10" ht="14" hidden="1" x14ac:dyDescent="0.2">
      <c r="A577" s="2" t="s">
        <v>97</v>
      </c>
      <c r="B577" s="2">
        <v>12</v>
      </c>
      <c r="C577" s="2">
        <v>10</v>
      </c>
      <c r="D577" s="2">
        <v>2020</v>
      </c>
      <c r="E577" s="1" t="s">
        <v>94</v>
      </c>
      <c r="F577" s="2">
        <v>130.82</v>
      </c>
      <c r="H577" s="1">
        <f>_xlfn.XLOOKUP('Customer Info'!A69,'Customer Info'!A69:A168,'Customer Info'!E69:E168,0,0)</f>
        <v>3</v>
      </c>
      <c r="I577" s="1" t="str">
        <f>_xlfn.XLOOKUP('Customer Info'!A69,'Customer Info'!A69:A168,'Customer Info'!J69:J168,0)</f>
        <v>Scottish Gas</v>
      </c>
      <c r="J577" s="1" t="b">
        <f>_xlfn.XLOOKUP('Customer Info'!A69,'Customer Info'!A69:A168,'Customer Info'!M69:M168)</f>
        <v>0</v>
      </c>
    </row>
    <row r="578" spans="1:10" ht="14" hidden="1" x14ac:dyDescent="0.2">
      <c r="A578" s="2" t="s">
        <v>5</v>
      </c>
      <c r="B578" s="2">
        <v>7</v>
      </c>
      <c r="C578" s="2">
        <v>3</v>
      </c>
      <c r="D578" s="2">
        <v>2020</v>
      </c>
      <c r="E578" s="2">
        <v>0</v>
      </c>
      <c r="F578" s="2">
        <v>130.82</v>
      </c>
      <c r="H578" s="1">
        <f>_xlfn.XLOOKUP('Customer Info'!A1091,'Customer Info'!A1091:A1190,'Customer Info'!E1091:E1190,0,0)</f>
        <v>0</v>
      </c>
      <c r="J578" s="1">
        <f>_xlfn.XLOOKUP('Customer Info'!A1091,'Customer Info'!A1091:A1190,'Customer Info'!M1091:M1190)</f>
        <v>0</v>
      </c>
    </row>
    <row r="579" spans="1:10" ht="14" hidden="1" x14ac:dyDescent="0.2">
      <c r="A579" s="2" t="s">
        <v>100</v>
      </c>
      <c r="B579" s="2">
        <v>1</v>
      </c>
      <c r="C579" s="2">
        <v>9</v>
      </c>
      <c r="D579" s="2">
        <v>2020</v>
      </c>
      <c r="E579" s="1" t="s">
        <v>94</v>
      </c>
      <c r="F579" s="2">
        <v>130.80000000000001</v>
      </c>
      <c r="H579" s="1">
        <f>_xlfn.XLOOKUP('Customer Info'!A70,'Customer Info'!A70:A169,'Customer Info'!E70:E169,0,0)</f>
        <v>3</v>
      </c>
      <c r="I579" s="1" t="str">
        <f>_xlfn.XLOOKUP('Customer Info'!A70,'Customer Info'!A70:A169,'Customer Info'!J70:J169,0)</f>
        <v>Scottish Gas</v>
      </c>
      <c r="J579" s="1" t="b">
        <f>_xlfn.XLOOKUP('Customer Info'!A70,'Customer Info'!A70:A169,'Customer Info'!M70:M169)</f>
        <v>0</v>
      </c>
    </row>
    <row r="580" spans="1:10" ht="14" x14ac:dyDescent="0.2">
      <c r="A580" s="2" t="s">
        <v>20</v>
      </c>
      <c r="B580" s="2">
        <v>12</v>
      </c>
      <c r="C580" s="2">
        <v>5</v>
      </c>
      <c r="D580" s="2">
        <v>2021</v>
      </c>
      <c r="E580" s="2">
        <v>0</v>
      </c>
      <c r="F580" s="2">
        <v>130.51</v>
      </c>
      <c r="H580" s="1">
        <f>_xlfn.XLOOKUP('Customer Info'!A2303,'Customer Info'!A2303:A2402,'Customer Info'!E2303:E2402,0,0)</f>
        <v>0</v>
      </c>
      <c r="J580" s="1">
        <f>_xlfn.XLOOKUP('Customer Info'!A2303,'Customer Info'!A2303:A2402,'Customer Info'!M2303:M2402)</f>
        <v>0</v>
      </c>
    </row>
    <row r="581" spans="1:10" ht="14" x14ac:dyDescent="0.2">
      <c r="A581" s="2" t="s">
        <v>7</v>
      </c>
      <c r="B581" s="2">
        <v>20</v>
      </c>
      <c r="C581" s="2">
        <v>5</v>
      </c>
      <c r="D581" s="2">
        <v>2021</v>
      </c>
      <c r="E581" s="2">
        <v>0</v>
      </c>
      <c r="F581" s="2">
        <v>130.51</v>
      </c>
      <c r="H581" s="1">
        <f>_xlfn.XLOOKUP('Customer Info'!A2304,'Customer Info'!A2304:A2403,'Customer Info'!E2304:E2403,0,0)</f>
        <v>0</v>
      </c>
      <c r="J581" s="1">
        <f>_xlfn.XLOOKUP('Customer Info'!A2304,'Customer Info'!A2304:A2403,'Customer Info'!M2304:M2403)</f>
        <v>0</v>
      </c>
    </row>
    <row r="582" spans="1:10" ht="14" x14ac:dyDescent="0.2">
      <c r="A582" s="2" t="s">
        <v>3</v>
      </c>
      <c r="B582" s="2">
        <v>25</v>
      </c>
      <c r="C582" s="2">
        <v>4</v>
      </c>
      <c r="D582" s="2">
        <v>2021</v>
      </c>
      <c r="E582" s="2">
        <v>0</v>
      </c>
      <c r="F582" s="2">
        <v>130.5</v>
      </c>
      <c r="H582" s="1">
        <f>_xlfn.XLOOKUP('Customer Info'!A2305,'Customer Info'!A2305:A2404,'Customer Info'!E2305:E2404,0,0)</f>
        <v>0</v>
      </c>
      <c r="J582" s="1">
        <f>_xlfn.XLOOKUP('Customer Info'!A2305,'Customer Info'!A2305:A2404,'Customer Info'!M2305:M2404)</f>
        <v>0</v>
      </c>
    </row>
    <row r="583" spans="1:10" ht="14" x14ac:dyDescent="0.2">
      <c r="A583" s="2" t="s">
        <v>10</v>
      </c>
      <c r="B583" s="2">
        <v>18</v>
      </c>
      <c r="C583" s="2">
        <v>5</v>
      </c>
      <c r="D583" s="2">
        <v>2021</v>
      </c>
      <c r="E583" s="1" t="s">
        <v>94</v>
      </c>
      <c r="F583" s="2">
        <v>130.19999999999999</v>
      </c>
      <c r="H583" s="1">
        <f>_xlfn.XLOOKUP('Customer Info'!A1264,'Customer Info'!A1264:A1363,'Customer Info'!E1264:E1363,0,0)</f>
        <v>0</v>
      </c>
      <c r="J583" s="1">
        <f>_xlfn.XLOOKUP('Customer Info'!A1264,'Customer Info'!A1264:A1363,'Customer Info'!M1264:M1363)</f>
        <v>0</v>
      </c>
    </row>
    <row r="584" spans="1:10" ht="14" hidden="1" x14ac:dyDescent="0.2">
      <c r="A584" s="2" t="s">
        <v>97</v>
      </c>
      <c r="B584" s="2">
        <v>12</v>
      </c>
      <c r="C584" s="2">
        <v>2</v>
      </c>
      <c r="D584" s="2">
        <v>2020</v>
      </c>
      <c r="E584" s="1" t="s">
        <v>94</v>
      </c>
      <c r="F584" s="2">
        <v>130.19999999999999</v>
      </c>
      <c r="H584" s="1">
        <f>_xlfn.XLOOKUP('Customer Info'!A71,'Customer Info'!A71:A170,'Customer Info'!E71:E170,0,0)</f>
        <v>4</v>
      </c>
      <c r="I584" s="1" t="str">
        <f>_xlfn.XLOOKUP('Customer Info'!A71,'Customer Info'!A71:A170,'Customer Info'!J71:J170,0)</f>
        <v>Scottish Gas</v>
      </c>
      <c r="J584" s="1" t="b">
        <f>_xlfn.XLOOKUP('Customer Info'!A71,'Customer Info'!A71:A170,'Customer Info'!M71:M170)</f>
        <v>0</v>
      </c>
    </row>
    <row r="585" spans="1:10" ht="14" x14ac:dyDescent="0.2">
      <c r="A585" s="2" t="s">
        <v>18</v>
      </c>
      <c r="B585" s="2">
        <v>5</v>
      </c>
      <c r="C585" s="2">
        <v>5</v>
      </c>
      <c r="D585" s="2">
        <v>2021</v>
      </c>
      <c r="E585" s="2">
        <v>0</v>
      </c>
      <c r="F585" s="2">
        <v>130.19999999999999</v>
      </c>
      <c r="H585" s="1">
        <f>_xlfn.XLOOKUP('Customer Info'!A2306,'Customer Info'!A2306:A2405,'Customer Info'!E2306:E2405,0,0)</f>
        <v>0</v>
      </c>
      <c r="J585" s="1">
        <f>_xlfn.XLOOKUP('Customer Info'!A2306,'Customer Info'!A2306:A2405,'Customer Info'!M2306:M2405)</f>
        <v>0</v>
      </c>
    </row>
    <row r="586" spans="1:10" ht="14" x14ac:dyDescent="0.2">
      <c r="A586" s="2" t="s">
        <v>24</v>
      </c>
      <c r="B586" s="2">
        <v>22</v>
      </c>
      <c r="C586" s="2">
        <v>9</v>
      </c>
      <c r="D586" s="2">
        <v>2021</v>
      </c>
      <c r="E586" s="1" t="s">
        <v>94</v>
      </c>
      <c r="F586" s="2">
        <v>129.9</v>
      </c>
      <c r="H586" s="1">
        <f>_xlfn.XLOOKUP('Customer Info'!A1265,'Customer Info'!A1265:A1364,'Customer Info'!E1265:E1364,0,0)</f>
        <v>0</v>
      </c>
      <c r="J586" s="1">
        <f>_xlfn.XLOOKUP('Customer Info'!A1265,'Customer Info'!A1265:A1364,'Customer Info'!M1265:M1364)</f>
        <v>0</v>
      </c>
    </row>
    <row r="587" spans="1:10" ht="14" x14ac:dyDescent="0.2">
      <c r="A587" s="2" t="s">
        <v>25</v>
      </c>
      <c r="B587" s="2">
        <v>8</v>
      </c>
      <c r="C587" s="2">
        <v>7</v>
      </c>
      <c r="D587" s="2">
        <v>2021</v>
      </c>
      <c r="E587" s="2">
        <v>0</v>
      </c>
      <c r="F587" s="2">
        <v>129.88999999999999</v>
      </c>
      <c r="H587" s="1">
        <f>_xlfn.XLOOKUP('Customer Info'!A2307,'Customer Info'!A2307:A2406,'Customer Info'!E2307:E2406,0,0)</f>
        <v>0</v>
      </c>
      <c r="J587" s="1">
        <f>_xlfn.XLOOKUP('Customer Info'!A2307,'Customer Info'!A2307:A2406,'Customer Info'!M2307:M2406)</f>
        <v>0</v>
      </c>
    </row>
    <row r="588" spans="1:10" ht="14" x14ac:dyDescent="0.2">
      <c r="A588" s="2" t="s">
        <v>24</v>
      </c>
      <c r="B588" s="2">
        <v>22</v>
      </c>
      <c r="C588" s="2">
        <v>6</v>
      </c>
      <c r="D588" s="2">
        <v>2021</v>
      </c>
      <c r="E588" s="2">
        <v>0</v>
      </c>
      <c r="F588" s="2">
        <v>129.6</v>
      </c>
      <c r="H588" s="1">
        <f>_xlfn.XLOOKUP('Customer Info'!A2308,'Customer Info'!A2308:A2407,'Customer Info'!E2308:E2407,0,0)</f>
        <v>0</v>
      </c>
      <c r="J588" s="1">
        <f>_xlfn.XLOOKUP('Customer Info'!A2308,'Customer Info'!A2308:A2407,'Customer Info'!M2308:M2407)</f>
        <v>0</v>
      </c>
    </row>
    <row r="589" spans="1:10" ht="14" hidden="1" x14ac:dyDescent="0.2">
      <c r="A589" s="2" t="s">
        <v>15</v>
      </c>
      <c r="B589" s="2">
        <v>5</v>
      </c>
      <c r="C589" s="2">
        <v>5</v>
      </c>
      <c r="D589" s="2">
        <v>2020</v>
      </c>
      <c r="E589" s="2">
        <v>0</v>
      </c>
      <c r="F589" s="2">
        <v>129.58000000000001</v>
      </c>
      <c r="H589" s="1">
        <f>_xlfn.XLOOKUP('Customer Info'!A1092,'Customer Info'!A1092:A1191,'Customer Info'!E1092:E1191,0,0)</f>
        <v>0</v>
      </c>
      <c r="J589" s="1">
        <f>_xlfn.XLOOKUP('Customer Info'!A1092,'Customer Info'!A1092:A1191,'Customer Info'!M1092:M1191)</f>
        <v>0</v>
      </c>
    </row>
    <row r="590" spans="1:10" ht="14" hidden="1" x14ac:dyDescent="0.2">
      <c r="A590" s="2" t="s">
        <v>28</v>
      </c>
      <c r="B590" s="2">
        <v>5</v>
      </c>
      <c r="C590" s="2">
        <v>6</v>
      </c>
      <c r="D590" s="2">
        <v>2020</v>
      </c>
      <c r="E590" s="2">
        <v>0</v>
      </c>
      <c r="F590" s="2">
        <v>129.30000000000001</v>
      </c>
      <c r="H590" s="1">
        <f>_xlfn.XLOOKUP('Customer Info'!A1093,'Customer Info'!A1093:A1192,'Customer Info'!E1093:E1192,0,0)</f>
        <v>0</v>
      </c>
      <c r="J590" s="1">
        <f>_xlfn.XLOOKUP('Customer Info'!A1093,'Customer Info'!A1093:A1192,'Customer Info'!M1093:M1192)</f>
        <v>0</v>
      </c>
    </row>
    <row r="591" spans="1:10" ht="14" hidden="1" x14ac:dyDescent="0.2">
      <c r="A591" s="2" t="s">
        <v>10</v>
      </c>
      <c r="B591" s="2">
        <v>18</v>
      </c>
      <c r="C591" s="2">
        <v>3</v>
      </c>
      <c r="D591" s="2">
        <v>2020</v>
      </c>
      <c r="E591" s="2">
        <v>0</v>
      </c>
      <c r="F591" s="2">
        <v>129.27000000000001</v>
      </c>
      <c r="H591" s="1">
        <f>_xlfn.XLOOKUP('Customer Info'!A1094,'Customer Info'!A1094:A1193,'Customer Info'!E1094:E1193,0,0)</f>
        <v>0</v>
      </c>
      <c r="J591" s="1">
        <f>_xlfn.XLOOKUP('Customer Info'!A1094,'Customer Info'!A1094:A1193,'Customer Info'!M1094:M1193)</f>
        <v>0</v>
      </c>
    </row>
    <row r="592" spans="1:10" ht="14" x14ac:dyDescent="0.2">
      <c r="A592" s="2" t="s">
        <v>1</v>
      </c>
      <c r="B592" s="2">
        <v>21</v>
      </c>
      <c r="C592" s="2">
        <v>10</v>
      </c>
      <c r="D592" s="2">
        <v>2021</v>
      </c>
      <c r="E592" s="2">
        <v>0</v>
      </c>
      <c r="F592" s="2">
        <v>129.27000000000001</v>
      </c>
      <c r="H592" s="1">
        <f>_xlfn.XLOOKUP('Customer Info'!A2309,'Customer Info'!A2309:A2408,'Customer Info'!E2309:E2408,0,0)</f>
        <v>0</v>
      </c>
      <c r="J592" s="1">
        <f>_xlfn.XLOOKUP('Customer Info'!A2309,'Customer Info'!A2309:A2408,'Customer Info'!M2309:M2408)</f>
        <v>0</v>
      </c>
    </row>
    <row r="593" spans="1:10" ht="14" x14ac:dyDescent="0.2">
      <c r="A593" s="2" t="s">
        <v>6</v>
      </c>
      <c r="B593" s="2">
        <v>7</v>
      </c>
      <c r="C593" s="2">
        <v>4</v>
      </c>
      <c r="D593" s="2">
        <v>2021</v>
      </c>
      <c r="E593" s="2">
        <v>0</v>
      </c>
      <c r="F593" s="2">
        <v>129</v>
      </c>
      <c r="H593" s="1">
        <f>_xlfn.XLOOKUP('Customer Info'!A2310,'Customer Info'!A2310:A2409,'Customer Info'!E2310:E2409,0,0)</f>
        <v>0</v>
      </c>
      <c r="J593" s="1">
        <f>_xlfn.XLOOKUP('Customer Info'!A2310,'Customer Info'!A2310:A2409,'Customer Info'!M2310:M2409)</f>
        <v>0</v>
      </c>
    </row>
    <row r="594" spans="1:10" ht="14" x14ac:dyDescent="0.2">
      <c r="A594" s="2" t="s">
        <v>98</v>
      </c>
      <c r="B594" s="2">
        <v>21</v>
      </c>
      <c r="C594" s="2">
        <v>5</v>
      </c>
      <c r="D594" s="2">
        <v>2021</v>
      </c>
      <c r="E594" s="1" t="s">
        <v>94</v>
      </c>
      <c r="F594" s="2">
        <v>128.34</v>
      </c>
      <c r="H594" s="1">
        <f>_xlfn.XLOOKUP('Customer Info'!A1266,'Customer Info'!A1266:A1365,'Customer Info'!E1266:E1365,0,0)</f>
        <v>0</v>
      </c>
      <c r="J594" s="1">
        <f>_xlfn.XLOOKUP('Customer Info'!A1266,'Customer Info'!A1266:A1365,'Customer Info'!M1266:M1365)</f>
        <v>0</v>
      </c>
    </row>
    <row r="595" spans="1:10" ht="14" hidden="1" x14ac:dyDescent="0.2">
      <c r="A595" s="2" t="s">
        <v>100</v>
      </c>
      <c r="B595" s="2">
        <v>1</v>
      </c>
      <c r="C595" s="2">
        <v>7</v>
      </c>
      <c r="D595" s="2">
        <v>2020</v>
      </c>
      <c r="E595" s="1" t="s">
        <v>94</v>
      </c>
      <c r="F595" s="2">
        <v>128.34</v>
      </c>
      <c r="H595" s="1">
        <f>_xlfn.XLOOKUP('Customer Info'!A72,'Customer Info'!A72:A171,'Customer Info'!E72:E171,0,0)</f>
        <v>3</v>
      </c>
      <c r="I595" s="1" t="str">
        <f>_xlfn.XLOOKUP('Customer Info'!A72,'Customer Info'!A72:A171,'Customer Info'!J72:J171,0)</f>
        <v>Mpower</v>
      </c>
      <c r="J595" s="1" t="b">
        <f>_xlfn.XLOOKUP('Customer Info'!A72,'Customer Info'!A72:A171,'Customer Info'!M72:M171)</f>
        <v>0</v>
      </c>
    </row>
    <row r="596" spans="1:10" ht="14" hidden="1" x14ac:dyDescent="0.2">
      <c r="A596" s="2" t="s">
        <v>24</v>
      </c>
      <c r="B596" s="2">
        <v>22</v>
      </c>
      <c r="C596" s="2">
        <v>8</v>
      </c>
      <c r="D596" s="2">
        <v>2020</v>
      </c>
      <c r="E596" s="2">
        <v>0</v>
      </c>
      <c r="F596" s="2">
        <v>128.34</v>
      </c>
      <c r="H596" s="1">
        <f>_xlfn.XLOOKUP('Customer Info'!A1095,'Customer Info'!A1095:A1194,'Customer Info'!E1095:E1194,0,0)</f>
        <v>0</v>
      </c>
      <c r="J596" s="1">
        <f>_xlfn.XLOOKUP('Customer Info'!A1095,'Customer Info'!A1095:A1194,'Customer Info'!M1095:M1194)</f>
        <v>0</v>
      </c>
    </row>
    <row r="597" spans="1:10" ht="14" hidden="1" x14ac:dyDescent="0.2">
      <c r="A597" s="2" t="s">
        <v>26</v>
      </c>
      <c r="B597" s="2">
        <v>22</v>
      </c>
      <c r="C597" s="2">
        <v>6</v>
      </c>
      <c r="D597" s="2">
        <v>2020</v>
      </c>
      <c r="E597" s="2">
        <v>0</v>
      </c>
      <c r="F597" s="2">
        <v>127.8</v>
      </c>
      <c r="H597" s="1">
        <f>_xlfn.XLOOKUP('Customer Info'!A1096,'Customer Info'!A1096:A1195,'Customer Info'!E1096:E1195,0,0)</f>
        <v>0</v>
      </c>
      <c r="J597" s="1">
        <f>_xlfn.XLOOKUP('Customer Info'!A1096,'Customer Info'!A1096:A1195,'Customer Info'!M1096:M1195)</f>
        <v>0</v>
      </c>
    </row>
    <row r="598" spans="1:10" ht="14" hidden="1" x14ac:dyDescent="0.2">
      <c r="A598" s="2" t="s">
        <v>27</v>
      </c>
      <c r="B598" s="2">
        <v>1</v>
      </c>
      <c r="C598" s="2">
        <v>5</v>
      </c>
      <c r="D598" s="2">
        <v>2020</v>
      </c>
      <c r="E598" s="2">
        <v>0</v>
      </c>
      <c r="F598" s="2">
        <v>127.72</v>
      </c>
      <c r="H598" s="1">
        <f>_xlfn.XLOOKUP('Customer Info'!A1097,'Customer Info'!A1097:A1196,'Customer Info'!E1097:E1196,0,0)</f>
        <v>0</v>
      </c>
      <c r="J598" s="1">
        <f>_xlfn.XLOOKUP('Customer Info'!A1097,'Customer Info'!A1097:A1196,'Customer Info'!M1097:M1196)</f>
        <v>0</v>
      </c>
    </row>
    <row r="599" spans="1:10" ht="14" hidden="1" x14ac:dyDescent="0.2">
      <c r="A599" s="2" t="s">
        <v>15</v>
      </c>
      <c r="B599" s="2">
        <v>5</v>
      </c>
      <c r="C599" s="2">
        <v>7</v>
      </c>
      <c r="D599" s="2">
        <v>2020</v>
      </c>
      <c r="E599" s="2">
        <v>0</v>
      </c>
      <c r="F599" s="2">
        <v>127.72</v>
      </c>
      <c r="H599" s="1">
        <f>_xlfn.XLOOKUP('Customer Info'!A1098,'Customer Info'!A1098:A1197,'Customer Info'!E1098:E1197,0,0)</f>
        <v>0</v>
      </c>
      <c r="J599" s="1">
        <f>_xlfn.XLOOKUP('Customer Info'!A1098,'Customer Info'!A1098:A1197,'Customer Info'!M1098:M1197)</f>
        <v>0</v>
      </c>
    </row>
    <row r="600" spans="1:10" ht="14" x14ac:dyDescent="0.2">
      <c r="A600" s="2" t="s">
        <v>11</v>
      </c>
      <c r="B600" s="2">
        <v>15</v>
      </c>
      <c r="C600" s="2">
        <v>7</v>
      </c>
      <c r="D600" s="2">
        <v>2021</v>
      </c>
      <c r="E600" s="2">
        <v>0</v>
      </c>
      <c r="F600" s="2">
        <v>127.72</v>
      </c>
      <c r="H600" s="1">
        <f>_xlfn.XLOOKUP('Customer Info'!A2311,'Customer Info'!A2311:A2410,'Customer Info'!E2311:E2410,0,0)</f>
        <v>0</v>
      </c>
      <c r="J600" s="1">
        <f>_xlfn.XLOOKUP('Customer Info'!A2311,'Customer Info'!A2311:A2410,'Customer Info'!M2311:M2410)</f>
        <v>0</v>
      </c>
    </row>
    <row r="601" spans="1:10" ht="14" x14ac:dyDescent="0.2">
      <c r="A601" s="2" t="s">
        <v>16</v>
      </c>
      <c r="B601" s="2">
        <v>14</v>
      </c>
      <c r="C601" s="2">
        <v>5</v>
      </c>
      <c r="D601" s="2">
        <v>2021</v>
      </c>
      <c r="E601" s="1" t="s">
        <v>94</v>
      </c>
      <c r="F601" s="2">
        <v>127.41</v>
      </c>
      <c r="H601" s="1">
        <f>_xlfn.XLOOKUP('Customer Info'!A1267,'Customer Info'!A1267:A1366,'Customer Info'!E1267:E1366,0,0)</f>
        <v>0</v>
      </c>
      <c r="J601" s="1">
        <f>_xlfn.XLOOKUP('Customer Info'!A1267,'Customer Info'!A1267:A1366,'Customer Info'!M1267:M1366)</f>
        <v>0</v>
      </c>
    </row>
    <row r="602" spans="1:10" ht="14" x14ac:dyDescent="0.2">
      <c r="A602" s="2" t="s">
        <v>8</v>
      </c>
      <c r="B602" s="2">
        <v>5</v>
      </c>
      <c r="C602" s="2">
        <v>8</v>
      </c>
      <c r="D602" s="2">
        <v>2021</v>
      </c>
      <c r="E602" s="1" t="s">
        <v>94</v>
      </c>
      <c r="F602" s="2">
        <v>127.41</v>
      </c>
      <c r="H602" s="1">
        <f>_xlfn.XLOOKUP('Customer Info'!A1268,'Customer Info'!A1268:A1367,'Customer Info'!E1268:E1367,0,0)</f>
        <v>0</v>
      </c>
      <c r="J602" s="1">
        <f>_xlfn.XLOOKUP('Customer Info'!A1268,'Customer Info'!A1268:A1367,'Customer Info'!M1268:M1367)</f>
        <v>0</v>
      </c>
    </row>
    <row r="603" spans="1:10" ht="14" hidden="1" x14ac:dyDescent="0.2">
      <c r="A603" s="2" t="s">
        <v>83</v>
      </c>
      <c r="B603" s="2">
        <v>25</v>
      </c>
      <c r="C603" s="2">
        <v>7</v>
      </c>
      <c r="D603" s="2">
        <v>2020</v>
      </c>
      <c r="E603" s="2">
        <v>46.5</v>
      </c>
      <c r="F603" s="2">
        <v>127.41</v>
      </c>
      <c r="H603" s="1">
        <f>_xlfn.XLOOKUP('Customer Info'!A669,'Customer Info'!A669:A768,'Customer Info'!E669:E768,0,0)</f>
        <v>0</v>
      </c>
      <c r="J603" s="1">
        <f>_xlfn.XLOOKUP('Customer Info'!A669,'Customer Info'!A669:A768,'Customer Info'!M669:M768)</f>
        <v>0</v>
      </c>
    </row>
    <row r="604" spans="1:10" ht="14" hidden="1" x14ac:dyDescent="0.2">
      <c r="A604" s="2" t="s">
        <v>14</v>
      </c>
      <c r="B604" s="2">
        <v>10</v>
      </c>
      <c r="C604" s="2">
        <v>8</v>
      </c>
      <c r="D604" s="2">
        <v>2020</v>
      </c>
      <c r="E604" s="2">
        <v>0</v>
      </c>
      <c r="F604" s="2">
        <v>127.41</v>
      </c>
      <c r="H604" s="1">
        <f>_xlfn.XLOOKUP('Customer Info'!A1099,'Customer Info'!A1099:A1198,'Customer Info'!E1099:E1198,0,0)</f>
        <v>0</v>
      </c>
      <c r="J604" s="1">
        <f>_xlfn.XLOOKUP('Customer Info'!A1099,'Customer Info'!A1099:A1198,'Customer Info'!M1099:M1198)</f>
        <v>0</v>
      </c>
    </row>
    <row r="605" spans="1:10" ht="14" hidden="1" x14ac:dyDescent="0.2">
      <c r="A605" s="2" t="s">
        <v>5</v>
      </c>
      <c r="B605" s="2">
        <v>7</v>
      </c>
      <c r="C605" s="2">
        <v>2</v>
      </c>
      <c r="D605" s="2">
        <v>2020</v>
      </c>
      <c r="E605" s="2">
        <v>0</v>
      </c>
      <c r="F605" s="2">
        <v>127.12</v>
      </c>
      <c r="H605" s="1">
        <f>_xlfn.XLOOKUP('Customer Info'!A1100,'Customer Info'!A1100:A1199,'Customer Info'!E1100:E1199,0,0)</f>
        <v>0</v>
      </c>
      <c r="J605" s="1">
        <f>_xlfn.XLOOKUP('Customer Info'!A1100,'Customer Info'!A1100:A1199,'Customer Info'!M1100:M1199)</f>
        <v>0</v>
      </c>
    </row>
    <row r="606" spans="1:10" ht="14" hidden="1" x14ac:dyDescent="0.2">
      <c r="A606" s="2" t="s">
        <v>22</v>
      </c>
      <c r="B606" s="2">
        <v>22</v>
      </c>
      <c r="C606" s="2">
        <v>7</v>
      </c>
      <c r="D606" s="2">
        <v>2020</v>
      </c>
      <c r="E606" s="2">
        <v>0</v>
      </c>
      <c r="F606" s="2">
        <v>127.1</v>
      </c>
      <c r="H606" s="1">
        <f>_xlfn.XLOOKUP('Customer Info'!A1101,'Customer Info'!A1101:A1200,'Customer Info'!E1101:E1200,0,0)</f>
        <v>0</v>
      </c>
      <c r="J606" s="1">
        <f>_xlfn.XLOOKUP('Customer Info'!A1101,'Customer Info'!A1101:A1200,'Customer Info'!M1101:M1200)</f>
        <v>0</v>
      </c>
    </row>
    <row r="607" spans="1:10" ht="14" x14ac:dyDescent="0.2">
      <c r="A607" s="2" t="s">
        <v>20</v>
      </c>
      <c r="B607" s="2">
        <v>12</v>
      </c>
      <c r="C607" s="2">
        <v>7</v>
      </c>
      <c r="D607" s="2">
        <v>2021</v>
      </c>
      <c r="E607" s="2">
        <v>0</v>
      </c>
      <c r="F607" s="2">
        <v>127.1</v>
      </c>
      <c r="H607" s="1">
        <f>_xlfn.XLOOKUP('Customer Info'!A2312,'Customer Info'!A2312:A2411,'Customer Info'!E2312:E2411,0,0)</f>
        <v>0</v>
      </c>
      <c r="J607" s="1">
        <f>_xlfn.XLOOKUP('Customer Info'!A2312,'Customer Info'!A2312:A2411,'Customer Info'!M2312:M2411)</f>
        <v>0</v>
      </c>
    </row>
    <row r="608" spans="1:10" ht="14" x14ac:dyDescent="0.2">
      <c r="A608" s="2" t="s">
        <v>9</v>
      </c>
      <c r="B608" s="2">
        <v>22</v>
      </c>
      <c r="C608" s="2">
        <v>8</v>
      </c>
      <c r="D608" s="2">
        <v>2021</v>
      </c>
      <c r="E608" s="2">
        <v>0</v>
      </c>
      <c r="F608" s="2">
        <v>127.1</v>
      </c>
      <c r="H608" s="1">
        <f>_xlfn.XLOOKUP('Customer Info'!A2313,'Customer Info'!A2313:A2412,'Customer Info'!E2313:E2412,0,0)</f>
        <v>0</v>
      </c>
      <c r="J608" s="1">
        <f>_xlfn.XLOOKUP('Customer Info'!A2313,'Customer Info'!A2313:A2412,'Customer Info'!M2313:M2412)</f>
        <v>0</v>
      </c>
    </row>
    <row r="609" spans="1:10" ht="14" x14ac:dyDescent="0.2">
      <c r="A609" s="2" t="s">
        <v>97</v>
      </c>
      <c r="B609" s="2">
        <v>12</v>
      </c>
      <c r="C609" s="2">
        <v>4</v>
      </c>
      <c r="D609" s="2">
        <v>2021</v>
      </c>
      <c r="E609" s="1" t="s">
        <v>94</v>
      </c>
      <c r="F609" s="2">
        <v>126.9</v>
      </c>
      <c r="H609" s="1">
        <f>_xlfn.XLOOKUP('Customer Info'!A1269,'Customer Info'!A1269:A1368,'Customer Info'!E1269:E1368,0,0)</f>
        <v>0</v>
      </c>
      <c r="J609" s="1">
        <f>_xlfn.XLOOKUP('Customer Info'!A1269,'Customer Info'!A1269:A1368,'Customer Info'!M1269:M1368)</f>
        <v>0</v>
      </c>
    </row>
    <row r="610" spans="1:10" ht="14" hidden="1" x14ac:dyDescent="0.2">
      <c r="A610" s="2" t="s">
        <v>9</v>
      </c>
      <c r="B610" s="2">
        <v>22</v>
      </c>
      <c r="C610" s="2">
        <v>4</v>
      </c>
      <c r="D610" s="2">
        <v>2020</v>
      </c>
      <c r="E610" s="2">
        <v>0</v>
      </c>
      <c r="F610" s="2">
        <v>126.9</v>
      </c>
      <c r="H610" s="1">
        <f>_xlfn.XLOOKUP('Customer Info'!A1102,'Customer Info'!A1102:A1201,'Customer Info'!E1102:E1201,0,0)</f>
        <v>0</v>
      </c>
      <c r="J610" s="1">
        <f>_xlfn.XLOOKUP('Customer Info'!A1102,'Customer Info'!A1102:A1201,'Customer Info'!M1102:M1201)</f>
        <v>0</v>
      </c>
    </row>
    <row r="611" spans="1:10" ht="14" hidden="1" x14ac:dyDescent="0.2">
      <c r="A611" s="2" t="s">
        <v>7</v>
      </c>
      <c r="B611" s="2">
        <v>20</v>
      </c>
      <c r="C611" s="2">
        <v>8</v>
      </c>
      <c r="D611" s="2">
        <v>2020</v>
      </c>
      <c r="E611" s="2">
        <v>0</v>
      </c>
      <c r="F611" s="2">
        <v>126.79</v>
      </c>
      <c r="H611" s="1">
        <f>_xlfn.XLOOKUP('Customer Info'!A1103,'Customer Info'!A1103:A1202,'Customer Info'!E1103:E1202,0,0)</f>
        <v>0</v>
      </c>
      <c r="J611" s="1">
        <f>_xlfn.XLOOKUP('Customer Info'!A1103,'Customer Info'!A1103:A1202,'Customer Info'!M1103:M1202)</f>
        <v>0</v>
      </c>
    </row>
    <row r="612" spans="1:10" ht="14" x14ac:dyDescent="0.2">
      <c r="A612" s="2" t="s">
        <v>19</v>
      </c>
      <c r="B612" s="2">
        <v>24</v>
      </c>
      <c r="C612" s="2">
        <v>8</v>
      </c>
      <c r="D612" s="2">
        <v>2021</v>
      </c>
      <c r="E612" s="2">
        <v>0</v>
      </c>
      <c r="F612" s="2">
        <v>126.79</v>
      </c>
      <c r="H612" s="1">
        <f>_xlfn.XLOOKUP('Customer Info'!A2314,'Customer Info'!A2314:A2413,'Customer Info'!E2314:E2413,0,0)</f>
        <v>0</v>
      </c>
      <c r="J612" s="1">
        <f>_xlfn.XLOOKUP('Customer Info'!A2314,'Customer Info'!A2314:A2413,'Customer Info'!M2314:M2413)</f>
        <v>0</v>
      </c>
    </row>
    <row r="613" spans="1:10" ht="14" hidden="1" x14ac:dyDescent="0.2">
      <c r="A613" s="2" t="s">
        <v>27</v>
      </c>
      <c r="B613" s="2">
        <v>1</v>
      </c>
      <c r="C613" s="2">
        <v>6</v>
      </c>
      <c r="D613" s="2">
        <v>2020</v>
      </c>
      <c r="E613" s="2">
        <v>0</v>
      </c>
      <c r="F613" s="2">
        <v>126.6</v>
      </c>
      <c r="H613" s="1">
        <f>_xlfn.XLOOKUP('Customer Info'!A1104,'Customer Info'!A1104:A1203,'Customer Info'!E1104:E1203,0,0)</f>
        <v>0</v>
      </c>
      <c r="J613" s="1">
        <f>_xlfn.XLOOKUP('Customer Info'!A1104,'Customer Info'!A1104:A1203,'Customer Info'!M1104:M1203)</f>
        <v>0</v>
      </c>
    </row>
    <row r="614" spans="1:10" ht="14" hidden="1" x14ac:dyDescent="0.2">
      <c r="A614" s="2" t="s">
        <v>83</v>
      </c>
      <c r="B614" s="2">
        <v>25</v>
      </c>
      <c r="C614" s="2">
        <v>1</v>
      </c>
      <c r="D614" s="2">
        <v>2020</v>
      </c>
      <c r="E614" s="2">
        <v>117.18</v>
      </c>
      <c r="F614" s="2">
        <v>126.48</v>
      </c>
      <c r="H614" s="1">
        <f>_xlfn.XLOOKUP('Customer Info'!A217,'Customer Info'!A217:A316,'Customer Info'!E217:E316,0,0)</f>
        <v>0</v>
      </c>
      <c r="J614" s="1">
        <f>_xlfn.XLOOKUP('Customer Info'!A217,'Customer Info'!A217:A316,'Customer Info'!M217:M316)</f>
        <v>0</v>
      </c>
    </row>
    <row r="615" spans="1:10" ht="14" hidden="1" x14ac:dyDescent="0.2">
      <c r="A615" s="2" t="s">
        <v>71</v>
      </c>
      <c r="B615" s="2">
        <v>21</v>
      </c>
      <c r="C615" s="2">
        <v>1</v>
      </c>
      <c r="D615" s="2">
        <v>2020</v>
      </c>
      <c r="E615" s="2">
        <v>110.36</v>
      </c>
      <c r="F615" s="2">
        <v>126.48</v>
      </c>
      <c r="H615" s="1">
        <f>_xlfn.XLOOKUP('Customer Info'!A258,'Customer Info'!A258:A357,'Customer Info'!E258:E357,0,0)</f>
        <v>0</v>
      </c>
      <c r="J615" s="1">
        <f>_xlfn.XLOOKUP('Customer Info'!A258,'Customer Info'!A258:A357,'Customer Info'!M258:M357)</f>
        <v>0</v>
      </c>
    </row>
    <row r="616" spans="1:10" ht="14" hidden="1" x14ac:dyDescent="0.2">
      <c r="A616" s="2" t="s">
        <v>13</v>
      </c>
      <c r="B616" s="2">
        <v>7</v>
      </c>
      <c r="C616" s="2">
        <v>7</v>
      </c>
      <c r="D616" s="2">
        <v>2020</v>
      </c>
      <c r="E616" s="2">
        <v>0</v>
      </c>
      <c r="F616" s="2">
        <v>126.17</v>
      </c>
      <c r="H616" s="1">
        <f>_xlfn.XLOOKUP('Customer Info'!A1105,'Customer Info'!A1105:A1204,'Customer Info'!E1105:E1204,0,0)</f>
        <v>0</v>
      </c>
      <c r="J616" s="1">
        <f>_xlfn.XLOOKUP('Customer Info'!A1105,'Customer Info'!A1105:A1204,'Customer Info'!M1105:M1204)</f>
        <v>0</v>
      </c>
    </row>
    <row r="617" spans="1:10" ht="14" x14ac:dyDescent="0.2">
      <c r="A617" s="2" t="s">
        <v>11</v>
      </c>
      <c r="B617" s="2">
        <v>15</v>
      </c>
      <c r="C617" s="2">
        <v>5</v>
      </c>
      <c r="D617" s="2">
        <v>2021</v>
      </c>
      <c r="E617" s="2">
        <v>0</v>
      </c>
      <c r="F617" s="2">
        <v>126.17</v>
      </c>
      <c r="H617" s="1">
        <f>_xlfn.XLOOKUP('Customer Info'!A2315,'Customer Info'!A2315:A2414,'Customer Info'!E2315:E2414,0,0)</f>
        <v>0</v>
      </c>
      <c r="J617" s="1">
        <f>_xlfn.XLOOKUP('Customer Info'!A2315,'Customer Info'!A2315:A2414,'Customer Info'!M2315:M2414)</f>
        <v>0</v>
      </c>
    </row>
    <row r="618" spans="1:10" ht="14" x14ac:dyDescent="0.2">
      <c r="A618" s="2" t="s">
        <v>21</v>
      </c>
      <c r="B618" s="2">
        <v>15</v>
      </c>
      <c r="C618" s="2">
        <v>7</v>
      </c>
      <c r="D618" s="2">
        <v>2021</v>
      </c>
      <c r="E618" s="2">
        <v>0</v>
      </c>
      <c r="F618" s="2">
        <v>126.17</v>
      </c>
      <c r="H618" s="1">
        <f>_xlfn.XLOOKUP('Customer Info'!A2316,'Customer Info'!A2316:A2415,'Customer Info'!E2316:E2415,0,0)</f>
        <v>0</v>
      </c>
      <c r="J618" s="1">
        <f>_xlfn.XLOOKUP('Customer Info'!A2316,'Customer Info'!A2316:A2415,'Customer Info'!M2316:M2415)</f>
        <v>0</v>
      </c>
    </row>
    <row r="619" spans="1:10" ht="14" hidden="1" x14ac:dyDescent="0.2">
      <c r="A619" s="2" t="s">
        <v>22</v>
      </c>
      <c r="B619" s="2">
        <v>22</v>
      </c>
      <c r="C619" s="2">
        <v>9</v>
      </c>
      <c r="D619" s="2">
        <v>2020</v>
      </c>
      <c r="E619" s="2">
        <v>0</v>
      </c>
      <c r="F619" s="2">
        <v>126</v>
      </c>
      <c r="H619" s="1">
        <f>_xlfn.XLOOKUP('Customer Info'!A1106,'Customer Info'!A1106:A1205,'Customer Info'!E1106:E1205,0,0)</f>
        <v>0</v>
      </c>
      <c r="J619" s="1">
        <f>_xlfn.XLOOKUP('Customer Info'!A1106,'Customer Info'!A1106:A1205,'Customer Info'!M1106:M1205)</f>
        <v>0</v>
      </c>
    </row>
    <row r="620" spans="1:10" ht="14" hidden="1" x14ac:dyDescent="0.2">
      <c r="A620" s="2" t="s">
        <v>18</v>
      </c>
      <c r="B620" s="2">
        <v>5</v>
      </c>
      <c r="C620" s="2">
        <v>7</v>
      </c>
      <c r="D620" s="2">
        <v>2020</v>
      </c>
      <c r="E620" s="2">
        <v>0</v>
      </c>
      <c r="F620" s="2">
        <v>125.86</v>
      </c>
      <c r="H620" s="1">
        <f>_xlfn.XLOOKUP('Customer Info'!A1107,'Customer Info'!A1107:A1206,'Customer Info'!E1107:E1206,0,0)</f>
        <v>0</v>
      </c>
      <c r="J620" s="1">
        <f>_xlfn.XLOOKUP('Customer Info'!A1107,'Customer Info'!A1107:A1206,'Customer Info'!M1107:M1206)</f>
        <v>0</v>
      </c>
    </row>
    <row r="621" spans="1:10" ht="14" x14ac:dyDescent="0.2">
      <c r="A621" s="2" t="s">
        <v>13</v>
      </c>
      <c r="B621" s="2">
        <v>7</v>
      </c>
      <c r="C621" s="2">
        <v>8</v>
      </c>
      <c r="D621" s="2">
        <v>2021</v>
      </c>
      <c r="E621" s="2">
        <v>0</v>
      </c>
      <c r="F621" s="2">
        <v>125.86</v>
      </c>
      <c r="H621" s="1">
        <f>_xlfn.XLOOKUP('Customer Info'!A2317,'Customer Info'!A2317:A2416,'Customer Info'!E2317:E2416,0,0)</f>
        <v>0</v>
      </c>
      <c r="J621" s="1">
        <f>_xlfn.XLOOKUP('Customer Info'!A2317,'Customer Info'!A2317:A2416,'Customer Info'!M2317:M2416)</f>
        <v>0</v>
      </c>
    </row>
    <row r="622" spans="1:10" ht="14" hidden="1" x14ac:dyDescent="0.2">
      <c r="A622" s="2" t="s">
        <v>6</v>
      </c>
      <c r="B622" s="2">
        <v>7</v>
      </c>
      <c r="C622" s="2">
        <v>4</v>
      </c>
      <c r="D622" s="2">
        <v>2020</v>
      </c>
      <c r="E622" s="1" t="s">
        <v>94</v>
      </c>
      <c r="F622" s="2">
        <v>125.7</v>
      </c>
      <c r="H622" s="1">
        <f>_xlfn.XLOOKUP('Customer Info'!A73,'Customer Info'!A73:A172,'Customer Info'!E73:E172,0,0)</f>
        <v>2</v>
      </c>
      <c r="I622" s="1" t="str">
        <f>_xlfn.XLOOKUP('Customer Info'!A73,'Customer Info'!A73:A172,'Customer Info'!J73:J172,0)</f>
        <v>Scottish Gas</v>
      </c>
      <c r="J622" s="1" t="b">
        <f>_xlfn.XLOOKUP('Customer Info'!A73,'Customer Info'!A73:A172,'Customer Info'!M73:M172)</f>
        <v>0</v>
      </c>
    </row>
    <row r="623" spans="1:10" ht="14" x14ac:dyDescent="0.2">
      <c r="A623" s="2" t="s">
        <v>4</v>
      </c>
      <c r="B623" s="2">
        <v>1</v>
      </c>
      <c r="C623" s="2">
        <v>4</v>
      </c>
      <c r="D623" s="2">
        <v>2021</v>
      </c>
      <c r="E623" s="2">
        <v>0</v>
      </c>
      <c r="F623" s="2">
        <v>125.7</v>
      </c>
      <c r="H623" s="1">
        <f>_xlfn.XLOOKUP('Customer Info'!A2318,'Customer Info'!A2318:A2417,'Customer Info'!E2318:E2417,0,0)</f>
        <v>0</v>
      </c>
      <c r="J623" s="1">
        <f>_xlfn.XLOOKUP('Customer Info'!A2318,'Customer Info'!A2318:A2417,'Customer Info'!M2318:M2417)</f>
        <v>0</v>
      </c>
    </row>
    <row r="624" spans="1:10" ht="14" hidden="1" x14ac:dyDescent="0.2">
      <c r="A624" s="2" t="s">
        <v>98</v>
      </c>
      <c r="B624" s="2">
        <v>21</v>
      </c>
      <c r="C624" s="2">
        <v>10</v>
      </c>
      <c r="D624" s="2">
        <v>2020</v>
      </c>
      <c r="E624" s="1" t="s">
        <v>94</v>
      </c>
      <c r="F624" s="2">
        <v>125.55</v>
      </c>
      <c r="H624" s="1">
        <f>_xlfn.XLOOKUP('Customer Info'!A74,'Customer Info'!A74:A173,'Customer Info'!E74:E173,0,0)</f>
        <v>4</v>
      </c>
      <c r="I624" s="1" t="str">
        <f>_xlfn.XLOOKUP('Customer Info'!A74,'Customer Info'!A74:A173,'Customer Info'!J74:J173,0)</f>
        <v>Scottish Gas</v>
      </c>
      <c r="J624" s="1" t="b">
        <f>_xlfn.XLOOKUP('Customer Info'!A74,'Customer Info'!A74:A173,'Customer Info'!M74:M173)</f>
        <v>0</v>
      </c>
    </row>
    <row r="625" spans="1:10" ht="14" hidden="1" x14ac:dyDescent="0.2">
      <c r="A625" s="2" t="s">
        <v>71</v>
      </c>
      <c r="B625" s="2">
        <v>21</v>
      </c>
      <c r="C625" s="2">
        <v>12</v>
      </c>
      <c r="D625" s="2">
        <v>2020</v>
      </c>
      <c r="E625" s="2">
        <v>102.61</v>
      </c>
      <c r="F625" s="2">
        <v>125.55</v>
      </c>
      <c r="H625" s="1">
        <f>_xlfn.XLOOKUP('Customer Info'!A313,'Customer Info'!A313:A412,'Customer Info'!E313:E412,0,0)</f>
        <v>0</v>
      </c>
      <c r="J625" s="1">
        <f>_xlfn.XLOOKUP('Customer Info'!A313,'Customer Info'!A313:A412,'Customer Info'!M313:M412)</f>
        <v>0</v>
      </c>
    </row>
    <row r="626" spans="1:10" ht="14" hidden="1" x14ac:dyDescent="0.2">
      <c r="A626" s="2" t="s">
        <v>9</v>
      </c>
      <c r="B626" s="2">
        <v>22</v>
      </c>
      <c r="C626" s="2">
        <v>3</v>
      </c>
      <c r="D626" s="2">
        <v>2020</v>
      </c>
      <c r="E626" s="2">
        <v>0</v>
      </c>
      <c r="F626" s="2">
        <v>125.55</v>
      </c>
      <c r="H626" s="1">
        <f>_xlfn.XLOOKUP('Customer Info'!A1108,'Customer Info'!A1108:A1207,'Customer Info'!E1108:E1207,0,0)</f>
        <v>0</v>
      </c>
      <c r="J626" s="1">
        <f>_xlfn.XLOOKUP('Customer Info'!A1108,'Customer Info'!A1108:A1207,'Customer Info'!M1108:M1207)</f>
        <v>0</v>
      </c>
    </row>
    <row r="627" spans="1:10" ht="14" hidden="1" x14ac:dyDescent="0.2">
      <c r="A627" s="2" t="s">
        <v>26</v>
      </c>
      <c r="B627" s="2">
        <v>22</v>
      </c>
      <c r="C627" s="2">
        <v>7</v>
      </c>
      <c r="D627" s="2">
        <v>2020</v>
      </c>
      <c r="E627" s="2">
        <v>0</v>
      </c>
      <c r="F627" s="2">
        <v>125.55</v>
      </c>
      <c r="H627" s="1">
        <f>_xlfn.XLOOKUP('Customer Info'!A1109,'Customer Info'!A1109:A1208,'Customer Info'!E1109:E1208,0,0)</f>
        <v>0</v>
      </c>
      <c r="J627" s="1">
        <f>_xlfn.XLOOKUP('Customer Info'!A1109,'Customer Info'!A1109:A1208,'Customer Info'!M1109:M1208)</f>
        <v>0</v>
      </c>
    </row>
    <row r="628" spans="1:10" ht="14" x14ac:dyDescent="0.2">
      <c r="A628" s="2" t="s">
        <v>2</v>
      </c>
      <c r="B628" s="2">
        <v>18</v>
      </c>
      <c r="C628" s="2">
        <v>3</v>
      </c>
      <c r="D628" s="2">
        <v>2021</v>
      </c>
      <c r="E628" s="2">
        <v>0</v>
      </c>
      <c r="F628" s="2">
        <v>125.55</v>
      </c>
      <c r="H628" s="1">
        <f>_xlfn.XLOOKUP('Customer Info'!A2319,'Customer Info'!A2319:A2418,'Customer Info'!E2319:E2418,0,0)</f>
        <v>0</v>
      </c>
      <c r="J628" s="1">
        <f>_xlfn.XLOOKUP('Customer Info'!A2319,'Customer Info'!A2319:A2418,'Customer Info'!M2319:M2418)</f>
        <v>0</v>
      </c>
    </row>
    <row r="629" spans="1:10" ht="14" x14ac:dyDescent="0.2">
      <c r="A629" s="2" t="s">
        <v>98</v>
      </c>
      <c r="B629" s="2">
        <v>21</v>
      </c>
      <c r="C629" s="2">
        <v>8</v>
      </c>
      <c r="D629" s="2">
        <v>2021</v>
      </c>
      <c r="E629" s="1" t="s">
        <v>94</v>
      </c>
      <c r="F629" s="2">
        <v>125.24</v>
      </c>
      <c r="H629" s="1">
        <f>_xlfn.XLOOKUP('Customer Info'!A1270,'Customer Info'!A1270:A1369,'Customer Info'!E1270:E1369,0,0)</f>
        <v>0</v>
      </c>
      <c r="J629" s="1">
        <f>_xlfn.XLOOKUP('Customer Info'!A1270,'Customer Info'!A1270:A1369,'Customer Info'!M1270:M1369)</f>
        <v>0</v>
      </c>
    </row>
    <row r="630" spans="1:10" ht="14" hidden="1" x14ac:dyDescent="0.2">
      <c r="A630" s="2" t="s">
        <v>16</v>
      </c>
      <c r="B630" s="2">
        <v>14</v>
      </c>
      <c r="C630" s="2">
        <v>4</v>
      </c>
      <c r="D630" s="2">
        <v>2020</v>
      </c>
      <c r="E630" s="2">
        <v>0</v>
      </c>
      <c r="F630" s="2">
        <v>125.1</v>
      </c>
      <c r="H630" s="1">
        <f>_xlfn.XLOOKUP('Customer Info'!A1110,'Customer Info'!A1110:A1209,'Customer Info'!E1110:E1209,0,0)</f>
        <v>0</v>
      </c>
      <c r="J630" s="1">
        <f>_xlfn.XLOOKUP('Customer Info'!A1110,'Customer Info'!A1110:A1209,'Customer Info'!M1110:M1209)</f>
        <v>0</v>
      </c>
    </row>
    <row r="631" spans="1:10" ht="14" hidden="1" x14ac:dyDescent="0.2">
      <c r="A631" s="2" t="s">
        <v>27</v>
      </c>
      <c r="B631" s="2">
        <v>1</v>
      </c>
      <c r="C631" s="2">
        <v>9</v>
      </c>
      <c r="D631" s="2">
        <v>2020</v>
      </c>
      <c r="E631" s="2">
        <v>0</v>
      </c>
      <c r="F631" s="2">
        <v>125.1</v>
      </c>
      <c r="H631" s="1">
        <f>_xlfn.XLOOKUP('Customer Info'!A1111,'Customer Info'!A1111:A1210,'Customer Info'!E1111:E1210,0,0)</f>
        <v>0</v>
      </c>
      <c r="J631" s="1">
        <f>_xlfn.XLOOKUP('Customer Info'!A1111,'Customer Info'!A1111:A1210,'Customer Info'!M1111:M1210)</f>
        <v>0</v>
      </c>
    </row>
    <row r="632" spans="1:10" ht="14" x14ac:dyDescent="0.2">
      <c r="A632" s="2" t="s">
        <v>25</v>
      </c>
      <c r="B632" s="2">
        <v>8</v>
      </c>
      <c r="C632" s="2">
        <v>6</v>
      </c>
      <c r="D632" s="2">
        <v>2021</v>
      </c>
      <c r="E632" s="2">
        <v>0</v>
      </c>
      <c r="F632" s="2">
        <v>125.1</v>
      </c>
      <c r="H632" s="1">
        <f>_xlfn.XLOOKUP('Customer Info'!A2320,'Customer Info'!A2320:A2419,'Customer Info'!E2320:E2419,0,0)</f>
        <v>0</v>
      </c>
      <c r="J632" s="1">
        <f>_xlfn.XLOOKUP('Customer Info'!A2320,'Customer Info'!A2320:A2419,'Customer Info'!M2320:M2419)</f>
        <v>0</v>
      </c>
    </row>
    <row r="633" spans="1:10" ht="14" hidden="1" x14ac:dyDescent="0.2">
      <c r="A633" s="2" t="s">
        <v>15</v>
      </c>
      <c r="B633" s="2">
        <v>5</v>
      </c>
      <c r="C633" s="2">
        <v>8</v>
      </c>
      <c r="D633" s="2">
        <v>2020</v>
      </c>
      <c r="E633" s="1" t="s">
        <v>94</v>
      </c>
      <c r="F633" s="2">
        <v>124.93</v>
      </c>
      <c r="H633" s="1">
        <f>_xlfn.XLOOKUP('Customer Info'!A75,'Customer Info'!A75:A174,'Customer Info'!E75:E174,0,0)</f>
        <v>2</v>
      </c>
      <c r="I633" s="1" t="str">
        <f>_xlfn.XLOOKUP('Customer Info'!A75,'Customer Info'!A75:A174,'Customer Info'!J75:J174,0)</f>
        <v>SSW</v>
      </c>
      <c r="J633" s="1" t="b">
        <f>_xlfn.XLOOKUP('Customer Info'!A75,'Customer Info'!A75:A174,'Customer Info'!M75:M174)</f>
        <v>0</v>
      </c>
    </row>
    <row r="634" spans="1:10" ht="14" hidden="1" x14ac:dyDescent="0.2">
      <c r="A634" s="2" t="s">
        <v>14</v>
      </c>
      <c r="B634" s="2">
        <v>10</v>
      </c>
      <c r="C634" s="2">
        <v>5</v>
      </c>
      <c r="D634" s="2">
        <v>2020</v>
      </c>
      <c r="E634" s="2">
        <v>0</v>
      </c>
      <c r="F634" s="2">
        <v>124.93</v>
      </c>
      <c r="H634" s="1">
        <f>_xlfn.XLOOKUP('Customer Info'!A1112,'Customer Info'!A1112:A1211,'Customer Info'!E1112:E1211,0,0)</f>
        <v>0</v>
      </c>
      <c r="J634" s="1">
        <f>_xlfn.XLOOKUP('Customer Info'!A1112,'Customer Info'!A1112:A1211,'Customer Info'!M1112:M1211)</f>
        <v>0</v>
      </c>
    </row>
    <row r="635" spans="1:10" ht="14" x14ac:dyDescent="0.2">
      <c r="A635" s="2" t="s">
        <v>12</v>
      </c>
      <c r="B635" s="2">
        <v>2</v>
      </c>
      <c r="C635" s="2">
        <v>5</v>
      </c>
      <c r="D635" s="2">
        <v>2021</v>
      </c>
      <c r="E635" s="2">
        <v>0</v>
      </c>
      <c r="F635" s="2">
        <v>124.93</v>
      </c>
      <c r="H635" s="1">
        <f>_xlfn.XLOOKUP('Customer Info'!A2321,'Customer Info'!A2321:A2420,'Customer Info'!E2321:E2420,0,0)</f>
        <v>0</v>
      </c>
      <c r="J635" s="1">
        <f>_xlfn.XLOOKUP('Customer Info'!A2321,'Customer Info'!A2321:A2420,'Customer Info'!M2321:M2420)</f>
        <v>0</v>
      </c>
    </row>
    <row r="636" spans="1:10" ht="14" x14ac:dyDescent="0.2">
      <c r="A636" s="2" t="s">
        <v>23</v>
      </c>
      <c r="B636" s="2">
        <v>5</v>
      </c>
      <c r="C636" s="2">
        <v>6</v>
      </c>
      <c r="D636" s="2">
        <v>2021</v>
      </c>
      <c r="E636" s="2">
        <v>0</v>
      </c>
      <c r="F636" s="2">
        <v>124.8</v>
      </c>
      <c r="H636" s="1">
        <f>_xlfn.XLOOKUP('Customer Info'!A2322,'Customer Info'!A2322:A2421,'Customer Info'!E2322:E2421,0,0)</f>
        <v>0</v>
      </c>
      <c r="J636" s="1">
        <f>_xlfn.XLOOKUP('Customer Info'!A2322,'Customer Info'!A2322:A2421,'Customer Info'!M2322:M2421)</f>
        <v>0</v>
      </c>
    </row>
    <row r="637" spans="1:10" ht="14" hidden="1" x14ac:dyDescent="0.2">
      <c r="A637" s="2" t="s">
        <v>99</v>
      </c>
      <c r="B637" s="2">
        <v>10</v>
      </c>
      <c r="C637" s="2">
        <v>5</v>
      </c>
      <c r="D637" s="2">
        <v>2020</v>
      </c>
      <c r="E637" s="1" t="s">
        <v>94</v>
      </c>
      <c r="F637" s="2">
        <v>124.62</v>
      </c>
      <c r="H637" s="1">
        <f>_xlfn.XLOOKUP('Customer Info'!A76,'Customer Info'!A76:A175,'Customer Info'!E76:E175,0,0)</f>
        <v>2</v>
      </c>
      <c r="I637" s="1" t="str">
        <f>_xlfn.XLOOKUP('Customer Info'!A76,'Customer Info'!A76:A175,'Customer Info'!J76:J175,0)</f>
        <v>SSW</v>
      </c>
      <c r="J637" s="1" t="b">
        <f>_xlfn.XLOOKUP('Customer Info'!A76,'Customer Info'!A76:A175,'Customer Info'!M76:M175)</f>
        <v>0</v>
      </c>
    </row>
    <row r="638" spans="1:10" ht="14" hidden="1" x14ac:dyDescent="0.2">
      <c r="A638" s="2" t="s">
        <v>6</v>
      </c>
      <c r="B638" s="2">
        <v>7</v>
      </c>
      <c r="C638" s="2">
        <v>10</v>
      </c>
      <c r="D638" s="2">
        <v>2020</v>
      </c>
      <c r="E638" s="2">
        <v>0</v>
      </c>
      <c r="F638" s="2">
        <v>124.62</v>
      </c>
      <c r="H638" s="1">
        <f>_xlfn.XLOOKUP('Customer Info'!A1113,'Customer Info'!A1113:A1212,'Customer Info'!E1113:E1212,0,0)</f>
        <v>0</v>
      </c>
      <c r="J638" s="1">
        <f>_xlfn.XLOOKUP('Customer Info'!A1113,'Customer Info'!A1113:A1212,'Customer Info'!M1113:M1212)</f>
        <v>0</v>
      </c>
    </row>
    <row r="639" spans="1:10" ht="14" hidden="1" x14ac:dyDescent="0.2">
      <c r="A639" s="2" t="s">
        <v>7</v>
      </c>
      <c r="B639" s="2">
        <v>20</v>
      </c>
      <c r="C639" s="2">
        <v>5</v>
      </c>
      <c r="D639" s="2">
        <v>2020</v>
      </c>
      <c r="E639" s="2">
        <v>0</v>
      </c>
      <c r="F639" s="2">
        <v>124.31</v>
      </c>
      <c r="H639" s="1">
        <f>_xlfn.XLOOKUP('Customer Info'!A1114,'Customer Info'!A1114:A1213,'Customer Info'!E1114:E1213,0,0)</f>
        <v>0</v>
      </c>
      <c r="J639" s="1">
        <f>_xlfn.XLOOKUP('Customer Info'!A1114,'Customer Info'!A1114:A1213,'Customer Info'!M1114:M1213)</f>
        <v>0</v>
      </c>
    </row>
    <row r="640" spans="1:10" ht="14" hidden="1" x14ac:dyDescent="0.2">
      <c r="A640" s="2" t="s">
        <v>8</v>
      </c>
      <c r="B640" s="2">
        <v>5</v>
      </c>
      <c r="C640" s="2">
        <v>8</v>
      </c>
      <c r="D640" s="2">
        <v>2020</v>
      </c>
      <c r="E640" s="2">
        <v>0</v>
      </c>
      <c r="F640" s="2">
        <v>124.31</v>
      </c>
      <c r="H640" s="1">
        <f>_xlfn.XLOOKUP('Customer Info'!A1115,'Customer Info'!A1115:A1214,'Customer Info'!E1115:E1214,0,0)</f>
        <v>0</v>
      </c>
      <c r="J640" s="1">
        <f>_xlfn.XLOOKUP('Customer Info'!A1115,'Customer Info'!A1115:A1214,'Customer Info'!M1115:M1214)</f>
        <v>0</v>
      </c>
    </row>
    <row r="641" spans="1:10" ht="14" hidden="1" x14ac:dyDescent="0.2">
      <c r="A641" s="2" t="s">
        <v>12</v>
      </c>
      <c r="B641" s="2">
        <v>2</v>
      </c>
      <c r="C641" s="2">
        <v>4</v>
      </c>
      <c r="D641" s="2">
        <v>2020</v>
      </c>
      <c r="E641" s="2">
        <v>0</v>
      </c>
      <c r="F641" s="2">
        <v>124.2</v>
      </c>
      <c r="H641" s="1">
        <f>_xlfn.XLOOKUP('Customer Info'!A1116,'Customer Info'!A1116:A1215,'Customer Info'!E1116:E1215,0,0)</f>
        <v>0</v>
      </c>
      <c r="J641" s="1">
        <f>_xlfn.XLOOKUP('Customer Info'!A1116,'Customer Info'!A1116:A1215,'Customer Info'!M1116:M1215)</f>
        <v>0</v>
      </c>
    </row>
    <row r="642" spans="1:10" ht="14" x14ac:dyDescent="0.2">
      <c r="A642" s="2" t="s">
        <v>1</v>
      </c>
      <c r="B642" s="2">
        <v>21</v>
      </c>
      <c r="C642" s="2">
        <v>4</v>
      </c>
      <c r="D642" s="2">
        <v>2021</v>
      </c>
      <c r="E642" s="2">
        <v>0</v>
      </c>
      <c r="F642" s="2">
        <v>124.2</v>
      </c>
      <c r="H642" s="1">
        <f>_xlfn.XLOOKUP('Customer Info'!A2323,'Customer Info'!A2323:A2422,'Customer Info'!E2323:E2422,0,0)</f>
        <v>0</v>
      </c>
      <c r="J642" s="1">
        <f>_xlfn.XLOOKUP('Customer Info'!A2323,'Customer Info'!A2323:A2422,'Customer Info'!M2323:M2422)</f>
        <v>0</v>
      </c>
    </row>
    <row r="643" spans="1:10" ht="14" x14ac:dyDescent="0.2">
      <c r="A643" s="2" t="s">
        <v>6</v>
      </c>
      <c r="B643" s="2">
        <v>7</v>
      </c>
      <c r="C643" s="2">
        <v>9</v>
      </c>
      <c r="D643" s="2">
        <v>2021</v>
      </c>
      <c r="E643" s="2">
        <v>0</v>
      </c>
      <c r="F643" s="2">
        <v>124.2</v>
      </c>
      <c r="H643" s="1">
        <f>_xlfn.XLOOKUP('Customer Info'!A2324,'Customer Info'!A2324:A2423,'Customer Info'!E2324:E2423,0,0)</f>
        <v>0</v>
      </c>
      <c r="J643" s="1">
        <f>_xlfn.XLOOKUP('Customer Info'!A2324,'Customer Info'!A2324:A2423,'Customer Info'!M2324:M2423)</f>
        <v>0</v>
      </c>
    </row>
    <row r="644" spans="1:10" ht="14" x14ac:dyDescent="0.2">
      <c r="A644" s="2" t="s">
        <v>14</v>
      </c>
      <c r="B644" s="2">
        <v>10</v>
      </c>
      <c r="C644" s="2">
        <v>5</v>
      </c>
      <c r="D644" s="2">
        <v>2021</v>
      </c>
      <c r="E644" s="2">
        <v>0</v>
      </c>
      <c r="F644" s="2">
        <v>124</v>
      </c>
      <c r="H644" s="1">
        <f>_xlfn.XLOOKUP('Customer Info'!A2325,'Customer Info'!A2325:A2424,'Customer Info'!E2325:E2424,0,0)</f>
        <v>0</v>
      </c>
      <c r="J644" s="1">
        <f>_xlfn.XLOOKUP('Customer Info'!A2325,'Customer Info'!A2325:A2424,'Customer Info'!M2325:M2424)</f>
        <v>0</v>
      </c>
    </row>
    <row r="645" spans="1:10" ht="14" x14ac:dyDescent="0.2">
      <c r="A645" s="2" t="s">
        <v>24</v>
      </c>
      <c r="B645" s="2">
        <v>22</v>
      </c>
      <c r="C645" s="2">
        <v>5</v>
      </c>
      <c r="D645" s="2">
        <v>2021</v>
      </c>
      <c r="E645" s="2">
        <v>0</v>
      </c>
      <c r="F645" s="2">
        <v>124</v>
      </c>
      <c r="H645" s="1">
        <f>_xlfn.XLOOKUP('Customer Info'!A2326,'Customer Info'!A2326:A2425,'Customer Info'!E2326:E2425,0,0)</f>
        <v>0</v>
      </c>
      <c r="J645" s="1">
        <f>_xlfn.XLOOKUP('Customer Info'!A2326,'Customer Info'!A2326:A2425,'Customer Info'!M2326:M2425)</f>
        <v>0</v>
      </c>
    </row>
    <row r="646" spans="1:10" ht="14" hidden="1" x14ac:dyDescent="0.2">
      <c r="A646" s="2" t="s">
        <v>3</v>
      </c>
      <c r="B646" s="2">
        <v>25</v>
      </c>
      <c r="C646" s="2">
        <v>4</v>
      </c>
      <c r="D646" s="2">
        <v>2020</v>
      </c>
      <c r="E646" s="2">
        <v>0</v>
      </c>
      <c r="F646" s="2">
        <v>123.9</v>
      </c>
      <c r="H646" s="1">
        <f>_xlfn.XLOOKUP('Customer Info'!A1117,'Customer Info'!A1117:A1216,'Customer Info'!E1117:E1216,0,0)</f>
        <v>0</v>
      </c>
      <c r="J646" s="1">
        <f>_xlfn.XLOOKUP('Customer Info'!A1117,'Customer Info'!A1117:A1216,'Customer Info'!M1117:M1216)</f>
        <v>0</v>
      </c>
    </row>
    <row r="647" spans="1:10" ht="14" x14ac:dyDescent="0.2">
      <c r="A647" s="2" t="s">
        <v>77</v>
      </c>
      <c r="B647" s="2">
        <v>16</v>
      </c>
      <c r="C647" s="2">
        <v>12</v>
      </c>
      <c r="D647" s="2">
        <v>2021</v>
      </c>
      <c r="E647" s="2">
        <v>128.03</v>
      </c>
      <c r="F647" s="2">
        <v>123.69</v>
      </c>
      <c r="H647" s="1">
        <f>_xlfn.XLOOKUP('Customer Info'!A1408,'Customer Info'!A1408:A1507,'Customer Info'!E1408:E1507,0,0)</f>
        <v>0</v>
      </c>
      <c r="J647" s="1">
        <f>_xlfn.XLOOKUP('Customer Info'!A1408,'Customer Info'!A1408:A1507,'Customer Info'!M1408:M1507)</f>
        <v>0</v>
      </c>
    </row>
    <row r="648" spans="1:10" ht="14" x14ac:dyDescent="0.2">
      <c r="A648" s="2" t="s">
        <v>9</v>
      </c>
      <c r="B648" s="2">
        <v>22</v>
      </c>
      <c r="C648" s="2">
        <v>5</v>
      </c>
      <c r="D648" s="2">
        <v>2021</v>
      </c>
      <c r="E648" s="2">
        <v>0</v>
      </c>
      <c r="F648" s="2">
        <v>123.69</v>
      </c>
      <c r="H648" s="1">
        <f>_xlfn.XLOOKUP('Customer Info'!A2327,'Customer Info'!A2327:A2426,'Customer Info'!E2327:E2426,0,0)</f>
        <v>0</v>
      </c>
      <c r="J648" s="1">
        <f>_xlfn.XLOOKUP('Customer Info'!A2327,'Customer Info'!A2327:A2426,'Customer Info'!M2327:M2426)</f>
        <v>0</v>
      </c>
    </row>
    <row r="649" spans="1:10" ht="14" x14ac:dyDescent="0.2">
      <c r="A649" s="2" t="s">
        <v>18</v>
      </c>
      <c r="B649" s="2">
        <v>5</v>
      </c>
      <c r="C649" s="2">
        <v>7</v>
      </c>
      <c r="D649" s="2">
        <v>2021</v>
      </c>
      <c r="E649" s="2">
        <v>0</v>
      </c>
      <c r="F649" s="2">
        <v>123.69</v>
      </c>
      <c r="H649" s="1">
        <f>_xlfn.XLOOKUP('Customer Info'!A2328,'Customer Info'!A2328:A2427,'Customer Info'!E2328:E2427,0,0)</f>
        <v>0</v>
      </c>
      <c r="J649" s="1">
        <f>_xlfn.XLOOKUP('Customer Info'!A2328,'Customer Info'!A2328:A2427,'Customer Info'!M2328:M2427)</f>
        <v>0</v>
      </c>
    </row>
    <row r="650" spans="1:10" ht="14" hidden="1" x14ac:dyDescent="0.2">
      <c r="A650" s="2" t="s">
        <v>18</v>
      </c>
      <c r="B650" s="2">
        <v>5</v>
      </c>
      <c r="C650" s="2">
        <v>9</v>
      </c>
      <c r="D650" s="2">
        <v>2020</v>
      </c>
      <c r="E650" s="2">
        <v>0</v>
      </c>
      <c r="F650" s="2">
        <v>123.6</v>
      </c>
      <c r="H650" s="1">
        <f>_xlfn.XLOOKUP('Customer Info'!A1118,'Customer Info'!A1118:A1217,'Customer Info'!E1118:E1217,0,0)</f>
        <v>0</v>
      </c>
      <c r="J650" s="1">
        <f>_xlfn.XLOOKUP('Customer Info'!A1118,'Customer Info'!A1118:A1217,'Customer Info'!M1118:M1217)</f>
        <v>0</v>
      </c>
    </row>
    <row r="651" spans="1:10" ht="14" x14ac:dyDescent="0.2">
      <c r="A651" s="2" t="s">
        <v>7</v>
      </c>
      <c r="B651" s="2">
        <v>20</v>
      </c>
      <c r="C651" s="2">
        <v>4</v>
      </c>
      <c r="D651" s="2">
        <v>2021</v>
      </c>
      <c r="E651" s="2">
        <v>0</v>
      </c>
      <c r="F651" s="2">
        <v>123.6</v>
      </c>
      <c r="H651" s="1">
        <f>_xlfn.XLOOKUP('Customer Info'!A2329,'Customer Info'!A2329:A2428,'Customer Info'!E2329:E2428,0,0)</f>
        <v>0</v>
      </c>
      <c r="J651" s="1">
        <f>_xlfn.XLOOKUP('Customer Info'!A2329,'Customer Info'!A2329:A2428,'Customer Info'!M2329:M2428)</f>
        <v>0</v>
      </c>
    </row>
    <row r="652" spans="1:10" ht="14" x14ac:dyDescent="0.2">
      <c r="A652" s="2" t="s">
        <v>15</v>
      </c>
      <c r="B652" s="2">
        <v>5</v>
      </c>
      <c r="C652" s="2">
        <v>9</v>
      </c>
      <c r="D652" s="2">
        <v>2021</v>
      </c>
      <c r="E652" s="2">
        <v>0</v>
      </c>
      <c r="F652" s="2">
        <v>123.6</v>
      </c>
      <c r="H652" s="1">
        <f>_xlfn.XLOOKUP('Customer Info'!A2330,'Customer Info'!A2330:A2429,'Customer Info'!E2330:E2429,0,0)</f>
        <v>0</v>
      </c>
      <c r="J652" s="1">
        <f>_xlfn.XLOOKUP('Customer Info'!A2330,'Customer Info'!A2330:A2429,'Customer Info'!M2330:M2429)</f>
        <v>0</v>
      </c>
    </row>
    <row r="653" spans="1:10" ht="14" hidden="1" x14ac:dyDescent="0.2">
      <c r="A653" s="2" t="s">
        <v>20</v>
      </c>
      <c r="B653" s="2">
        <v>12</v>
      </c>
      <c r="C653" s="2">
        <v>5</v>
      </c>
      <c r="D653" s="2">
        <v>2020</v>
      </c>
      <c r="E653" s="2">
        <v>0</v>
      </c>
      <c r="F653" s="2">
        <v>123.38</v>
      </c>
      <c r="H653" s="1">
        <f>_xlfn.XLOOKUP('Customer Info'!A1119,'Customer Info'!A1119:A1218,'Customer Info'!E1119:E1218,0,0)</f>
        <v>0</v>
      </c>
      <c r="J653" s="1">
        <f>_xlfn.XLOOKUP('Customer Info'!A1119,'Customer Info'!A1119:A1218,'Customer Info'!M1119:M1218)</f>
        <v>0</v>
      </c>
    </row>
    <row r="654" spans="1:10" ht="14" hidden="1" x14ac:dyDescent="0.2">
      <c r="A654" s="2" t="s">
        <v>7</v>
      </c>
      <c r="B654" s="2">
        <v>20</v>
      </c>
      <c r="C654" s="2">
        <v>7</v>
      </c>
      <c r="D654" s="2">
        <v>2020</v>
      </c>
      <c r="E654" s="2">
        <v>0</v>
      </c>
      <c r="F654" s="2">
        <v>123.38</v>
      </c>
      <c r="H654" s="1">
        <f>_xlfn.XLOOKUP('Customer Info'!A1120,'Customer Info'!A1120:A1219,'Customer Info'!E1120:E1219,0,0)</f>
        <v>0</v>
      </c>
      <c r="J654" s="1">
        <f>_xlfn.XLOOKUP('Customer Info'!A1120,'Customer Info'!A1120:A1219,'Customer Info'!M1120:M1219)</f>
        <v>0</v>
      </c>
    </row>
    <row r="655" spans="1:10" ht="14" hidden="1" x14ac:dyDescent="0.2">
      <c r="A655" s="2" t="s">
        <v>23</v>
      </c>
      <c r="B655" s="2">
        <v>5</v>
      </c>
      <c r="C655" s="2">
        <v>8</v>
      </c>
      <c r="D655" s="2">
        <v>2020</v>
      </c>
      <c r="E655" s="2">
        <v>0</v>
      </c>
      <c r="F655" s="2">
        <v>123.38</v>
      </c>
      <c r="H655" s="1">
        <f>_xlfn.XLOOKUP('Customer Info'!A1121,'Customer Info'!A1121:A1220,'Customer Info'!E1121:E1220,0,0)</f>
        <v>0</v>
      </c>
      <c r="J655" s="1">
        <f>_xlfn.XLOOKUP('Customer Info'!A1121,'Customer Info'!A1121:A1220,'Customer Info'!M1121:M1220)</f>
        <v>0</v>
      </c>
    </row>
    <row r="656" spans="1:10" ht="14" x14ac:dyDescent="0.2">
      <c r="A656" s="2" t="s">
        <v>10</v>
      </c>
      <c r="B656" s="2">
        <v>18</v>
      </c>
      <c r="C656" s="2">
        <v>7</v>
      </c>
      <c r="D656" s="2">
        <v>2021</v>
      </c>
      <c r="E656" s="2">
        <v>0</v>
      </c>
      <c r="F656" s="2">
        <v>123.38</v>
      </c>
      <c r="H656" s="1">
        <f>_xlfn.XLOOKUP('Customer Info'!A2331,'Customer Info'!A2331:A2430,'Customer Info'!E2331:E2430,0,0)</f>
        <v>0</v>
      </c>
      <c r="J656" s="1">
        <f>_xlfn.XLOOKUP('Customer Info'!A2331,'Customer Info'!A2331:A2430,'Customer Info'!M2331:M2430)</f>
        <v>0</v>
      </c>
    </row>
    <row r="657" spans="1:10" ht="14" x14ac:dyDescent="0.2">
      <c r="A657" s="2" t="s">
        <v>24</v>
      </c>
      <c r="B657" s="2">
        <v>22</v>
      </c>
      <c r="C657" s="2">
        <v>8</v>
      </c>
      <c r="D657" s="2">
        <v>2021</v>
      </c>
      <c r="E657" s="2">
        <v>0</v>
      </c>
      <c r="F657" s="2">
        <v>123.38</v>
      </c>
      <c r="H657" s="1">
        <f>_xlfn.XLOOKUP('Customer Info'!A2332,'Customer Info'!A2332:A2431,'Customer Info'!E2332:E2431,0,0)</f>
        <v>0</v>
      </c>
      <c r="J657" s="1">
        <f>_xlfn.XLOOKUP('Customer Info'!A2332,'Customer Info'!A2332:A2431,'Customer Info'!M2332:M2431)</f>
        <v>0</v>
      </c>
    </row>
    <row r="658" spans="1:10" ht="14" x14ac:dyDescent="0.2">
      <c r="A658" s="2" t="s">
        <v>14</v>
      </c>
      <c r="B658" s="2">
        <v>10</v>
      </c>
      <c r="C658" s="2">
        <v>7</v>
      </c>
      <c r="D658" s="2">
        <v>2021</v>
      </c>
      <c r="E658" s="2">
        <v>0</v>
      </c>
      <c r="F658" s="2">
        <v>123.07</v>
      </c>
      <c r="H658" s="1">
        <f>_xlfn.XLOOKUP('Customer Info'!A2333,'Customer Info'!A2333:A2432,'Customer Info'!E2333:E2432,0,0)</f>
        <v>0</v>
      </c>
      <c r="J658" s="1">
        <f>_xlfn.XLOOKUP('Customer Info'!A2333,'Customer Info'!A2333:A2432,'Customer Info'!M2333:M2432)</f>
        <v>0</v>
      </c>
    </row>
    <row r="659" spans="1:10" ht="14" hidden="1" x14ac:dyDescent="0.2">
      <c r="A659" s="2" t="s">
        <v>71</v>
      </c>
      <c r="B659" s="2">
        <v>21</v>
      </c>
      <c r="C659" s="2">
        <v>9</v>
      </c>
      <c r="D659" s="2">
        <v>2020</v>
      </c>
      <c r="E659" s="2">
        <v>54</v>
      </c>
      <c r="F659" s="2">
        <v>123</v>
      </c>
      <c r="H659" s="1">
        <f>_xlfn.XLOOKUP('Customer Info'!A618,'Customer Info'!A618:A717,'Customer Info'!E618:E717,0,0)</f>
        <v>0</v>
      </c>
      <c r="J659" s="1">
        <f>_xlfn.XLOOKUP('Customer Info'!A618,'Customer Info'!A618:A717,'Customer Info'!M618:M717)</f>
        <v>0</v>
      </c>
    </row>
    <row r="660" spans="1:10" ht="14" hidden="1" x14ac:dyDescent="0.2">
      <c r="A660" s="2" t="s">
        <v>98</v>
      </c>
      <c r="B660" s="2">
        <v>21</v>
      </c>
      <c r="C660" s="2">
        <v>9</v>
      </c>
      <c r="D660" s="2">
        <v>2020</v>
      </c>
      <c r="E660" s="1" t="s">
        <v>94</v>
      </c>
      <c r="F660" s="2">
        <v>122.7</v>
      </c>
      <c r="H660" s="1">
        <f>_xlfn.XLOOKUP('Customer Info'!A77,'Customer Info'!A77:A176,'Customer Info'!E77:E176,0,0)</f>
        <v>3</v>
      </c>
      <c r="I660" s="1" t="str">
        <f>_xlfn.XLOOKUP('Customer Info'!A77,'Customer Info'!A77:A176,'Customer Info'!J77:J176,0)</f>
        <v>Mpower</v>
      </c>
      <c r="J660" s="1" t="b">
        <f>_xlfn.XLOOKUP('Customer Info'!A77,'Customer Info'!A77:A176,'Customer Info'!M77:M176)</f>
        <v>0</v>
      </c>
    </row>
    <row r="661" spans="1:10" ht="14" x14ac:dyDescent="0.2">
      <c r="A661" s="2" t="s">
        <v>26</v>
      </c>
      <c r="B661" s="2">
        <v>22</v>
      </c>
      <c r="C661" s="2">
        <v>6</v>
      </c>
      <c r="D661" s="2">
        <v>2021</v>
      </c>
      <c r="E661" s="2">
        <v>0</v>
      </c>
      <c r="F661" s="2">
        <v>122.7</v>
      </c>
      <c r="H661" s="1">
        <f>_xlfn.XLOOKUP('Customer Info'!A2334,'Customer Info'!A2334:A2433,'Customer Info'!E2334:E2433,0,0)</f>
        <v>0</v>
      </c>
      <c r="J661" s="1">
        <f>_xlfn.XLOOKUP('Customer Info'!A2334,'Customer Info'!A2334:A2433,'Customer Info'!M2334:M2433)</f>
        <v>0</v>
      </c>
    </row>
    <row r="662" spans="1:10" ht="14" x14ac:dyDescent="0.2">
      <c r="A662" s="2" t="s">
        <v>25</v>
      </c>
      <c r="B662" s="2">
        <v>8</v>
      </c>
      <c r="C662" s="2">
        <v>9</v>
      </c>
      <c r="D662" s="2">
        <v>2021</v>
      </c>
      <c r="E662" s="2">
        <v>0</v>
      </c>
      <c r="F662" s="2">
        <v>122.7</v>
      </c>
      <c r="H662" s="1">
        <f>_xlfn.XLOOKUP('Customer Info'!A2335,'Customer Info'!A2335:A2434,'Customer Info'!E2335:E2434,0,0)</f>
        <v>0</v>
      </c>
      <c r="J662" s="1">
        <f>_xlfn.XLOOKUP('Customer Info'!A2335,'Customer Info'!A2335:A2434,'Customer Info'!M2335:M2434)</f>
        <v>0</v>
      </c>
    </row>
    <row r="663" spans="1:10" ht="14" x14ac:dyDescent="0.2">
      <c r="A663" s="2" t="s">
        <v>71</v>
      </c>
      <c r="B663" s="2">
        <v>21</v>
      </c>
      <c r="C663" s="2">
        <v>12</v>
      </c>
      <c r="D663" s="2">
        <v>2021</v>
      </c>
      <c r="E663" s="2">
        <v>155.31</v>
      </c>
      <c r="F663" s="2">
        <v>122.45</v>
      </c>
      <c r="H663" s="1">
        <f>_xlfn.XLOOKUP('Customer Info'!A1345,'Customer Info'!A1345:A1444,'Customer Info'!E1345:E1444,0,0)</f>
        <v>0</v>
      </c>
      <c r="J663" s="1">
        <f>_xlfn.XLOOKUP('Customer Info'!A1345,'Customer Info'!A1345:A1444,'Customer Info'!M1345:M1444)</f>
        <v>0</v>
      </c>
    </row>
    <row r="664" spans="1:10" ht="14" hidden="1" x14ac:dyDescent="0.2">
      <c r="A664" s="2" t="s">
        <v>2</v>
      </c>
      <c r="B664" s="2">
        <v>18</v>
      </c>
      <c r="C664" s="2">
        <v>3</v>
      </c>
      <c r="D664" s="2">
        <v>2020</v>
      </c>
      <c r="E664" s="2">
        <v>0</v>
      </c>
      <c r="F664" s="2">
        <v>122.45</v>
      </c>
      <c r="H664" s="1">
        <f>_xlfn.XLOOKUP('Customer Info'!A1122,'Customer Info'!A1122:A1221,'Customer Info'!E1122:E1221,0,0)</f>
        <v>0</v>
      </c>
      <c r="J664" s="1">
        <f>_xlfn.XLOOKUP('Customer Info'!A1122,'Customer Info'!A1122:A1221,'Customer Info'!M1122:M1221)</f>
        <v>0</v>
      </c>
    </row>
    <row r="665" spans="1:10" ht="14" hidden="1" x14ac:dyDescent="0.2">
      <c r="A665" s="2" t="s">
        <v>17</v>
      </c>
      <c r="B665" s="2">
        <v>8</v>
      </c>
      <c r="C665" s="2">
        <v>5</v>
      </c>
      <c r="D665" s="2">
        <v>2020</v>
      </c>
      <c r="E665" s="2">
        <v>0</v>
      </c>
      <c r="F665" s="2">
        <v>122.45</v>
      </c>
      <c r="H665" s="1">
        <f>_xlfn.XLOOKUP('Customer Info'!A1123,'Customer Info'!A1123:A1222,'Customer Info'!E1123:E1222,0,0)</f>
        <v>0</v>
      </c>
      <c r="J665" s="1">
        <f>_xlfn.XLOOKUP('Customer Info'!A1123,'Customer Info'!A1123:A1222,'Customer Info'!M1123:M1222)</f>
        <v>0</v>
      </c>
    </row>
    <row r="666" spans="1:10" ht="14" hidden="1" x14ac:dyDescent="0.2">
      <c r="A666" s="2" t="s">
        <v>21</v>
      </c>
      <c r="B666" s="2">
        <v>15</v>
      </c>
      <c r="C666" s="2">
        <v>5</v>
      </c>
      <c r="D666" s="2">
        <v>2020</v>
      </c>
      <c r="E666" s="1" t="s">
        <v>94</v>
      </c>
      <c r="F666" s="2">
        <v>122.14</v>
      </c>
      <c r="H666" s="1">
        <f>_xlfn.XLOOKUP('Customer Info'!A78,'Customer Info'!A78:A177,'Customer Info'!E78:E177,0,0)</f>
        <v>3</v>
      </c>
      <c r="I666" s="1" t="str">
        <f>_xlfn.XLOOKUP('Customer Info'!A78,'Customer Info'!A78:A177,'Customer Info'!J78:J177,0)</f>
        <v>SSW</v>
      </c>
      <c r="J666" s="1" t="b">
        <f>_xlfn.XLOOKUP('Customer Info'!A78,'Customer Info'!A78:A177,'Customer Info'!M78:M177)</f>
        <v>0</v>
      </c>
    </row>
    <row r="667" spans="1:10" ht="14" x14ac:dyDescent="0.2">
      <c r="A667" s="2" t="s">
        <v>72</v>
      </c>
      <c r="B667" s="2">
        <v>22</v>
      </c>
      <c r="C667" s="2">
        <v>12</v>
      </c>
      <c r="D667" s="2">
        <v>2021</v>
      </c>
      <c r="E667" s="2">
        <v>149.11000000000001</v>
      </c>
      <c r="F667" s="2">
        <v>122.14</v>
      </c>
      <c r="H667" s="1">
        <f>_xlfn.XLOOKUP('Customer Info'!A1351,'Customer Info'!A1351:A1450,'Customer Info'!E1351:E1450,0,0)</f>
        <v>0</v>
      </c>
      <c r="J667" s="1">
        <f>_xlfn.XLOOKUP('Customer Info'!A1351,'Customer Info'!A1351:A1450,'Customer Info'!M1351:M1450)</f>
        <v>0</v>
      </c>
    </row>
    <row r="668" spans="1:10" ht="14" hidden="1" x14ac:dyDescent="0.2">
      <c r="A668" s="2" t="s">
        <v>23</v>
      </c>
      <c r="B668" s="2">
        <v>5</v>
      </c>
      <c r="C668" s="2">
        <v>6</v>
      </c>
      <c r="D668" s="2">
        <v>2020</v>
      </c>
      <c r="E668" s="2">
        <v>0</v>
      </c>
      <c r="F668" s="2">
        <v>122.1</v>
      </c>
      <c r="H668" s="1">
        <f>_xlfn.XLOOKUP('Customer Info'!A1124,'Customer Info'!A1124:A1223,'Customer Info'!E1124:E1223,0,0)</f>
        <v>0</v>
      </c>
      <c r="J668" s="1">
        <f>_xlfn.XLOOKUP('Customer Info'!A1124,'Customer Info'!A1124:A1223,'Customer Info'!M1124:M1223)</f>
        <v>0</v>
      </c>
    </row>
    <row r="669" spans="1:10" ht="14" x14ac:dyDescent="0.2">
      <c r="A669" s="2" t="s">
        <v>19</v>
      </c>
      <c r="B669" s="2">
        <v>24</v>
      </c>
      <c r="C669" s="2">
        <v>9</v>
      </c>
      <c r="D669" s="2">
        <v>2021</v>
      </c>
      <c r="E669" s="2">
        <v>0</v>
      </c>
      <c r="F669" s="2">
        <v>122.1</v>
      </c>
      <c r="H669" s="1">
        <f>_xlfn.XLOOKUP('Customer Info'!A2336,'Customer Info'!A2336:A2435,'Customer Info'!E2336:E2435,0,0)</f>
        <v>0</v>
      </c>
      <c r="J669" s="1">
        <f>_xlfn.XLOOKUP('Customer Info'!A2336,'Customer Info'!A2336:A2435,'Customer Info'!M2336:M2435)</f>
        <v>0</v>
      </c>
    </row>
    <row r="670" spans="1:10" ht="14" hidden="1" x14ac:dyDescent="0.2">
      <c r="A670" s="2" t="s">
        <v>100</v>
      </c>
      <c r="B670" s="2">
        <v>1</v>
      </c>
      <c r="C670" s="2">
        <v>5</v>
      </c>
      <c r="D670" s="2">
        <v>2020</v>
      </c>
      <c r="E670" s="1" t="s">
        <v>94</v>
      </c>
      <c r="F670" s="2">
        <v>121.83</v>
      </c>
      <c r="H670" s="1">
        <f>_xlfn.XLOOKUP('Customer Info'!A79,'Customer Info'!A79:A178,'Customer Info'!E79:E178,0,0)</f>
        <v>2</v>
      </c>
      <c r="I670" s="1" t="str">
        <f>_xlfn.XLOOKUP('Customer Info'!A79,'Customer Info'!A79:A178,'Customer Info'!J79:J178,0)</f>
        <v>SSW</v>
      </c>
      <c r="J670" s="1" t="b">
        <f>_xlfn.XLOOKUP('Customer Info'!A79,'Customer Info'!A79:A178,'Customer Info'!M79:M178)</f>
        <v>0</v>
      </c>
    </row>
    <row r="671" spans="1:10" ht="14" hidden="1" x14ac:dyDescent="0.2">
      <c r="A671" s="2" t="s">
        <v>18</v>
      </c>
      <c r="B671" s="2">
        <v>5</v>
      </c>
      <c r="C671" s="2">
        <v>8</v>
      </c>
      <c r="D671" s="2">
        <v>2020</v>
      </c>
      <c r="E671" s="1" t="s">
        <v>94</v>
      </c>
      <c r="F671" s="2">
        <v>121.83</v>
      </c>
      <c r="H671" s="1">
        <f>_xlfn.XLOOKUP('Customer Info'!A80,'Customer Info'!A80:A179,'Customer Info'!E80:E179,0,0)</f>
        <v>3</v>
      </c>
      <c r="I671" s="1" t="str">
        <f>_xlfn.XLOOKUP('Customer Info'!A80,'Customer Info'!A80:A179,'Customer Info'!J80:J179,0)</f>
        <v>Scottish Gas</v>
      </c>
      <c r="J671" s="1" t="b">
        <f>_xlfn.XLOOKUP('Customer Info'!A80,'Customer Info'!A80:A179,'Customer Info'!M80:M179)</f>
        <v>0</v>
      </c>
    </row>
    <row r="672" spans="1:10" ht="14" hidden="1" x14ac:dyDescent="0.2">
      <c r="A672" s="2" t="s">
        <v>77</v>
      </c>
      <c r="B672" s="2">
        <v>16</v>
      </c>
      <c r="C672" s="2">
        <v>10</v>
      </c>
      <c r="D672" s="2">
        <v>2020</v>
      </c>
      <c r="E672" s="2">
        <v>78.12</v>
      </c>
      <c r="F672" s="2">
        <v>121.83</v>
      </c>
      <c r="H672" s="1">
        <f>_xlfn.XLOOKUP('Customer Info'!A447,'Customer Info'!A447:A546,'Customer Info'!E447:E546,0,0)</f>
        <v>0</v>
      </c>
      <c r="J672" s="1">
        <f>_xlfn.XLOOKUP('Customer Info'!A447,'Customer Info'!A447:A546,'Customer Info'!M447:M546)</f>
        <v>0</v>
      </c>
    </row>
    <row r="673" spans="1:10" ht="14" x14ac:dyDescent="0.2">
      <c r="A673" s="2" t="s">
        <v>22</v>
      </c>
      <c r="B673" s="2">
        <v>22</v>
      </c>
      <c r="C673" s="2">
        <v>7</v>
      </c>
      <c r="D673" s="2">
        <v>2021</v>
      </c>
      <c r="E673" s="2">
        <v>0</v>
      </c>
      <c r="F673" s="2">
        <v>121.83</v>
      </c>
      <c r="H673" s="1">
        <f>_xlfn.XLOOKUP('Customer Info'!A2337,'Customer Info'!A2337:A2436,'Customer Info'!E2337:E2436,0,0)</f>
        <v>0</v>
      </c>
      <c r="J673" s="1">
        <f>_xlfn.XLOOKUP('Customer Info'!A2337,'Customer Info'!A2337:A2436,'Customer Info'!M2337:M2436)</f>
        <v>0</v>
      </c>
    </row>
    <row r="674" spans="1:10" ht="14" hidden="1" x14ac:dyDescent="0.2">
      <c r="A674" s="2" t="s">
        <v>2</v>
      </c>
      <c r="B674" s="2">
        <v>18</v>
      </c>
      <c r="C674" s="2">
        <v>4</v>
      </c>
      <c r="D674" s="2">
        <v>2020</v>
      </c>
      <c r="E674" s="2">
        <v>0</v>
      </c>
      <c r="F674" s="2">
        <v>121.8</v>
      </c>
      <c r="H674" s="1">
        <f>_xlfn.XLOOKUP('Customer Info'!A1125,'Customer Info'!A1125:A1224,'Customer Info'!E1125:E1224,0,0)</f>
        <v>0</v>
      </c>
      <c r="J674" s="1">
        <f>_xlfn.XLOOKUP('Customer Info'!A1125,'Customer Info'!A1125:A1224,'Customer Info'!M1125:M1224)</f>
        <v>0</v>
      </c>
    </row>
    <row r="675" spans="1:10" ht="14" x14ac:dyDescent="0.2">
      <c r="A675" s="2" t="s">
        <v>99</v>
      </c>
      <c r="B675" s="2">
        <v>10</v>
      </c>
      <c r="C675" s="2">
        <v>5</v>
      </c>
      <c r="D675" s="2">
        <v>2021</v>
      </c>
      <c r="E675" s="1" t="s">
        <v>94</v>
      </c>
      <c r="F675" s="2">
        <v>121.52</v>
      </c>
      <c r="H675" s="1">
        <f>_xlfn.XLOOKUP('Customer Info'!A1271,'Customer Info'!A1271:A1370,'Customer Info'!E1271:E1370,0,0)</f>
        <v>0</v>
      </c>
      <c r="J675" s="1">
        <f>_xlfn.XLOOKUP('Customer Info'!A1271,'Customer Info'!A1271:A1370,'Customer Info'!M1271:M1370)</f>
        <v>0</v>
      </c>
    </row>
    <row r="676" spans="1:10" ht="14" x14ac:dyDescent="0.2">
      <c r="A676" s="2" t="s">
        <v>79</v>
      </c>
      <c r="B676" s="2">
        <v>3</v>
      </c>
      <c r="C676" s="2">
        <v>3</v>
      </c>
      <c r="D676" s="2">
        <v>2021</v>
      </c>
      <c r="E676" s="2">
        <v>102.61</v>
      </c>
      <c r="F676" s="2">
        <v>121.52</v>
      </c>
      <c r="H676" s="1">
        <f>_xlfn.XLOOKUP('Customer Info'!A1539,'Customer Info'!A1539:A1638,'Customer Info'!E1539:E1638,0,0)</f>
        <v>0</v>
      </c>
      <c r="J676" s="1">
        <f>_xlfn.XLOOKUP('Customer Info'!A1539,'Customer Info'!A1539:A1638,'Customer Info'!M1539:M1638)</f>
        <v>0</v>
      </c>
    </row>
    <row r="677" spans="1:10" ht="14" hidden="1" x14ac:dyDescent="0.2">
      <c r="A677" s="2" t="s">
        <v>9</v>
      </c>
      <c r="B677" s="2">
        <v>22</v>
      </c>
      <c r="C677" s="2">
        <v>5</v>
      </c>
      <c r="D677" s="2">
        <v>2020</v>
      </c>
      <c r="E677" s="2">
        <v>0</v>
      </c>
      <c r="F677" s="2">
        <v>121.52</v>
      </c>
      <c r="H677" s="1">
        <f>_xlfn.XLOOKUP('Customer Info'!A1126,'Customer Info'!A1126:A1225,'Customer Info'!E1126:E1225,0,0)</f>
        <v>0</v>
      </c>
      <c r="J677" s="1">
        <f>_xlfn.XLOOKUP('Customer Info'!A1126,'Customer Info'!A1126:A1225,'Customer Info'!M1126:M1225)</f>
        <v>0</v>
      </c>
    </row>
    <row r="678" spans="1:10" ht="14" x14ac:dyDescent="0.2">
      <c r="A678" s="2" t="s">
        <v>4</v>
      </c>
      <c r="B678" s="2">
        <v>1</v>
      </c>
      <c r="C678" s="2">
        <v>3</v>
      </c>
      <c r="D678" s="2">
        <v>2021</v>
      </c>
      <c r="E678" s="2">
        <v>0</v>
      </c>
      <c r="F678" s="2">
        <v>121.52</v>
      </c>
      <c r="H678" s="1">
        <f>_xlfn.XLOOKUP('Customer Info'!A2338,'Customer Info'!A2338:A2437,'Customer Info'!E2338:E2437,0,0)</f>
        <v>0</v>
      </c>
      <c r="J678" s="1">
        <f>_xlfn.XLOOKUP('Customer Info'!A2338,'Customer Info'!A2338:A2437,'Customer Info'!M2338:M2437)</f>
        <v>0</v>
      </c>
    </row>
    <row r="679" spans="1:10" ht="14" x14ac:dyDescent="0.2">
      <c r="A679" s="2" t="s">
        <v>98</v>
      </c>
      <c r="B679" s="2">
        <v>21</v>
      </c>
      <c r="C679" s="2">
        <v>6</v>
      </c>
      <c r="D679" s="2">
        <v>2021</v>
      </c>
      <c r="E679" s="1" t="s">
        <v>94</v>
      </c>
      <c r="F679" s="2">
        <v>121.5</v>
      </c>
      <c r="H679" s="1">
        <f>_xlfn.XLOOKUP('Customer Info'!A1272,'Customer Info'!A1272:A1371,'Customer Info'!E1272:E1371,0,0)</f>
        <v>0</v>
      </c>
      <c r="J679" s="1">
        <f>_xlfn.XLOOKUP('Customer Info'!A1272,'Customer Info'!A1272:A1371,'Customer Info'!M1272:M1371)</f>
        <v>0</v>
      </c>
    </row>
    <row r="680" spans="1:10" ht="14" x14ac:dyDescent="0.2">
      <c r="A680" s="2" t="s">
        <v>19</v>
      </c>
      <c r="B680" s="2">
        <v>24</v>
      </c>
      <c r="C680" s="2">
        <v>7</v>
      </c>
      <c r="D680" s="2">
        <v>2021</v>
      </c>
      <c r="E680" s="1" t="s">
        <v>94</v>
      </c>
      <c r="F680" s="2">
        <v>121.21</v>
      </c>
      <c r="H680" s="1">
        <f>_xlfn.XLOOKUP('Customer Info'!A1273,'Customer Info'!A1273:A1372,'Customer Info'!E1273:E1372,0,0)</f>
        <v>0</v>
      </c>
      <c r="J680" s="1">
        <f>_xlfn.XLOOKUP('Customer Info'!A1273,'Customer Info'!A1273:A1372,'Customer Info'!M1273:M1372)</f>
        <v>0</v>
      </c>
    </row>
    <row r="681" spans="1:10" ht="14" hidden="1" x14ac:dyDescent="0.2">
      <c r="A681" s="2" t="s">
        <v>17</v>
      </c>
      <c r="B681" s="2">
        <v>8</v>
      </c>
      <c r="C681" s="2">
        <v>9</v>
      </c>
      <c r="D681" s="2">
        <v>2020</v>
      </c>
      <c r="E681" s="2">
        <v>0</v>
      </c>
      <c r="F681" s="2">
        <v>121.2</v>
      </c>
      <c r="H681" s="1">
        <f>_xlfn.XLOOKUP('Customer Info'!A1127,'Customer Info'!A1127:A1226,'Customer Info'!E1127:E1226,0,0)</f>
        <v>0</v>
      </c>
      <c r="J681" s="1">
        <f>_xlfn.XLOOKUP('Customer Info'!A1127,'Customer Info'!A1127:A1226,'Customer Info'!M1127:M1226)</f>
        <v>0</v>
      </c>
    </row>
    <row r="682" spans="1:10" ht="14" x14ac:dyDescent="0.2">
      <c r="A682" s="2" t="s">
        <v>17</v>
      </c>
      <c r="B682" s="2">
        <v>8</v>
      </c>
      <c r="C682" s="2">
        <v>6</v>
      </c>
      <c r="D682" s="2">
        <v>2021</v>
      </c>
      <c r="E682" s="1" t="s">
        <v>94</v>
      </c>
      <c r="F682" s="2">
        <v>120.9</v>
      </c>
      <c r="H682" s="1">
        <f>_xlfn.XLOOKUP('Customer Info'!A1274,'Customer Info'!A1274:A1373,'Customer Info'!E1274:E1373,0,0)</f>
        <v>0</v>
      </c>
      <c r="J682" s="1">
        <f>_xlfn.XLOOKUP('Customer Info'!A1274,'Customer Info'!A1274:A1373,'Customer Info'!M1274:M1373)</f>
        <v>0</v>
      </c>
    </row>
    <row r="683" spans="1:10" ht="14" x14ac:dyDescent="0.2">
      <c r="A683" s="2" t="s">
        <v>28</v>
      </c>
      <c r="B683" s="2">
        <v>5</v>
      </c>
      <c r="C683" s="2">
        <v>8</v>
      </c>
      <c r="D683" s="2">
        <v>2021</v>
      </c>
      <c r="E683" s="1" t="s">
        <v>94</v>
      </c>
      <c r="F683" s="2">
        <v>120.9</v>
      </c>
      <c r="H683" s="1">
        <f>_xlfn.XLOOKUP('Customer Info'!A1275,'Customer Info'!A1275:A1374,'Customer Info'!E1275:E1374,0,0)</f>
        <v>0</v>
      </c>
      <c r="J683" s="1">
        <f>_xlfn.XLOOKUP('Customer Info'!A1275,'Customer Info'!A1275:A1374,'Customer Info'!M1275:M1374)</f>
        <v>0</v>
      </c>
    </row>
    <row r="684" spans="1:10" ht="14" hidden="1" x14ac:dyDescent="0.2">
      <c r="A684" s="2" t="s">
        <v>5</v>
      </c>
      <c r="B684" s="2">
        <v>7</v>
      </c>
      <c r="C684" s="2">
        <v>4</v>
      </c>
      <c r="D684" s="2">
        <v>2020</v>
      </c>
      <c r="E684" s="2">
        <v>0</v>
      </c>
      <c r="F684" s="2">
        <v>120.9</v>
      </c>
      <c r="H684" s="1">
        <f>_xlfn.XLOOKUP('Customer Info'!A1128,'Customer Info'!A1128:A1227,'Customer Info'!E1128:E1227,0,0)</f>
        <v>0</v>
      </c>
      <c r="J684" s="1">
        <f>_xlfn.XLOOKUP('Customer Info'!A1128,'Customer Info'!A1128:A1227,'Customer Info'!M1128:M1227)</f>
        <v>0</v>
      </c>
    </row>
    <row r="685" spans="1:10" ht="14" x14ac:dyDescent="0.2">
      <c r="A685" s="2" t="s">
        <v>97</v>
      </c>
      <c r="B685" s="2">
        <v>12</v>
      </c>
      <c r="C685" s="2">
        <v>2</v>
      </c>
      <c r="D685" s="2">
        <v>2021</v>
      </c>
      <c r="E685" s="1" t="s">
        <v>94</v>
      </c>
      <c r="F685" s="2">
        <v>120.68</v>
      </c>
      <c r="H685" s="1">
        <f>_xlfn.XLOOKUP('Customer Info'!A1276,'Customer Info'!A1276:A1375,'Customer Info'!E1276:E1375,0,0)</f>
        <v>0</v>
      </c>
      <c r="J685" s="1">
        <f>_xlfn.XLOOKUP('Customer Info'!A1276,'Customer Info'!A1276:A1375,'Customer Info'!M1276:M1375)</f>
        <v>0</v>
      </c>
    </row>
    <row r="686" spans="1:10" ht="14" x14ac:dyDescent="0.2">
      <c r="A686" s="2" t="s">
        <v>79</v>
      </c>
      <c r="B686" s="2">
        <v>3</v>
      </c>
      <c r="C686" s="2">
        <v>4</v>
      </c>
      <c r="D686" s="2">
        <v>2021</v>
      </c>
      <c r="E686" s="2">
        <v>100.5</v>
      </c>
      <c r="F686" s="2">
        <v>120.6</v>
      </c>
      <c r="H686" s="1">
        <f>_xlfn.XLOOKUP('Customer Info'!A1551,'Customer Info'!A1551:A1650,'Customer Info'!E1551:E1650,0,0)</f>
        <v>0</v>
      </c>
      <c r="J686" s="1">
        <f>_xlfn.XLOOKUP('Customer Info'!A1551,'Customer Info'!A1551:A1650,'Customer Info'!M1551:M1650)</f>
        <v>0</v>
      </c>
    </row>
    <row r="687" spans="1:10" ht="14" x14ac:dyDescent="0.2">
      <c r="A687" s="2" t="s">
        <v>98</v>
      </c>
      <c r="B687" s="2">
        <v>21</v>
      </c>
      <c r="C687" s="2">
        <v>7</v>
      </c>
      <c r="D687" s="2">
        <v>2021</v>
      </c>
      <c r="E687" s="1" t="s">
        <v>94</v>
      </c>
      <c r="F687" s="2">
        <v>120.59</v>
      </c>
      <c r="H687" s="1">
        <f>_xlfn.XLOOKUP('Customer Info'!A1277,'Customer Info'!A1277:A1376,'Customer Info'!E1277:E1376,0,0)</f>
        <v>0</v>
      </c>
      <c r="J687" s="1">
        <f>_xlfn.XLOOKUP('Customer Info'!A1277,'Customer Info'!A1277:A1376,'Customer Info'!M1277:M1376)</f>
        <v>0</v>
      </c>
    </row>
    <row r="688" spans="1:10" ht="14" hidden="1" x14ac:dyDescent="0.2">
      <c r="A688" s="2" t="s">
        <v>19</v>
      </c>
      <c r="B688" s="2">
        <v>24</v>
      </c>
      <c r="C688" s="2">
        <v>7</v>
      </c>
      <c r="D688" s="2">
        <v>2020</v>
      </c>
      <c r="E688" s="2">
        <v>0</v>
      </c>
      <c r="F688" s="2">
        <v>120.59</v>
      </c>
      <c r="H688" s="1">
        <f>_xlfn.XLOOKUP('Customer Info'!A1129,'Customer Info'!A1129:A1228,'Customer Info'!E1129:E1228,0,0)</f>
        <v>0</v>
      </c>
      <c r="J688" s="1">
        <f>_xlfn.XLOOKUP('Customer Info'!A1129,'Customer Info'!A1129:A1228,'Customer Info'!M1129:M1228)</f>
        <v>0</v>
      </c>
    </row>
    <row r="689" spans="1:10" ht="14" x14ac:dyDescent="0.2">
      <c r="A689" s="2" t="s">
        <v>24</v>
      </c>
      <c r="B689" s="2">
        <v>22</v>
      </c>
      <c r="C689" s="2">
        <v>7</v>
      </c>
      <c r="D689" s="2">
        <v>2021</v>
      </c>
      <c r="E689" s="2">
        <v>0</v>
      </c>
      <c r="F689" s="2">
        <v>120.59</v>
      </c>
      <c r="H689" s="1">
        <f>_xlfn.XLOOKUP('Customer Info'!A2339,'Customer Info'!A2339:A2438,'Customer Info'!E2339:E2438,0,0)</f>
        <v>0</v>
      </c>
      <c r="J689" s="1">
        <f>_xlfn.XLOOKUP('Customer Info'!A2339,'Customer Info'!A2339:A2438,'Customer Info'!M2339:M2438)</f>
        <v>0</v>
      </c>
    </row>
    <row r="690" spans="1:10" ht="14" hidden="1" x14ac:dyDescent="0.2">
      <c r="A690" s="2" t="s">
        <v>97</v>
      </c>
      <c r="B690" s="2">
        <v>12</v>
      </c>
      <c r="C690" s="2">
        <v>4</v>
      </c>
      <c r="D690" s="2">
        <v>2020</v>
      </c>
      <c r="E690" s="1" t="s">
        <v>94</v>
      </c>
      <c r="F690" s="2">
        <v>120</v>
      </c>
      <c r="H690" s="1">
        <f>_xlfn.XLOOKUP('Customer Info'!A81,'Customer Info'!A81:A180,'Customer Info'!E81:E180,0,0)</f>
        <v>2</v>
      </c>
      <c r="I690" s="1" t="str">
        <f>_xlfn.XLOOKUP('Customer Info'!A81,'Customer Info'!A81:A180,'Customer Info'!J81:J180,0)</f>
        <v>Scottish Gas</v>
      </c>
      <c r="J690" s="1" t="b">
        <f>_xlfn.XLOOKUP('Customer Info'!A81,'Customer Info'!A81:A180,'Customer Info'!M81:M180)</f>
        <v>0</v>
      </c>
    </row>
    <row r="691" spans="1:10" ht="14" x14ac:dyDescent="0.2">
      <c r="A691" s="2" t="s">
        <v>72</v>
      </c>
      <c r="B691" s="2">
        <v>22</v>
      </c>
      <c r="C691" s="2">
        <v>4</v>
      </c>
      <c r="D691" s="2">
        <v>2021</v>
      </c>
      <c r="E691" s="2">
        <v>96.3</v>
      </c>
      <c r="F691" s="2">
        <v>120</v>
      </c>
      <c r="H691" s="1">
        <f>_xlfn.XLOOKUP('Customer Info'!A1574,'Customer Info'!A1574:A1673,'Customer Info'!E1574:E1673,0,0)</f>
        <v>0</v>
      </c>
      <c r="J691" s="1">
        <f>_xlfn.XLOOKUP('Customer Info'!A1574,'Customer Info'!A1574:A1673,'Customer Info'!M1574:M1673)</f>
        <v>0</v>
      </c>
    </row>
    <row r="692" spans="1:10" ht="14" hidden="1" x14ac:dyDescent="0.2">
      <c r="A692" s="2" t="s">
        <v>21</v>
      </c>
      <c r="B692" s="2">
        <v>15</v>
      </c>
      <c r="C692" s="2">
        <v>9</v>
      </c>
      <c r="D692" s="2">
        <v>2020</v>
      </c>
      <c r="E692" s="2">
        <v>0</v>
      </c>
      <c r="F692" s="2">
        <v>120</v>
      </c>
      <c r="H692" s="1">
        <f>_xlfn.XLOOKUP('Customer Info'!A1130,'Customer Info'!A1130:A1229,'Customer Info'!E1130:E1229,0,0)</f>
        <v>0</v>
      </c>
      <c r="J692" s="1">
        <f>_xlfn.XLOOKUP('Customer Info'!A1130,'Customer Info'!A1130:A1229,'Customer Info'!M1130:M1229)</f>
        <v>0</v>
      </c>
    </row>
    <row r="693" spans="1:10" ht="14" x14ac:dyDescent="0.2">
      <c r="A693" s="2" t="s">
        <v>2</v>
      </c>
      <c r="B693" s="2">
        <v>18</v>
      </c>
      <c r="C693" s="2">
        <v>4</v>
      </c>
      <c r="D693" s="2">
        <v>2021</v>
      </c>
      <c r="E693" s="2">
        <v>0</v>
      </c>
      <c r="F693" s="2">
        <v>120</v>
      </c>
      <c r="H693" s="1">
        <f>_xlfn.XLOOKUP('Customer Info'!A2340,'Customer Info'!A2340:A2439,'Customer Info'!E2340:E2439,0,0)</f>
        <v>0</v>
      </c>
      <c r="J693" s="1">
        <f>_xlfn.XLOOKUP('Customer Info'!A2340,'Customer Info'!A2340:A2439,'Customer Info'!M2340:M2439)</f>
        <v>0</v>
      </c>
    </row>
    <row r="694" spans="1:10" ht="14" x14ac:dyDescent="0.2">
      <c r="A694" s="2" t="s">
        <v>72</v>
      </c>
      <c r="B694" s="2">
        <v>22</v>
      </c>
      <c r="C694" s="2">
        <v>5</v>
      </c>
      <c r="D694" s="2">
        <v>2021</v>
      </c>
      <c r="E694" s="2">
        <v>51.46</v>
      </c>
      <c r="F694" s="2">
        <v>119.97</v>
      </c>
      <c r="H694" s="1">
        <f>_xlfn.XLOOKUP('Customer Info'!A1856,'Customer Info'!A1856:A1955,'Customer Info'!E1856:E1955,0,0)</f>
        <v>0</v>
      </c>
      <c r="J694" s="1">
        <f>_xlfn.XLOOKUP('Customer Info'!A1856,'Customer Info'!A1856:A1955,'Customer Info'!M1856:M1955)</f>
        <v>0</v>
      </c>
    </row>
    <row r="695" spans="1:10" ht="14" hidden="1" x14ac:dyDescent="0.2">
      <c r="A695" s="2" t="s">
        <v>79</v>
      </c>
      <c r="B695" s="2">
        <v>3</v>
      </c>
      <c r="C695" s="2">
        <v>8</v>
      </c>
      <c r="D695" s="2">
        <v>2020</v>
      </c>
      <c r="E695" s="2">
        <v>43.4</v>
      </c>
      <c r="F695" s="2">
        <v>119.97</v>
      </c>
      <c r="H695" s="1">
        <f>_xlfn.XLOOKUP('Customer Info'!A705,'Customer Info'!A705:A804,'Customer Info'!E705:E804,0,0)</f>
        <v>0</v>
      </c>
      <c r="J695" s="1">
        <f>_xlfn.XLOOKUP('Customer Info'!A705,'Customer Info'!A705:A804,'Customer Info'!M705:M804)</f>
        <v>0</v>
      </c>
    </row>
    <row r="696" spans="1:10" ht="14" x14ac:dyDescent="0.2">
      <c r="A696" s="2" t="s">
        <v>1</v>
      </c>
      <c r="B696" s="2">
        <v>21</v>
      </c>
      <c r="C696" s="2">
        <v>3</v>
      </c>
      <c r="D696" s="2">
        <v>2021</v>
      </c>
      <c r="E696" s="2">
        <v>0</v>
      </c>
      <c r="F696" s="2">
        <v>119.97</v>
      </c>
      <c r="H696" s="1">
        <f>_xlfn.XLOOKUP('Customer Info'!A2341,'Customer Info'!A2341:A2440,'Customer Info'!E2341:E2440,0,0)</f>
        <v>0</v>
      </c>
      <c r="J696" s="1">
        <f>_xlfn.XLOOKUP('Customer Info'!A2341,'Customer Info'!A2341:A2440,'Customer Info'!M2341:M2440)</f>
        <v>0</v>
      </c>
    </row>
    <row r="697" spans="1:10" ht="14" x14ac:dyDescent="0.2">
      <c r="A697" s="2" t="s">
        <v>7</v>
      </c>
      <c r="B697" s="2">
        <v>20</v>
      </c>
      <c r="C697" s="2">
        <v>8</v>
      </c>
      <c r="D697" s="2">
        <v>2021</v>
      </c>
      <c r="E697" s="2">
        <v>0</v>
      </c>
      <c r="F697" s="2">
        <v>119.97</v>
      </c>
      <c r="H697" s="1">
        <f>_xlfn.XLOOKUP('Customer Info'!A2342,'Customer Info'!A2342:A2441,'Customer Info'!E2342:E2441,0,0)</f>
        <v>0</v>
      </c>
      <c r="J697" s="1">
        <f>_xlfn.XLOOKUP('Customer Info'!A2342,'Customer Info'!A2342:A2441,'Customer Info'!M2342:M2441)</f>
        <v>0</v>
      </c>
    </row>
    <row r="698" spans="1:10" ht="14" hidden="1" x14ac:dyDescent="0.2">
      <c r="A698" s="2" t="s">
        <v>99</v>
      </c>
      <c r="B698" s="2">
        <v>10</v>
      </c>
      <c r="C698" s="2">
        <v>9</v>
      </c>
      <c r="D698" s="2">
        <v>2020</v>
      </c>
      <c r="E698" s="1" t="s">
        <v>94</v>
      </c>
      <c r="F698" s="2">
        <v>119.7</v>
      </c>
      <c r="H698" s="1">
        <f>_xlfn.XLOOKUP('Customer Info'!A82,'Customer Info'!A82:A181,'Customer Info'!E82:E181,0,0)</f>
        <v>3</v>
      </c>
      <c r="I698" s="1" t="str">
        <f>_xlfn.XLOOKUP('Customer Info'!A82,'Customer Info'!A82:A181,'Customer Info'!J82:J181,0)</f>
        <v>Mpower</v>
      </c>
      <c r="J698" s="1" t="b">
        <f>_xlfn.XLOOKUP('Customer Info'!A82,'Customer Info'!A82:A181,'Customer Info'!M82:M181)</f>
        <v>0</v>
      </c>
    </row>
    <row r="699" spans="1:10" ht="14" x14ac:dyDescent="0.2">
      <c r="A699" s="2" t="s">
        <v>99</v>
      </c>
      <c r="B699" s="2">
        <v>10</v>
      </c>
      <c r="C699" s="2">
        <v>8</v>
      </c>
      <c r="D699" s="2">
        <v>2021</v>
      </c>
      <c r="E699" s="1" t="s">
        <v>94</v>
      </c>
      <c r="F699" s="2">
        <v>119.66</v>
      </c>
      <c r="H699" s="1">
        <f>_xlfn.XLOOKUP('Customer Info'!A1278,'Customer Info'!A1278:A1377,'Customer Info'!E1278:E1377,0,0)</f>
        <v>0</v>
      </c>
      <c r="J699" s="1">
        <f>_xlfn.XLOOKUP('Customer Info'!A1278,'Customer Info'!A1278:A1377,'Customer Info'!M1278:M1377)</f>
        <v>0</v>
      </c>
    </row>
    <row r="700" spans="1:10" ht="14" hidden="1" x14ac:dyDescent="0.2">
      <c r="A700" s="2" t="s">
        <v>99</v>
      </c>
      <c r="B700" s="2">
        <v>10</v>
      </c>
      <c r="C700" s="2">
        <v>7</v>
      </c>
      <c r="D700" s="2">
        <v>2020</v>
      </c>
      <c r="E700" s="1" t="s">
        <v>94</v>
      </c>
      <c r="F700" s="2">
        <v>119.66</v>
      </c>
      <c r="H700" s="1">
        <f>_xlfn.XLOOKUP('Customer Info'!A83,'Customer Info'!A83:A182,'Customer Info'!E83:E182,0,0)</f>
        <v>2</v>
      </c>
      <c r="I700" s="1" t="str">
        <f>_xlfn.XLOOKUP('Customer Info'!A83,'Customer Info'!A83:A182,'Customer Info'!J83:J182,0)</f>
        <v>SSW</v>
      </c>
      <c r="J700" s="1" t="b">
        <f>_xlfn.XLOOKUP('Customer Info'!A83,'Customer Info'!A83:A182,'Customer Info'!M83:M182)</f>
        <v>0</v>
      </c>
    </row>
    <row r="701" spans="1:10" ht="14" x14ac:dyDescent="0.2">
      <c r="A701" s="2" t="s">
        <v>79</v>
      </c>
      <c r="B701" s="2">
        <v>3</v>
      </c>
      <c r="C701" s="2">
        <v>12</v>
      </c>
      <c r="D701" s="2">
        <v>2021</v>
      </c>
      <c r="E701" s="2">
        <v>130.82</v>
      </c>
      <c r="F701" s="2">
        <v>119.66</v>
      </c>
      <c r="H701" s="1">
        <f>_xlfn.XLOOKUP('Customer Info'!A1396,'Customer Info'!A1396:A1495,'Customer Info'!E1396:E1495,0,0)</f>
        <v>0</v>
      </c>
      <c r="J701" s="1">
        <f>_xlfn.XLOOKUP('Customer Info'!A1396,'Customer Info'!A1396:A1495,'Customer Info'!M1396:M1495)</f>
        <v>0</v>
      </c>
    </row>
    <row r="702" spans="1:10" ht="14" hidden="1" x14ac:dyDescent="0.2">
      <c r="A702" s="2" t="s">
        <v>23</v>
      </c>
      <c r="B702" s="2">
        <v>5</v>
      </c>
      <c r="C702" s="2">
        <v>7</v>
      </c>
      <c r="D702" s="2">
        <v>2020</v>
      </c>
      <c r="E702" s="2">
        <v>0</v>
      </c>
      <c r="F702" s="2">
        <v>119.66</v>
      </c>
      <c r="H702" s="1">
        <f>_xlfn.XLOOKUP('Customer Info'!A1131,'Customer Info'!A1131:A1230,'Customer Info'!E1131:E1230,0,0)</f>
        <v>0</v>
      </c>
      <c r="J702" s="1">
        <f>_xlfn.XLOOKUP('Customer Info'!A1131,'Customer Info'!A1131:A1230,'Customer Info'!M1131:M1230)</f>
        <v>0</v>
      </c>
    </row>
    <row r="703" spans="1:10" ht="14" hidden="1" x14ac:dyDescent="0.2">
      <c r="A703" s="2" t="s">
        <v>10</v>
      </c>
      <c r="B703" s="2">
        <v>18</v>
      </c>
      <c r="C703" s="2">
        <v>8</v>
      </c>
      <c r="D703" s="2">
        <v>2020</v>
      </c>
      <c r="E703" s="2">
        <v>0</v>
      </c>
      <c r="F703" s="2">
        <v>119.66</v>
      </c>
      <c r="H703" s="1">
        <f>_xlfn.XLOOKUP('Customer Info'!A1132,'Customer Info'!A1132:A1231,'Customer Info'!E1132:E1231,0,0)</f>
        <v>0</v>
      </c>
      <c r="J703" s="1">
        <f>_xlfn.XLOOKUP('Customer Info'!A1132,'Customer Info'!A1132:A1231,'Customer Info'!M1132:M1231)</f>
        <v>0</v>
      </c>
    </row>
    <row r="704" spans="1:10" ht="14" x14ac:dyDescent="0.2">
      <c r="A704" s="2" t="s">
        <v>8</v>
      </c>
      <c r="B704" s="2">
        <v>5</v>
      </c>
      <c r="C704" s="2">
        <v>9</v>
      </c>
      <c r="D704" s="2">
        <v>2021</v>
      </c>
      <c r="E704" s="2">
        <v>0</v>
      </c>
      <c r="F704" s="2">
        <v>119.4</v>
      </c>
      <c r="H704" s="1">
        <f>_xlfn.XLOOKUP('Customer Info'!A2343,'Customer Info'!A2343:A2442,'Customer Info'!E2343:E2442,0,0)</f>
        <v>0</v>
      </c>
      <c r="J704" s="1">
        <f>_xlfn.XLOOKUP('Customer Info'!A2343,'Customer Info'!A2343:A2442,'Customer Info'!M2343:M2442)</f>
        <v>0</v>
      </c>
    </row>
    <row r="705" spans="1:10" ht="14" x14ac:dyDescent="0.2">
      <c r="A705" s="2" t="s">
        <v>26</v>
      </c>
      <c r="B705" s="2">
        <v>22</v>
      </c>
      <c r="C705" s="2">
        <v>7</v>
      </c>
      <c r="D705" s="2">
        <v>2021</v>
      </c>
      <c r="E705" s="1" t="s">
        <v>94</v>
      </c>
      <c r="F705" s="2">
        <v>119.35</v>
      </c>
      <c r="H705" s="1">
        <f>_xlfn.XLOOKUP('Customer Info'!A1279,'Customer Info'!A1279:A1378,'Customer Info'!E1279:E1378,0,0)</f>
        <v>0</v>
      </c>
      <c r="J705" s="1">
        <f>_xlfn.XLOOKUP('Customer Info'!A1279,'Customer Info'!A1279:A1378,'Customer Info'!M1279:M1378)</f>
        <v>0</v>
      </c>
    </row>
    <row r="706" spans="1:10" ht="14" x14ac:dyDescent="0.2">
      <c r="A706" s="2" t="s">
        <v>20</v>
      </c>
      <c r="B706" s="2">
        <v>12</v>
      </c>
      <c r="C706" s="2">
        <v>6</v>
      </c>
      <c r="D706" s="2">
        <v>2021</v>
      </c>
      <c r="E706" s="2">
        <v>0</v>
      </c>
      <c r="F706" s="2">
        <v>119.1</v>
      </c>
      <c r="H706" s="1">
        <f>_xlfn.XLOOKUP('Customer Info'!A2344,'Customer Info'!A2344:A2443,'Customer Info'!E2344:E2443,0,0)</f>
        <v>0</v>
      </c>
      <c r="J706" s="1">
        <f>_xlfn.XLOOKUP('Customer Info'!A2344,'Customer Info'!A2344:A2443,'Customer Info'!M2344:M2443)</f>
        <v>0</v>
      </c>
    </row>
    <row r="707" spans="1:10" ht="14" x14ac:dyDescent="0.2">
      <c r="A707" s="2" t="s">
        <v>15</v>
      </c>
      <c r="B707" s="2">
        <v>5</v>
      </c>
      <c r="C707" s="2">
        <v>7</v>
      </c>
      <c r="D707" s="2">
        <v>2021</v>
      </c>
      <c r="E707" s="1" t="s">
        <v>94</v>
      </c>
      <c r="F707" s="2">
        <v>119.04</v>
      </c>
      <c r="H707" s="1">
        <f>_xlfn.XLOOKUP('Customer Info'!A1280,'Customer Info'!A1280:A1379,'Customer Info'!E1280:E1379,0,0)</f>
        <v>0</v>
      </c>
      <c r="J707" s="1">
        <f>_xlfn.XLOOKUP('Customer Info'!A1280,'Customer Info'!A1280:A1379,'Customer Info'!M1280:M1379)</f>
        <v>0</v>
      </c>
    </row>
    <row r="708" spans="1:10" ht="14" x14ac:dyDescent="0.2">
      <c r="A708" s="2" t="s">
        <v>6</v>
      </c>
      <c r="B708" s="2">
        <v>7</v>
      </c>
      <c r="C708" s="2">
        <v>7</v>
      </c>
      <c r="D708" s="2">
        <v>2021</v>
      </c>
      <c r="E708" s="1" t="s">
        <v>94</v>
      </c>
      <c r="F708" s="2">
        <v>119.04</v>
      </c>
      <c r="H708" s="1">
        <f>_xlfn.XLOOKUP('Customer Info'!A1281,'Customer Info'!A1281:A1380,'Customer Info'!E1281:E1380,0,0)</f>
        <v>0</v>
      </c>
      <c r="J708" s="1">
        <f>_xlfn.XLOOKUP('Customer Info'!A1281,'Customer Info'!A1281:A1380,'Customer Info'!M1281:M1380)</f>
        <v>0</v>
      </c>
    </row>
    <row r="709" spans="1:10" ht="14" x14ac:dyDescent="0.2">
      <c r="A709" s="2" t="s">
        <v>71</v>
      </c>
      <c r="B709" s="2">
        <v>21</v>
      </c>
      <c r="C709" s="2">
        <v>3</v>
      </c>
      <c r="D709" s="2">
        <v>2021</v>
      </c>
      <c r="E709" s="2">
        <v>90.52</v>
      </c>
      <c r="F709" s="2">
        <v>119.04</v>
      </c>
      <c r="H709" s="1">
        <f>_xlfn.XLOOKUP('Customer Info'!A1608,'Customer Info'!A1608:A1707,'Customer Info'!E1608:E1707,0,0)</f>
        <v>0</v>
      </c>
      <c r="J709" s="1">
        <f>_xlfn.XLOOKUP('Customer Info'!A1608,'Customer Info'!A1608:A1707,'Customer Info'!M1608:M1707)</f>
        <v>0</v>
      </c>
    </row>
    <row r="710" spans="1:10" ht="14" x14ac:dyDescent="0.2">
      <c r="A710" s="2" t="s">
        <v>71</v>
      </c>
      <c r="B710" s="2">
        <v>21</v>
      </c>
      <c r="C710" s="2">
        <v>7</v>
      </c>
      <c r="D710" s="2">
        <v>2021</v>
      </c>
      <c r="E710" s="2">
        <v>48.67</v>
      </c>
      <c r="F710" s="2">
        <v>119.04</v>
      </c>
      <c r="H710" s="1">
        <f>_xlfn.XLOOKUP('Customer Info'!A1878,'Customer Info'!A1878:A1977,'Customer Info'!E1878:E1977,0,0)</f>
        <v>0</v>
      </c>
      <c r="J710" s="1">
        <f>_xlfn.XLOOKUP('Customer Info'!A1878,'Customer Info'!A1878:A1977,'Customer Info'!M1878:M1977)</f>
        <v>0</v>
      </c>
    </row>
    <row r="711" spans="1:10" ht="14" x14ac:dyDescent="0.2">
      <c r="A711" s="2" t="s">
        <v>14</v>
      </c>
      <c r="B711" s="2">
        <v>10</v>
      </c>
      <c r="C711" s="2">
        <v>8</v>
      </c>
      <c r="D711" s="2">
        <v>2021</v>
      </c>
      <c r="E711" s="2">
        <v>0</v>
      </c>
      <c r="F711" s="2">
        <v>119.04</v>
      </c>
      <c r="H711" s="1">
        <f>_xlfn.XLOOKUP('Customer Info'!A2345,'Customer Info'!A2345:A2444,'Customer Info'!E2345:E2444,0,0)</f>
        <v>0</v>
      </c>
      <c r="J711" s="1">
        <f>_xlfn.XLOOKUP('Customer Info'!A2345,'Customer Info'!A2345:A2444,'Customer Info'!M2345:M2444)</f>
        <v>0</v>
      </c>
    </row>
    <row r="712" spans="1:10" ht="14" hidden="1" x14ac:dyDescent="0.2">
      <c r="A712" s="2" t="s">
        <v>99</v>
      </c>
      <c r="B712" s="2">
        <v>10</v>
      </c>
      <c r="C712" s="2">
        <v>6</v>
      </c>
      <c r="D712" s="2">
        <v>2020</v>
      </c>
      <c r="E712" s="1" t="s">
        <v>94</v>
      </c>
      <c r="F712" s="2">
        <v>118.8</v>
      </c>
      <c r="H712" s="1">
        <f>_xlfn.XLOOKUP('Customer Info'!A84,'Customer Info'!A84:A183,'Customer Info'!E84:E183,0,0)</f>
        <v>2</v>
      </c>
      <c r="I712" s="1" t="str">
        <f>_xlfn.XLOOKUP('Customer Info'!A84,'Customer Info'!A84:A183,'Customer Info'!J84:J183,0)</f>
        <v>SSW</v>
      </c>
      <c r="J712" s="1" t="b">
        <f>_xlfn.XLOOKUP('Customer Info'!A84,'Customer Info'!A84:A183,'Customer Info'!M84:M183)</f>
        <v>0</v>
      </c>
    </row>
    <row r="713" spans="1:10" ht="14" hidden="1" x14ac:dyDescent="0.2">
      <c r="A713" s="2" t="s">
        <v>19</v>
      </c>
      <c r="B713" s="2">
        <v>24</v>
      </c>
      <c r="C713" s="2">
        <v>6</v>
      </c>
      <c r="D713" s="2">
        <v>2020</v>
      </c>
      <c r="E713" s="2">
        <v>0</v>
      </c>
      <c r="F713" s="2">
        <v>118.8</v>
      </c>
      <c r="H713" s="1">
        <f>_xlfn.XLOOKUP('Customer Info'!A1133,'Customer Info'!A1133:A1232,'Customer Info'!E1133:E1232,0,0)</f>
        <v>0</v>
      </c>
      <c r="J713" s="1">
        <f>_xlfn.XLOOKUP('Customer Info'!A1133,'Customer Info'!A1133:A1232,'Customer Info'!M1133:M1232)</f>
        <v>0</v>
      </c>
    </row>
    <row r="714" spans="1:10" ht="14" hidden="1" x14ac:dyDescent="0.2">
      <c r="A714" s="2" t="s">
        <v>10</v>
      </c>
      <c r="B714" s="2">
        <v>18</v>
      </c>
      <c r="C714" s="2">
        <v>7</v>
      </c>
      <c r="D714" s="2">
        <v>2020</v>
      </c>
      <c r="E714" s="2">
        <v>0</v>
      </c>
      <c r="F714" s="2">
        <v>118.73</v>
      </c>
      <c r="H714" s="1">
        <f>_xlfn.XLOOKUP('Customer Info'!A1134,'Customer Info'!A1134:A1233,'Customer Info'!E1134:E1233,0,0)</f>
        <v>0</v>
      </c>
      <c r="J714" s="1">
        <f>_xlfn.XLOOKUP('Customer Info'!A1134,'Customer Info'!A1134:A1233,'Customer Info'!M1134:M1233)</f>
        <v>0</v>
      </c>
    </row>
    <row r="715" spans="1:10" ht="14" x14ac:dyDescent="0.2">
      <c r="A715" s="2" t="s">
        <v>16</v>
      </c>
      <c r="B715" s="2">
        <v>14</v>
      </c>
      <c r="C715" s="2">
        <v>8</v>
      </c>
      <c r="D715" s="2">
        <v>2021</v>
      </c>
      <c r="E715" s="2">
        <v>0</v>
      </c>
      <c r="F715" s="2">
        <v>118.73</v>
      </c>
      <c r="H715" s="1">
        <f>_xlfn.XLOOKUP('Customer Info'!A2346,'Customer Info'!A2346:A2445,'Customer Info'!E2346:E2445,0,0)</f>
        <v>0</v>
      </c>
      <c r="J715" s="1">
        <f>_xlfn.XLOOKUP('Customer Info'!A2346,'Customer Info'!A2346:A2445,'Customer Info'!M2346:M2445)</f>
        <v>0</v>
      </c>
    </row>
    <row r="716" spans="1:10" ht="14" x14ac:dyDescent="0.2">
      <c r="A716" s="2" t="s">
        <v>22</v>
      </c>
      <c r="B716" s="2">
        <v>22</v>
      </c>
      <c r="C716" s="2">
        <v>6</v>
      </c>
      <c r="D716" s="2">
        <v>2021</v>
      </c>
      <c r="E716" s="2">
        <v>0</v>
      </c>
      <c r="F716" s="2">
        <v>118.2</v>
      </c>
      <c r="H716" s="1">
        <f>_xlfn.XLOOKUP('Customer Info'!A2347,'Customer Info'!A2347:A2446,'Customer Info'!E2347:E2446,0,0)</f>
        <v>0</v>
      </c>
      <c r="J716" s="1">
        <f>_xlfn.XLOOKUP('Customer Info'!A2347,'Customer Info'!A2347:A2446,'Customer Info'!M2347:M2446)</f>
        <v>0</v>
      </c>
    </row>
    <row r="717" spans="1:10" ht="14" hidden="1" x14ac:dyDescent="0.2">
      <c r="A717" s="2" t="s">
        <v>99</v>
      </c>
      <c r="B717" s="2">
        <v>10</v>
      </c>
      <c r="C717" s="2">
        <v>8</v>
      </c>
      <c r="D717" s="2">
        <v>2020</v>
      </c>
      <c r="E717" s="1" t="s">
        <v>94</v>
      </c>
      <c r="F717" s="2">
        <v>118.11</v>
      </c>
      <c r="H717" s="1">
        <f>_xlfn.XLOOKUP('Customer Info'!A85,'Customer Info'!A85:A184,'Customer Info'!E85:E184,0,0)</f>
        <v>5</v>
      </c>
      <c r="I717" s="1" t="str">
        <f>_xlfn.XLOOKUP('Customer Info'!A85,'Customer Info'!A85:A184,'Customer Info'!J85:J184,0)</f>
        <v>Mpower</v>
      </c>
      <c r="J717" s="1" t="b">
        <f>_xlfn.XLOOKUP('Customer Info'!A85,'Customer Info'!A85:A184,'Customer Info'!M85:M184)</f>
        <v>0</v>
      </c>
    </row>
    <row r="718" spans="1:10" ht="14" x14ac:dyDescent="0.2">
      <c r="A718" s="2" t="s">
        <v>12</v>
      </c>
      <c r="B718" s="2">
        <v>2</v>
      </c>
      <c r="C718" s="2">
        <v>7</v>
      </c>
      <c r="D718" s="2">
        <v>2021</v>
      </c>
      <c r="E718" s="2">
        <v>0</v>
      </c>
      <c r="F718" s="2">
        <v>118.11</v>
      </c>
      <c r="H718" s="1">
        <f>_xlfn.XLOOKUP('Customer Info'!A2348,'Customer Info'!A2348:A2447,'Customer Info'!E2348:E2447,0,0)</f>
        <v>0</v>
      </c>
      <c r="J718" s="1">
        <f>_xlfn.XLOOKUP('Customer Info'!A2348,'Customer Info'!A2348:A2447,'Customer Info'!M2348:M2447)</f>
        <v>0</v>
      </c>
    </row>
    <row r="719" spans="1:10" ht="14" hidden="1" x14ac:dyDescent="0.2">
      <c r="A719" s="2" t="s">
        <v>72</v>
      </c>
      <c r="B719" s="2">
        <v>22</v>
      </c>
      <c r="C719" s="2">
        <v>7</v>
      </c>
      <c r="D719" s="2">
        <v>2020</v>
      </c>
      <c r="E719" s="2">
        <v>38.130000000000003</v>
      </c>
      <c r="F719" s="2">
        <v>117.8</v>
      </c>
      <c r="H719" s="1">
        <f>_xlfn.XLOOKUP('Customer Info'!A749,'Customer Info'!A749:A848,'Customer Info'!E749:E848,0,0)</f>
        <v>0</v>
      </c>
      <c r="J719" s="1">
        <f>_xlfn.XLOOKUP('Customer Info'!A749,'Customer Info'!A749:A848,'Customer Info'!M749:M848)</f>
        <v>0</v>
      </c>
    </row>
    <row r="720" spans="1:10" ht="14" hidden="1" x14ac:dyDescent="0.2">
      <c r="A720" s="2" t="s">
        <v>1</v>
      </c>
      <c r="B720" s="2">
        <v>21</v>
      </c>
      <c r="C720" s="2">
        <v>3</v>
      </c>
      <c r="D720" s="2">
        <v>2020</v>
      </c>
      <c r="E720" s="2">
        <v>0</v>
      </c>
      <c r="F720" s="2">
        <v>117.8</v>
      </c>
      <c r="H720" s="1">
        <f>_xlfn.XLOOKUP('Customer Info'!A1135,'Customer Info'!A1135:A1234,'Customer Info'!E1135:E1234,0,0)</f>
        <v>0</v>
      </c>
      <c r="J720" s="1">
        <f>_xlfn.XLOOKUP('Customer Info'!A1135,'Customer Info'!A1135:A1234,'Customer Info'!M1135:M1234)</f>
        <v>0</v>
      </c>
    </row>
    <row r="721" spans="1:10" ht="14" x14ac:dyDescent="0.2">
      <c r="A721" s="2" t="s">
        <v>100</v>
      </c>
      <c r="B721" s="2">
        <v>1</v>
      </c>
      <c r="C721" s="2">
        <v>6</v>
      </c>
      <c r="D721" s="2">
        <v>2021</v>
      </c>
      <c r="E721" s="1" t="s">
        <v>94</v>
      </c>
      <c r="F721" s="2">
        <v>117.3</v>
      </c>
      <c r="H721" s="1">
        <f>_xlfn.XLOOKUP('Customer Info'!A1282,'Customer Info'!A1282:A1381,'Customer Info'!E1282:E1381,0,0)</f>
        <v>0</v>
      </c>
      <c r="J721" s="1">
        <f>_xlfn.XLOOKUP('Customer Info'!A1282,'Customer Info'!A1282:A1381,'Customer Info'!M1282:M1381)</f>
        <v>0</v>
      </c>
    </row>
    <row r="722" spans="1:10" ht="14" x14ac:dyDescent="0.2">
      <c r="A722" s="2" t="s">
        <v>72</v>
      </c>
      <c r="B722" s="2">
        <v>22</v>
      </c>
      <c r="C722" s="2">
        <v>6</v>
      </c>
      <c r="D722" s="2">
        <v>2021</v>
      </c>
      <c r="E722" s="2">
        <v>49.2</v>
      </c>
      <c r="F722" s="2">
        <v>117.3</v>
      </c>
      <c r="H722" s="1">
        <f>_xlfn.XLOOKUP('Customer Info'!A1873,'Customer Info'!A1873:A1972,'Customer Info'!E1873:E1972,0,0)</f>
        <v>0</v>
      </c>
      <c r="J722" s="1">
        <f>_xlfn.XLOOKUP('Customer Info'!A1873,'Customer Info'!A1873:A1972,'Customer Info'!M1873:M1972)</f>
        <v>0</v>
      </c>
    </row>
    <row r="723" spans="1:10" ht="14" hidden="1" x14ac:dyDescent="0.2">
      <c r="A723" s="2" t="s">
        <v>21</v>
      </c>
      <c r="B723" s="2">
        <v>15</v>
      </c>
      <c r="C723" s="2">
        <v>6</v>
      </c>
      <c r="D723" s="2">
        <v>2020</v>
      </c>
      <c r="E723" s="2">
        <v>0</v>
      </c>
      <c r="F723" s="2">
        <v>117.3</v>
      </c>
      <c r="H723" s="1">
        <f>_xlfn.XLOOKUP('Customer Info'!A1136,'Customer Info'!A1136:A1235,'Customer Info'!E1136:E1235,0,0)</f>
        <v>0</v>
      </c>
      <c r="J723" s="1">
        <f>_xlfn.XLOOKUP('Customer Info'!A1136,'Customer Info'!A1136:A1235,'Customer Info'!M1136:M1235)</f>
        <v>0</v>
      </c>
    </row>
    <row r="724" spans="1:10" ht="14" x14ac:dyDescent="0.2">
      <c r="A724" s="2" t="s">
        <v>15</v>
      </c>
      <c r="B724" s="2">
        <v>5</v>
      </c>
      <c r="C724" s="2">
        <v>6</v>
      </c>
      <c r="D724" s="2">
        <v>2021</v>
      </c>
      <c r="E724" s="2">
        <v>0</v>
      </c>
      <c r="F724" s="2">
        <v>117.3</v>
      </c>
      <c r="H724" s="1">
        <f>_xlfn.XLOOKUP('Customer Info'!A2349,'Customer Info'!A2349:A2448,'Customer Info'!E2349:E2448,0,0)</f>
        <v>0</v>
      </c>
      <c r="J724" s="1">
        <f>_xlfn.XLOOKUP('Customer Info'!A2349,'Customer Info'!A2349:A2448,'Customer Info'!M2349:M2448)</f>
        <v>0</v>
      </c>
    </row>
    <row r="725" spans="1:10" ht="14" x14ac:dyDescent="0.2">
      <c r="A725" s="2" t="s">
        <v>79</v>
      </c>
      <c r="B725" s="2">
        <v>3</v>
      </c>
      <c r="C725" s="2">
        <v>10</v>
      </c>
      <c r="D725" s="2">
        <v>2021</v>
      </c>
      <c r="E725" s="2">
        <v>88.04</v>
      </c>
      <c r="F725" s="2">
        <v>117.18</v>
      </c>
      <c r="H725" s="1">
        <f>_xlfn.XLOOKUP('Customer Info'!A1620,'Customer Info'!A1620:A1719,'Customer Info'!E1620:E1719,0,0)</f>
        <v>0</v>
      </c>
      <c r="J725" s="1">
        <f>_xlfn.XLOOKUP('Customer Info'!A1620,'Customer Info'!A1620:A1719,'Customer Info'!M1620:M1719)</f>
        <v>0</v>
      </c>
    </row>
    <row r="726" spans="1:10" ht="14" hidden="1" x14ac:dyDescent="0.2">
      <c r="A726" s="2" t="s">
        <v>19</v>
      </c>
      <c r="B726" s="2">
        <v>24</v>
      </c>
      <c r="C726" s="2">
        <v>5</v>
      </c>
      <c r="D726" s="2">
        <v>2020</v>
      </c>
      <c r="E726" s="2">
        <v>0</v>
      </c>
      <c r="F726" s="2">
        <v>117.18</v>
      </c>
      <c r="H726" s="1">
        <f>_xlfn.XLOOKUP('Customer Info'!A1137,'Customer Info'!A1137:A1236,'Customer Info'!E1137:E1236,0,0)</f>
        <v>0</v>
      </c>
      <c r="J726" s="1">
        <f>_xlfn.XLOOKUP('Customer Info'!A1137,'Customer Info'!A1137:A1236,'Customer Info'!M1137:M1236)</f>
        <v>0</v>
      </c>
    </row>
    <row r="727" spans="1:10" ht="14" x14ac:dyDescent="0.2">
      <c r="A727" s="2" t="s">
        <v>77</v>
      </c>
      <c r="B727" s="2">
        <v>16</v>
      </c>
      <c r="C727" s="2">
        <v>5</v>
      </c>
      <c r="D727" s="2">
        <v>2021</v>
      </c>
      <c r="E727" s="2">
        <v>68.2</v>
      </c>
      <c r="F727" s="2">
        <v>116.87</v>
      </c>
      <c r="H727" s="1">
        <f>_xlfn.XLOOKUP('Customer Info'!A1746,'Customer Info'!A1746:A1845,'Customer Info'!E1746:E1845,0,0)</f>
        <v>0</v>
      </c>
      <c r="J727" s="1">
        <f>_xlfn.XLOOKUP('Customer Info'!A1746,'Customer Info'!A1746:A1845,'Customer Info'!M1746:M1845)</f>
        <v>0</v>
      </c>
    </row>
    <row r="728" spans="1:10" ht="14" hidden="1" x14ac:dyDescent="0.2">
      <c r="A728" s="2" t="s">
        <v>16</v>
      </c>
      <c r="B728" s="2">
        <v>14</v>
      </c>
      <c r="C728" s="2">
        <v>7</v>
      </c>
      <c r="D728" s="2">
        <v>2020</v>
      </c>
      <c r="E728" s="2">
        <v>0</v>
      </c>
      <c r="F728" s="2">
        <v>116.87</v>
      </c>
      <c r="H728" s="1">
        <f>_xlfn.XLOOKUP('Customer Info'!A1138,'Customer Info'!A1138:A1237,'Customer Info'!E1138:E1237,0,0)</f>
        <v>0</v>
      </c>
      <c r="J728" s="1">
        <f>_xlfn.XLOOKUP('Customer Info'!A1138,'Customer Info'!A1138:A1237,'Customer Info'!M1138:M1237)</f>
        <v>0</v>
      </c>
    </row>
    <row r="729" spans="1:10" ht="14" x14ac:dyDescent="0.2">
      <c r="A729" s="2" t="s">
        <v>17</v>
      </c>
      <c r="B729" s="2">
        <v>8</v>
      </c>
      <c r="C729" s="2">
        <v>5</v>
      </c>
      <c r="D729" s="2">
        <v>2021</v>
      </c>
      <c r="E729" s="2">
        <v>0</v>
      </c>
      <c r="F729" s="2">
        <v>116.87</v>
      </c>
      <c r="H729" s="1">
        <f>_xlfn.XLOOKUP('Customer Info'!A2350,'Customer Info'!A2350:A2449,'Customer Info'!E2350:E2449,0,0)</f>
        <v>0</v>
      </c>
      <c r="J729" s="1">
        <f>_xlfn.XLOOKUP('Customer Info'!A2350,'Customer Info'!A2350:A2449,'Customer Info'!M2350:M2449)</f>
        <v>0</v>
      </c>
    </row>
    <row r="730" spans="1:10" ht="14" hidden="1" x14ac:dyDescent="0.2">
      <c r="A730" s="2" t="s">
        <v>14</v>
      </c>
      <c r="B730" s="2">
        <v>10</v>
      </c>
      <c r="C730" s="2">
        <v>9</v>
      </c>
      <c r="D730" s="2">
        <v>2020</v>
      </c>
      <c r="E730" s="2">
        <v>0</v>
      </c>
      <c r="F730" s="2">
        <v>116.7</v>
      </c>
      <c r="H730" s="1">
        <f>_xlfn.XLOOKUP('Customer Info'!A1139,'Customer Info'!A1139:A1238,'Customer Info'!E1139:E1238,0,0)</f>
        <v>0</v>
      </c>
      <c r="J730" s="1">
        <f>_xlfn.XLOOKUP('Customer Info'!A1139,'Customer Info'!A1139:A1238,'Customer Info'!M1139:M1238)</f>
        <v>0</v>
      </c>
    </row>
    <row r="731" spans="1:10" ht="14" x14ac:dyDescent="0.2">
      <c r="A731" s="2" t="s">
        <v>71</v>
      </c>
      <c r="B731" s="2">
        <v>21</v>
      </c>
      <c r="C731" s="2">
        <v>5</v>
      </c>
      <c r="D731" s="2">
        <v>2021</v>
      </c>
      <c r="E731" s="2">
        <v>46.81</v>
      </c>
      <c r="F731" s="2">
        <v>116.56</v>
      </c>
      <c r="H731" s="1">
        <f>_xlfn.XLOOKUP('Customer Info'!A1892,'Customer Info'!A1892:A1991,'Customer Info'!E1892:E1991,0,0)</f>
        <v>0</v>
      </c>
      <c r="J731" s="1">
        <f>_xlfn.XLOOKUP('Customer Info'!A1892,'Customer Info'!A1892:A1991,'Customer Info'!M1892:M1991)</f>
        <v>0</v>
      </c>
    </row>
    <row r="732" spans="1:10" ht="14" hidden="1" x14ac:dyDescent="0.2">
      <c r="A732" s="2" t="s">
        <v>11</v>
      </c>
      <c r="B732" s="2">
        <v>15</v>
      </c>
      <c r="C732" s="2">
        <v>8</v>
      </c>
      <c r="D732" s="2">
        <v>2020</v>
      </c>
      <c r="E732" s="2">
        <v>0</v>
      </c>
      <c r="F732" s="2">
        <v>116.56</v>
      </c>
      <c r="H732" s="1">
        <f>_xlfn.XLOOKUP('Customer Info'!A1140,'Customer Info'!A1140:A1239,'Customer Info'!E1140:E1239,0,0)</f>
        <v>0</v>
      </c>
      <c r="J732" s="1">
        <f>_xlfn.XLOOKUP('Customer Info'!A1140,'Customer Info'!A1140:A1239,'Customer Info'!M1140:M1239)</f>
        <v>0</v>
      </c>
    </row>
    <row r="733" spans="1:10" ht="14" x14ac:dyDescent="0.2">
      <c r="A733" s="2" t="s">
        <v>15</v>
      </c>
      <c r="B733" s="2">
        <v>5</v>
      </c>
      <c r="C733" s="2">
        <v>5</v>
      </c>
      <c r="D733" s="2">
        <v>2021</v>
      </c>
      <c r="E733" s="2">
        <v>0</v>
      </c>
      <c r="F733" s="2">
        <v>116.56</v>
      </c>
      <c r="H733" s="1">
        <f>_xlfn.XLOOKUP('Customer Info'!A2351,'Customer Info'!A2351:A2450,'Customer Info'!E2351:E2450,0,0)</f>
        <v>0</v>
      </c>
      <c r="J733" s="1">
        <f>_xlfn.XLOOKUP('Customer Info'!A2351,'Customer Info'!A2351:A2450,'Customer Info'!M2351:M2450)</f>
        <v>0</v>
      </c>
    </row>
    <row r="734" spans="1:10" ht="14" hidden="1" x14ac:dyDescent="0.2">
      <c r="A734" s="2" t="s">
        <v>83</v>
      </c>
      <c r="B734" s="2">
        <v>25</v>
      </c>
      <c r="C734" s="2">
        <v>9</v>
      </c>
      <c r="D734" s="2">
        <v>2020</v>
      </c>
      <c r="E734" s="2">
        <v>69.3</v>
      </c>
      <c r="F734" s="2">
        <v>116.4</v>
      </c>
      <c r="H734" s="1">
        <f>_xlfn.XLOOKUP('Customer Info'!A511,'Customer Info'!A511:A610,'Customer Info'!E511:E610,0,0)</f>
        <v>0</v>
      </c>
      <c r="J734" s="1">
        <f>_xlfn.XLOOKUP('Customer Info'!A511,'Customer Info'!A511:A610,'Customer Info'!M511:M610)</f>
        <v>0</v>
      </c>
    </row>
    <row r="735" spans="1:10" ht="14" hidden="1" x14ac:dyDescent="0.2">
      <c r="A735" s="2" t="s">
        <v>20</v>
      </c>
      <c r="B735" s="2">
        <v>12</v>
      </c>
      <c r="C735" s="2">
        <v>9</v>
      </c>
      <c r="D735" s="2">
        <v>2020</v>
      </c>
      <c r="E735" s="2">
        <v>0</v>
      </c>
      <c r="F735" s="2">
        <v>116.4</v>
      </c>
      <c r="H735" s="1">
        <f>_xlfn.XLOOKUP('Customer Info'!A1141,'Customer Info'!A1141:A1240,'Customer Info'!E1141:E1240,0,0)</f>
        <v>0</v>
      </c>
      <c r="J735" s="1">
        <f>_xlfn.XLOOKUP('Customer Info'!A1141,'Customer Info'!A1141:A1240,'Customer Info'!M1141:M1240)</f>
        <v>0</v>
      </c>
    </row>
    <row r="736" spans="1:10" ht="14" hidden="1" x14ac:dyDescent="0.2">
      <c r="A736" s="2" t="s">
        <v>88</v>
      </c>
      <c r="B736" s="2">
        <v>23</v>
      </c>
      <c r="C736" s="2">
        <v>1</v>
      </c>
      <c r="D736" s="2">
        <v>2020</v>
      </c>
      <c r="E736" s="2">
        <v>117.18</v>
      </c>
      <c r="F736" s="2">
        <v>116.25</v>
      </c>
      <c r="H736" s="1">
        <f>_xlfn.XLOOKUP('Customer Info'!A218,'Customer Info'!A218:A317,'Customer Info'!E218:E317,0,0)</f>
        <v>0</v>
      </c>
      <c r="J736" s="1">
        <f>_xlfn.XLOOKUP('Customer Info'!A218,'Customer Info'!A218:A317,'Customer Info'!M218:M317)</f>
        <v>0</v>
      </c>
    </row>
    <row r="737" spans="1:10" ht="14" hidden="1" x14ac:dyDescent="0.2">
      <c r="A737" s="2" t="s">
        <v>79</v>
      </c>
      <c r="B737" s="2">
        <v>3</v>
      </c>
      <c r="C737" s="2">
        <v>3</v>
      </c>
      <c r="D737" s="2">
        <v>2020</v>
      </c>
      <c r="E737" s="2">
        <v>85.25</v>
      </c>
      <c r="F737" s="2">
        <v>115.94</v>
      </c>
      <c r="H737" s="1">
        <f>_xlfn.XLOOKUP('Customer Info'!A417,'Customer Info'!A417:A516,'Customer Info'!E417:E516,0,0)</f>
        <v>0</v>
      </c>
      <c r="J737" s="1">
        <f>_xlfn.XLOOKUP('Customer Info'!A417,'Customer Info'!A417:A516,'Customer Info'!M417:M516)</f>
        <v>0</v>
      </c>
    </row>
    <row r="738" spans="1:10" ht="14" hidden="1" x14ac:dyDescent="0.2">
      <c r="A738" s="2" t="s">
        <v>17</v>
      </c>
      <c r="B738" s="2">
        <v>8</v>
      </c>
      <c r="C738" s="2">
        <v>8</v>
      </c>
      <c r="D738" s="2">
        <v>2020</v>
      </c>
      <c r="E738" s="2">
        <v>0</v>
      </c>
      <c r="F738" s="2">
        <v>115.94</v>
      </c>
      <c r="H738" s="1">
        <f>_xlfn.XLOOKUP('Customer Info'!A1142,'Customer Info'!A1142:A1241,'Customer Info'!E1142:E1241,0,0)</f>
        <v>0</v>
      </c>
      <c r="J738" s="1">
        <f>_xlfn.XLOOKUP('Customer Info'!A1142,'Customer Info'!A1142:A1241,'Customer Info'!M1142:M1241)</f>
        <v>0</v>
      </c>
    </row>
    <row r="739" spans="1:10" ht="14" x14ac:dyDescent="0.2">
      <c r="A739" s="2" t="s">
        <v>100</v>
      </c>
      <c r="B739" s="2">
        <v>1</v>
      </c>
      <c r="C739" s="2">
        <v>5</v>
      </c>
      <c r="D739" s="2">
        <v>2021</v>
      </c>
      <c r="E739" s="1" t="s">
        <v>94</v>
      </c>
      <c r="F739" s="2">
        <v>115.63</v>
      </c>
      <c r="H739" s="1">
        <f>_xlfn.XLOOKUP('Customer Info'!A1283,'Customer Info'!A1283:A1382,'Customer Info'!E1283:E1382,0,0)</f>
        <v>0</v>
      </c>
      <c r="J739" s="1">
        <f>_xlfn.XLOOKUP('Customer Info'!A1283,'Customer Info'!A1283:A1382,'Customer Info'!M1283:M1382)</f>
        <v>0</v>
      </c>
    </row>
    <row r="740" spans="1:10" ht="14" x14ac:dyDescent="0.2">
      <c r="A740" s="2" t="s">
        <v>83</v>
      </c>
      <c r="B740" s="2">
        <v>25</v>
      </c>
      <c r="C740" s="2">
        <v>12</v>
      </c>
      <c r="D740" s="2">
        <v>2021</v>
      </c>
      <c r="E740" s="2">
        <v>158.1</v>
      </c>
      <c r="F740" s="2">
        <v>115.63</v>
      </c>
      <c r="H740" s="1">
        <f>_xlfn.XLOOKUP('Customer Info'!A1343,'Customer Info'!A1343:A1442,'Customer Info'!E1343:E1442,0,0)</f>
        <v>0</v>
      </c>
      <c r="J740" s="1">
        <f>_xlfn.XLOOKUP('Customer Info'!A1343,'Customer Info'!A1343:A1442,'Customer Info'!M1343:M1442)</f>
        <v>0</v>
      </c>
    </row>
    <row r="741" spans="1:10" ht="14" hidden="1" x14ac:dyDescent="0.2">
      <c r="A741" s="2" t="s">
        <v>71</v>
      </c>
      <c r="B741" s="2">
        <v>21</v>
      </c>
      <c r="C741" s="2">
        <v>10</v>
      </c>
      <c r="D741" s="2">
        <v>2020</v>
      </c>
      <c r="E741" s="2">
        <v>75.95</v>
      </c>
      <c r="F741" s="2">
        <v>115.63</v>
      </c>
      <c r="H741" s="1">
        <f>_xlfn.XLOOKUP('Customer Info'!A463,'Customer Info'!A463:A562,'Customer Info'!E463:E562,0,0)</f>
        <v>0</v>
      </c>
      <c r="J741" s="1">
        <f>_xlfn.XLOOKUP('Customer Info'!A463,'Customer Info'!A463:A562,'Customer Info'!M463:M562)</f>
        <v>0</v>
      </c>
    </row>
    <row r="742" spans="1:10" ht="14" x14ac:dyDescent="0.2">
      <c r="A742" s="2" t="s">
        <v>86</v>
      </c>
      <c r="B742" s="2">
        <v>6</v>
      </c>
      <c r="C742" s="2">
        <v>7</v>
      </c>
      <c r="D742" s="2">
        <v>2021</v>
      </c>
      <c r="E742" s="2">
        <v>49.6</v>
      </c>
      <c r="F742" s="2">
        <v>115.63</v>
      </c>
      <c r="H742" s="1">
        <f>_xlfn.XLOOKUP('Customer Info'!A1868,'Customer Info'!A1868:A1967,'Customer Info'!E1868:E1967,0,0)</f>
        <v>0</v>
      </c>
      <c r="J742" s="1">
        <f>_xlfn.XLOOKUP('Customer Info'!A1868,'Customer Info'!A1868:A1967,'Customer Info'!M1868:M1967)</f>
        <v>0</v>
      </c>
    </row>
    <row r="743" spans="1:10" ht="14" x14ac:dyDescent="0.2">
      <c r="A743" s="2" t="s">
        <v>72</v>
      </c>
      <c r="B743" s="2">
        <v>22</v>
      </c>
      <c r="C743" s="2">
        <v>7</v>
      </c>
      <c r="D743" s="2">
        <v>2021</v>
      </c>
      <c r="E743" s="2">
        <v>49.6</v>
      </c>
      <c r="F743" s="2">
        <v>115.63</v>
      </c>
      <c r="H743" s="1">
        <f>_xlfn.XLOOKUP('Customer Info'!A1869,'Customer Info'!A1869:A1968,'Customer Info'!E1869:E1968,0,0)</f>
        <v>0</v>
      </c>
      <c r="J743" s="1">
        <f>_xlfn.XLOOKUP('Customer Info'!A1869,'Customer Info'!A1869:A1968,'Customer Info'!M1869:M1968)</f>
        <v>0</v>
      </c>
    </row>
    <row r="744" spans="1:10" ht="14" x14ac:dyDescent="0.2">
      <c r="A744" s="2" t="s">
        <v>3</v>
      </c>
      <c r="B744" s="2">
        <v>25</v>
      </c>
      <c r="C744" s="2">
        <v>8</v>
      </c>
      <c r="D744" s="2">
        <v>2021</v>
      </c>
      <c r="E744" s="2">
        <v>0</v>
      </c>
      <c r="F744" s="2">
        <v>115.63</v>
      </c>
      <c r="H744" s="1">
        <f>_xlfn.XLOOKUP('Customer Info'!A2352,'Customer Info'!A2352:A2451,'Customer Info'!E2352:E2451,0,0)</f>
        <v>0</v>
      </c>
      <c r="J744" s="1">
        <f>_xlfn.XLOOKUP('Customer Info'!A2352,'Customer Info'!A2352:A2451,'Customer Info'!M2352:M2451)</f>
        <v>0</v>
      </c>
    </row>
    <row r="745" spans="1:10" ht="14" hidden="1" x14ac:dyDescent="0.2">
      <c r="A745" s="2" t="s">
        <v>23</v>
      </c>
      <c r="B745" s="2">
        <v>5</v>
      </c>
      <c r="C745" s="2">
        <v>9</v>
      </c>
      <c r="D745" s="2">
        <v>2020</v>
      </c>
      <c r="E745" s="1" t="s">
        <v>94</v>
      </c>
      <c r="F745" s="2">
        <v>115.5</v>
      </c>
      <c r="H745" s="1">
        <f>_xlfn.XLOOKUP('Customer Info'!A86,'Customer Info'!A86:A185,'Customer Info'!E86:E185,0,0)</f>
        <v>2</v>
      </c>
      <c r="I745" s="1" t="str">
        <f>_xlfn.XLOOKUP('Customer Info'!A86,'Customer Info'!A86:A185,'Customer Info'!J86:J185,0)</f>
        <v>SSW</v>
      </c>
      <c r="J745" s="1" t="b">
        <f>_xlfn.XLOOKUP('Customer Info'!A86,'Customer Info'!A86:A185,'Customer Info'!M86:M185)</f>
        <v>0</v>
      </c>
    </row>
    <row r="746" spans="1:10" ht="14" x14ac:dyDescent="0.2">
      <c r="A746" s="2" t="s">
        <v>97</v>
      </c>
      <c r="B746" s="2">
        <v>12</v>
      </c>
      <c r="C746" s="2">
        <v>3</v>
      </c>
      <c r="D746" s="2">
        <v>2021</v>
      </c>
      <c r="E746" s="1" t="s">
        <v>94</v>
      </c>
      <c r="F746" s="2">
        <v>115.32</v>
      </c>
      <c r="H746" s="1">
        <f>_xlfn.XLOOKUP('Customer Info'!A1284,'Customer Info'!A1284:A1383,'Customer Info'!E1284:E1383,0,0)</f>
        <v>0</v>
      </c>
      <c r="J746" s="1">
        <f>_xlfn.XLOOKUP('Customer Info'!A1284,'Customer Info'!A1284:A1383,'Customer Info'!M1284:M1383)</f>
        <v>0</v>
      </c>
    </row>
    <row r="747" spans="1:10" ht="14" x14ac:dyDescent="0.2">
      <c r="A747" s="2" t="s">
        <v>99</v>
      </c>
      <c r="B747" s="2">
        <v>10</v>
      </c>
      <c r="C747" s="2">
        <v>7</v>
      </c>
      <c r="D747" s="2">
        <v>2021</v>
      </c>
      <c r="E747" s="1" t="s">
        <v>94</v>
      </c>
      <c r="F747" s="2">
        <v>115.32</v>
      </c>
      <c r="H747" s="1">
        <f>_xlfn.XLOOKUP('Customer Info'!A1285,'Customer Info'!A1285:A1384,'Customer Info'!E1285:E1384,0,0)</f>
        <v>0</v>
      </c>
      <c r="J747" s="1">
        <f>_xlfn.XLOOKUP('Customer Info'!A1285,'Customer Info'!A1285:A1384,'Customer Info'!M1285:M1384)</f>
        <v>0</v>
      </c>
    </row>
    <row r="748" spans="1:10" ht="14" x14ac:dyDescent="0.2">
      <c r="A748" s="2" t="s">
        <v>83</v>
      </c>
      <c r="B748" s="2">
        <v>25</v>
      </c>
      <c r="C748" s="2">
        <v>7</v>
      </c>
      <c r="D748" s="2">
        <v>2021</v>
      </c>
      <c r="E748" s="2">
        <v>57.66</v>
      </c>
      <c r="F748" s="2">
        <v>115.32</v>
      </c>
      <c r="H748" s="1">
        <f>_xlfn.XLOOKUP('Customer Info'!A1820,'Customer Info'!A1820:A1919,'Customer Info'!E1820:E1919,0,0)</f>
        <v>0</v>
      </c>
      <c r="J748" s="1">
        <f>_xlfn.XLOOKUP('Customer Info'!A1820,'Customer Info'!A1820:A1919,'Customer Info'!M1820:M1919)</f>
        <v>0</v>
      </c>
    </row>
    <row r="749" spans="1:10" ht="14" x14ac:dyDescent="0.2">
      <c r="A749" s="2" t="s">
        <v>13</v>
      </c>
      <c r="B749" s="2">
        <v>7</v>
      </c>
      <c r="C749" s="2">
        <v>9</v>
      </c>
      <c r="D749" s="2">
        <v>2021</v>
      </c>
      <c r="E749" s="2">
        <v>0</v>
      </c>
      <c r="F749" s="2">
        <v>115.2</v>
      </c>
      <c r="H749" s="1">
        <f>_xlfn.XLOOKUP('Customer Info'!A2353,'Customer Info'!A2353:A2452,'Customer Info'!E2353:E2452,0,0)</f>
        <v>0</v>
      </c>
      <c r="J749" s="1">
        <f>_xlfn.XLOOKUP('Customer Info'!A2353,'Customer Info'!A2353:A2452,'Customer Info'!M2353:M2452)</f>
        <v>0</v>
      </c>
    </row>
    <row r="750" spans="1:10" ht="14" x14ac:dyDescent="0.2">
      <c r="A750" s="2" t="s">
        <v>3</v>
      </c>
      <c r="B750" s="2">
        <v>25</v>
      </c>
      <c r="C750" s="2">
        <v>9</v>
      </c>
      <c r="D750" s="2">
        <v>2021</v>
      </c>
      <c r="E750" s="2">
        <v>0</v>
      </c>
      <c r="F750" s="2">
        <v>115.2</v>
      </c>
      <c r="H750" s="1">
        <f>_xlfn.XLOOKUP('Customer Info'!A2354,'Customer Info'!A2354:A2453,'Customer Info'!E2354:E2453,0,0)</f>
        <v>0</v>
      </c>
      <c r="J750" s="1">
        <f>_xlfn.XLOOKUP('Customer Info'!A2354,'Customer Info'!A2354:A2453,'Customer Info'!M2354:M2453)</f>
        <v>0</v>
      </c>
    </row>
    <row r="751" spans="1:10" ht="14" x14ac:dyDescent="0.2">
      <c r="A751" s="2" t="s">
        <v>71</v>
      </c>
      <c r="B751" s="2">
        <v>21</v>
      </c>
      <c r="C751" s="2">
        <v>9</v>
      </c>
      <c r="D751" s="2">
        <v>2021</v>
      </c>
      <c r="E751" s="2">
        <v>49.8</v>
      </c>
      <c r="F751" s="2">
        <v>114.9</v>
      </c>
      <c r="H751" s="1">
        <f>_xlfn.XLOOKUP('Customer Info'!A1866,'Customer Info'!A1866:A1965,'Customer Info'!E1866:E1965,0,0)</f>
        <v>0</v>
      </c>
      <c r="J751" s="1">
        <f>_xlfn.XLOOKUP('Customer Info'!A1866,'Customer Info'!A1866:A1965,'Customer Info'!M1866:M1965)</f>
        <v>0</v>
      </c>
    </row>
    <row r="752" spans="1:10" ht="14" x14ac:dyDescent="0.2">
      <c r="A752" s="2" t="s">
        <v>72</v>
      </c>
      <c r="B752" s="2">
        <v>22</v>
      </c>
      <c r="C752" s="2">
        <v>1</v>
      </c>
      <c r="D752" s="2">
        <v>2021</v>
      </c>
      <c r="E752" s="2">
        <v>151.59</v>
      </c>
      <c r="F752" s="2">
        <v>114.7</v>
      </c>
      <c r="H752" s="1">
        <f>_xlfn.XLOOKUP('Customer Info'!A1349,'Customer Info'!A1349:A1448,'Customer Info'!E1349:E1448,0,0)</f>
        <v>0</v>
      </c>
      <c r="J752" s="1">
        <f>_xlfn.XLOOKUP('Customer Info'!A1349,'Customer Info'!A1349:A1448,'Customer Info'!M1349:M1448)</f>
        <v>0</v>
      </c>
    </row>
    <row r="753" spans="1:10" ht="14" x14ac:dyDescent="0.2">
      <c r="A753" s="2" t="s">
        <v>77</v>
      </c>
      <c r="B753" s="2">
        <v>16</v>
      </c>
      <c r="C753" s="2">
        <v>8</v>
      </c>
      <c r="D753" s="2">
        <v>2021</v>
      </c>
      <c r="E753" s="2">
        <v>65.41</v>
      </c>
      <c r="F753" s="2">
        <v>114.7</v>
      </c>
      <c r="H753" s="1">
        <f>_xlfn.XLOOKUP('Customer Info'!A1767,'Customer Info'!A1767:A1866,'Customer Info'!E1767:E1866,0,0)</f>
        <v>0</v>
      </c>
      <c r="J753" s="1">
        <f>_xlfn.XLOOKUP('Customer Info'!A1767,'Customer Info'!A1767:A1866,'Customer Info'!M1767:M1866)</f>
        <v>0</v>
      </c>
    </row>
    <row r="754" spans="1:10" ht="14" x14ac:dyDescent="0.2">
      <c r="A754" s="2" t="s">
        <v>54</v>
      </c>
      <c r="B754" s="2">
        <v>5</v>
      </c>
      <c r="C754" s="2">
        <v>7</v>
      </c>
      <c r="D754" s="2">
        <v>2021</v>
      </c>
      <c r="E754" s="2">
        <v>32.549999999999997</v>
      </c>
      <c r="F754" s="2">
        <v>114.7</v>
      </c>
      <c r="H754" s="1">
        <f>_xlfn.XLOOKUP('Customer Info'!A2002,'Customer Info'!A2002:A2101,'Customer Info'!E2002:E2101,0,0)</f>
        <v>0</v>
      </c>
      <c r="J754" s="1">
        <f>_xlfn.XLOOKUP('Customer Info'!A2002,'Customer Info'!A2002:A2101,'Customer Info'!M2002:M2101)</f>
        <v>0</v>
      </c>
    </row>
    <row r="755" spans="1:10" ht="14" hidden="1" x14ac:dyDescent="0.2">
      <c r="A755" s="2" t="s">
        <v>6</v>
      </c>
      <c r="B755" s="2">
        <v>7</v>
      </c>
      <c r="C755" s="2">
        <v>9</v>
      </c>
      <c r="D755" s="2">
        <v>2020</v>
      </c>
      <c r="E755" s="2">
        <v>0</v>
      </c>
      <c r="F755" s="2">
        <v>114.6</v>
      </c>
      <c r="H755" s="1">
        <f>_xlfn.XLOOKUP('Customer Info'!A1143,'Customer Info'!A1143:A1242,'Customer Info'!E1143:E1242,0,0)</f>
        <v>0</v>
      </c>
      <c r="J755" s="1">
        <f>_xlfn.XLOOKUP('Customer Info'!A1143,'Customer Info'!A1143:A1242,'Customer Info'!M1143:M1242)</f>
        <v>0</v>
      </c>
    </row>
    <row r="756" spans="1:10" ht="14" hidden="1" x14ac:dyDescent="0.2">
      <c r="A756" s="2" t="s">
        <v>8</v>
      </c>
      <c r="B756" s="2">
        <v>5</v>
      </c>
      <c r="C756" s="2">
        <v>5</v>
      </c>
      <c r="D756" s="2">
        <v>2020</v>
      </c>
      <c r="E756" s="1" t="s">
        <v>94</v>
      </c>
      <c r="F756" s="2">
        <v>114.39</v>
      </c>
      <c r="H756" s="1">
        <f>_xlfn.XLOOKUP('Customer Info'!A87,'Customer Info'!A87:A186,'Customer Info'!E87:E186,0,0)</f>
        <v>3</v>
      </c>
      <c r="I756" s="1" t="str">
        <f>_xlfn.XLOOKUP('Customer Info'!A87,'Customer Info'!A87:A186,'Customer Info'!J87:J186,0)</f>
        <v>Scottish Gas</v>
      </c>
      <c r="J756" s="1" t="b">
        <f>_xlfn.XLOOKUP('Customer Info'!A87,'Customer Info'!A87:A186,'Customer Info'!M87:M186)</f>
        <v>0</v>
      </c>
    </row>
    <row r="757" spans="1:10" ht="14" hidden="1" x14ac:dyDescent="0.2">
      <c r="A757" s="2" t="s">
        <v>86</v>
      </c>
      <c r="B757" s="2">
        <v>6</v>
      </c>
      <c r="C757" s="2">
        <v>5</v>
      </c>
      <c r="D757" s="2">
        <v>2020</v>
      </c>
      <c r="E757" s="2">
        <v>61.38</v>
      </c>
      <c r="F757" s="2">
        <v>114.39</v>
      </c>
      <c r="H757" s="1">
        <f>_xlfn.XLOOKUP('Customer Info'!A576,'Customer Info'!A576:A675,'Customer Info'!E576:E675,0,0)</f>
        <v>0</v>
      </c>
      <c r="J757" s="1">
        <f>_xlfn.XLOOKUP('Customer Info'!A576,'Customer Info'!A576:A675,'Customer Info'!M576:M675)</f>
        <v>0</v>
      </c>
    </row>
    <row r="758" spans="1:10" ht="14" hidden="1" x14ac:dyDescent="0.2">
      <c r="A758" s="2" t="s">
        <v>98</v>
      </c>
      <c r="B758" s="2">
        <v>21</v>
      </c>
      <c r="C758" s="2">
        <v>6</v>
      </c>
      <c r="D758" s="2">
        <v>2020</v>
      </c>
      <c r="E758" s="1" t="s">
        <v>94</v>
      </c>
      <c r="F758" s="2">
        <v>114.3</v>
      </c>
      <c r="H758" s="1">
        <f>_xlfn.XLOOKUP('Customer Info'!A88,'Customer Info'!A88:A187,'Customer Info'!E88:E187,0,0)</f>
        <v>3</v>
      </c>
      <c r="I758" s="1" t="str">
        <f>_xlfn.XLOOKUP('Customer Info'!A88,'Customer Info'!A88:A187,'Customer Info'!J88:J187,0)</f>
        <v>Mpower</v>
      </c>
      <c r="J758" s="1" t="b">
        <f>_xlfn.XLOOKUP('Customer Info'!A88,'Customer Info'!A88:A187,'Customer Info'!M88:M187)</f>
        <v>0</v>
      </c>
    </row>
    <row r="759" spans="1:10" ht="14" hidden="1" x14ac:dyDescent="0.2">
      <c r="A759" s="2" t="s">
        <v>9</v>
      </c>
      <c r="B759" s="2">
        <v>22</v>
      </c>
      <c r="C759" s="2">
        <v>9</v>
      </c>
      <c r="D759" s="2">
        <v>2020</v>
      </c>
      <c r="E759" s="2">
        <v>0</v>
      </c>
      <c r="F759" s="2">
        <v>114.3</v>
      </c>
      <c r="H759" s="1">
        <f>_xlfn.XLOOKUP('Customer Info'!A1144,'Customer Info'!A1144:A1243,'Customer Info'!E1144:E1243,0,0)</f>
        <v>0</v>
      </c>
      <c r="J759" s="1">
        <f>_xlfn.XLOOKUP('Customer Info'!A1144,'Customer Info'!A1144:A1243,'Customer Info'!M1144:M1243)</f>
        <v>0</v>
      </c>
    </row>
    <row r="760" spans="1:10" ht="14" hidden="1" x14ac:dyDescent="0.2">
      <c r="A760" s="2" t="s">
        <v>21</v>
      </c>
      <c r="B760" s="2">
        <v>15</v>
      </c>
      <c r="C760" s="2">
        <v>7</v>
      </c>
      <c r="D760" s="2">
        <v>2020</v>
      </c>
      <c r="E760" s="1" t="s">
        <v>94</v>
      </c>
      <c r="F760" s="2">
        <v>114.08</v>
      </c>
      <c r="H760" s="1">
        <f>_xlfn.XLOOKUP('Customer Info'!A89,'Customer Info'!A89:A188,'Customer Info'!E89:E188,0,0)</f>
        <v>2</v>
      </c>
      <c r="I760" s="1" t="str">
        <f>_xlfn.XLOOKUP('Customer Info'!A89,'Customer Info'!A89:A188,'Customer Info'!J89:J188,0)</f>
        <v>Mpower</v>
      </c>
      <c r="J760" s="1" t="b">
        <f>_xlfn.XLOOKUP('Customer Info'!A89,'Customer Info'!A89:A188,'Customer Info'!M89:M188)</f>
        <v>0</v>
      </c>
    </row>
    <row r="761" spans="1:10" ht="14" hidden="1" x14ac:dyDescent="0.2">
      <c r="A761" s="2" t="s">
        <v>79</v>
      </c>
      <c r="B761" s="2">
        <v>3</v>
      </c>
      <c r="C761" s="2">
        <v>1</v>
      </c>
      <c r="D761" s="2">
        <v>2020</v>
      </c>
      <c r="E761" s="2">
        <v>111.6</v>
      </c>
      <c r="F761" s="2">
        <v>114.08</v>
      </c>
      <c r="H761" s="1">
        <f>_xlfn.XLOOKUP('Customer Info'!A250,'Customer Info'!A250:A349,'Customer Info'!E250:E349,0,0)</f>
        <v>0</v>
      </c>
      <c r="J761" s="1">
        <f>_xlfn.XLOOKUP('Customer Info'!A250,'Customer Info'!A250:A349,'Customer Info'!M250:M349)</f>
        <v>0</v>
      </c>
    </row>
    <row r="762" spans="1:10" ht="14" hidden="1" x14ac:dyDescent="0.2">
      <c r="A762" s="2" t="s">
        <v>88</v>
      </c>
      <c r="B762" s="2">
        <v>23</v>
      </c>
      <c r="C762" s="2">
        <v>3</v>
      </c>
      <c r="D762" s="2">
        <v>2020</v>
      </c>
      <c r="E762" s="2">
        <v>100.44</v>
      </c>
      <c r="F762" s="2">
        <v>114.08</v>
      </c>
      <c r="H762" s="1">
        <f>_xlfn.XLOOKUP('Customer Info'!A325,'Customer Info'!A325:A424,'Customer Info'!E325:E424,0,0)</f>
        <v>0</v>
      </c>
      <c r="J762" s="1">
        <f>_xlfn.XLOOKUP('Customer Info'!A325,'Customer Info'!A325:A424,'Customer Info'!M325:M424)</f>
        <v>0</v>
      </c>
    </row>
    <row r="763" spans="1:10" ht="14" x14ac:dyDescent="0.2">
      <c r="A763" s="2" t="s">
        <v>88</v>
      </c>
      <c r="B763" s="2">
        <v>23</v>
      </c>
      <c r="C763" s="2">
        <v>8</v>
      </c>
      <c r="D763" s="2">
        <v>2021</v>
      </c>
      <c r="E763" s="2">
        <v>60.14</v>
      </c>
      <c r="F763" s="2">
        <v>114.08</v>
      </c>
      <c r="H763" s="1">
        <f>_xlfn.XLOOKUP('Customer Info'!A1803,'Customer Info'!A1803:A1902,'Customer Info'!E1803:E1902,0,0)</f>
        <v>0</v>
      </c>
      <c r="J763" s="1">
        <f>_xlfn.XLOOKUP('Customer Info'!A1803,'Customer Info'!A1803:A1902,'Customer Info'!M1803:M1902)</f>
        <v>0</v>
      </c>
    </row>
    <row r="764" spans="1:10" ht="14" hidden="1" x14ac:dyDescent="0.2">
      <c r="A764" s="2" t="s">
        <v>10</v>
      </c>
      <c r="B764" s="2">
        <v>18</v>
      </c>
      <c r="C764" s="2">
        <v>5</v>
      </c>
      <c r="D764" s="2">
        <v>2020</v>
      </c>
      <c r="E764" s="2">
        <v>0</v>
      </c>
      <c r="F764" s="2">
        <v>114.08</v>
      </c>
      <c r="H764" s="1">
        <f>_xlfn.XLOOKUP('Customer Info'!A1145,'Customer Info'!A1145:A1244,'Customer Info'!E1145:E1244,0,0)</f>
        <v>0</v>
      </c>
      <c r="J764" s="1">
        <f>_xlfn.XLOOKUP('Customer Info'!A1145,'Customer Info'!A1145:A1244,'Customer Info'!M1145:M1244)</f>
        <v>0</v>
      </c>
    </row>
    <row r="765" spans="1:10" ht="14" hidden="1" x14ac:dyDescent="0.2">
      <c r="A765" s="2" t="s">
        <v>11</v>
      </c>
      <c r="B765" s="2">
        <v>15</v>
      </c>
      <c r="C765" s="2">
        <v>7</v>
      </c>
      <c r="D765" s="2">
        <v>2020</v>
      </c>
      <c r="E765" s="2">
        <v>0</v>
      </c>
      <c r="F765" s="2">
        <v>114.08</v>
      </c>
      <c r="H765" s="1">
        <f>_xlfn.XLOOKUP('Customer Info'!A1146,'Customer Info'!A1146:A1245,'Customer Info'!E1146:E1245,0,0)</f>
        <v>0</v>
      </c>
      <c r="J765" s="1">
        <f>_xlfn.XLOOKUP('Customer Info'!A1146,'Customer Info'!A1146:A1245,'Customer Info'!M1146:M1245)</f>
        <v>0</v>
      </c>
    </row>
    <row r="766" spans="1:10" ht="14" hidden="1" x14ac:dyDescent="0.2">
      <c r="A766" s="2" t="s">
        <v>21</v>
      </c>
      <c r="B766" s="2">
        <v>15</v>
      </c>
      <c r="C766" s="2">
        <v>8</v>
      </c>
      <c r="D766" s="2">
        <v>2020</v>
      </c>
      <c r="E766" s="2">
        <v>0</v>
      </c>
      <c r="F766" s="2">
        <v>114.08</v>
      </c>
      <c r="H766" s="1">
        <f>_xlfn.XLOOKUP('Customer Info'!A1147,'Customer Info'!A1147:A1246,'Customer Info'!E1147:E1246,0,0)</f>
        <v>0</v>
      </c>
      <c r="J766" s="1">
        <f>_xlfn.XLOOKUP('Customer Info'!A1147,'Customer Info'!A1147:A1246,'Customer Info'!M1147:M1246)</f>
        <v>0</v>
      </c>
    </row>
    <row r="767" spans="1:10" ht="14" x14ac:dyDescent="0.2">
      <c r="A767" s="2" t="s">
        <v>15</v>
      </c>
      <c r="B767" s="2">
        <v>5</v>
      </c>
      <c r="C767" s="2">
        <v>8</v>
      </c>
      <c r="D767" s="2">
        <v>2021</v>
      </c>
      <c r="E767" s="2">
        <v>0</v>
      </c>
      <c r="F767" s="2">
        <v>114.08</v>
      </c>
      <c r="H767" s="1">
        <f>_xlfn.XLOOKUP('Customer Info'!A2355,'Customer Info'!A2355:A2454,'Customer Info'!E2355:E2454,0,0)</f>
        <v>0</v>
      </c>
      <c r="J767" s="1">
        <f>_xlfn.XLOOKUP('Customer Info'!A2355,'Customer Info'!A2355:A2454,'Customer Info'!M2355:M2454)</f>
        <v>0</v>
      </c>
    </row>
    <row r="768" spans="1:10" ht="14" hidden="1" x14ac:dyDescent="0.2">
      <c r="A768" s="2" t="s">
        <v>17</v>
      </c>
      <c r="B768" s="2">
        <v>8</v>
      </c>
      <c r="C768" s="2">
        <v>6</v>
      </c>
      <c r="D768" s="2">
        <v>2020</v>
      </c>
      <c r="E768" s="2">
        <v>0</v>
      </c>
      <c r="F768" s="2">
        <v>114</v>
      </c>
      <c r="H768" s="1">
        <f>_xlfn.XLOOKUP('Customer Info'!A1148,'Customer Info'!A1148:A1247,'Customer Info'!E1148:E1247,0,0)</f>
        <v>0</v>
      </c>
      <c r="J768" s="1">
        <f>_xlfn.XLOOKUP('Customer Info'!A1148,'Customer Info'!A1148:A1247,'Customer Info'!M1148:M1247)</f>
        <v>0</v>
      </c>
    </row>
    <row r="769" spans="1:10" ht="14" hidden="1" x14ac:dyDescent="0.2">
      <c r="A769" s="2" t="s">
        <v>20</v>
      </c>
      <c r="B769" s="2">
        <v>12</v>
      </c>
      <c r="C769" s="2">
        <v>7</v>
      </c>
      <c r="D769" s="2">
        <v>2020</v>
      </c>
      <c r="E769" s="1" t="s">
        <v>94</v>
      </c>
      <c r="F769" s="2">
        <v>113.77</v>
      </c>
      <c r="H769" s="1">
        <f>_xlfn.XLOOKUP('Customer Info'!A90,'Customer Info'!A90:A189,'Customer Info'!E90:E189,0,0)</f>
        <v>3</v>
      </c>
      <c r="I769" s="1" t="str">
        <f>_xlfn.XLOOKUP('Customer Info'!A90,'Customer Info'!A90:A189,'Customer Info'!J90:J189,0)</f>
        <v>Mpower</v>
      </c>
      <c r="J769" s="1" t="b">
        <f>_xlfn.XLOOKUP('Customer Info'!A90,'Customer Info'!A90:A189,'Customer Info'!M90:M189)</f>
        <v>0</v>
      </c>
    </row>
    <row r="770" spans="1:10" ht="14" hidden="1" x14ac:dyDescent="0.2">
      <c r="A770" s="2" t="s">
        <v>71</v>
      </c>
      <c r="B770" s="2">
        <v>21</v>
      </c>
      <c r="C770" s="2">
        <v>3</v>
      </c>
      <c r="D770" s="2">
        <v>2020</v>
      </c>
      <c r="E770" s="2">
        <v>88.66</v>
      </c>
      <c r="F770" s="2">
        <v>113.77</v>
      </c>
      <c r="H770" s="1">
        <f>_xlfn.XLOOKUP('Customer Info'!A402,'Customer Info'!A402:A501,'Customer Info'!E402:E501,0,0)</f>
        <v>0</v>
      </c>
      <c r="J770" s="1">
        <f>_xlfn.XLOOKUP('Customer Info'!A402,'Customer Info'!A402:A501,'Customer Info'!M402:M501)</f>
        <v>0</v>
      </c>
    </row>
    <row r="771" spans="1:10" ht="14" hidden="1" x14ac:dyDescent="0.2">
      <c r="A771" s="2" t="s">
        <v>12</v>
      </c>
      <c r="B771" s="2">
        <v>2</v>
      </c>
      <c r="C771" s="2">
        <v>5</v>
      </c>
      <c r="D771" s="2">
        <v>2020</v>
      </c>
      <c r="E771" s="2">
        <v>0</v>
      </c>
      <c r="F771" s="2">
        <v>113.77</v>
      </c>
      <c r="H771" s="1">
        <f>_xlfn.XLOOKUP('Customer Info'!A1149,'Customer Info'!A1149:A1248,'Customer Info'!E1149:E1248,0,0)</f>
        <v>0</v>
      </c>
      <c r="J771" s="1">
        <f>_xlfn.XLOOKUP('Customer Info'!A1149,'Customer Info'!A1149:A1248,'Customer Info'!M1149:M1248)</f>
        <v>0</v>
      </c>
    </row>
    <row r="772" spans="1:10" ht="14" x14ac:dyDescent="0.2">
      <c r="A772" s="2" t="s">
        <v>5</v>
      </c>
      <c r="B772" s="2">
        <v>7</v>
      </c>
      <c r="C772" s="2">
        <v>8</v>
      </c>
      <c r="D772" s="2">
        <v>2021</v>
      </c>
      <c r="E772" s="2">
        <v>0</v>
      </c>
      <c r="F772" s="2">
        <v>113.77</v>
      </c>
      <c r="H772" s="1">
        <f>_xlfn.XLOOKUP('Customer Info'!A2356,'Customer Info'!A2356:A2455,'Customer Info'!E2356:E2455,0,0)</f>
        <v>0</v>
      </c>
      <c r="J772" s="1">
        <f>_xlfn.XLOOKUP('Customer Info'!A2356,'Customer Info'!A2356:A2455,'Customer Info'!M2356:M2455)</f>
        <v>0</v>
      </c>
    </row>
    <row r="773" spans="1:10" ht="14" x14ac:dyDescent="0.2">
      <c r="A773" s="2" t="s">
        <v>22</v>
      </c>
      <c r="B773" s="2">
        <v>22</v>
      </c>
      <c r="C773" s="2">
        <v>9</v>
      </c>
      <c r="D773" s="2">
        <v>2021</v>
      </c>
      <c r="E773" s="1" t="s">
        <v>94</v>
      </c>
      <c r="F773" s="2">
        <v>113.7</v>
      </c>
      <c r="H773" s="1">
        <f>_xlfn.XLOOKUP('Customer Info'!A1286,'Customer Info'!A1286:A1385,'Customer Info'!E1286:E1385,0,0)</f>
        <v>0</v>
      </c>
      <c r="J773" s="1">
        <f>_xlfn.XLOOKUP('Customer Info'!A1286,'Customer Info'!A1286:A1385,'Customer Info'!M1286:M1385)</f>
        <v>0</v>
      </c>
    </row>
    <row r="774" spans="1:10" ht="14" hidden="1" x14ac:dyDescent="0.2">
      <c r="A774" s="2" t="s">
        <v>77</v>
      </c>
      <c r="B774" s="2">
        <v>16</v>
      </c>
      <c r="C774" s="2">
        <v>9</v>
      </c>
      <c r="D774" s="2">
        <v>2020</v>
      </c>
      <c r="E774" s="2">
        <v>55.2</v>
      </c>
      <c r="F774" s="2">
        <v>113.7</v>
      </c>
      <c r="H774" s="1">
        <f>_xlfn.XLOOKUP('Customer Info'!A610,'Customer Info'!A610:A709,'Customer Info'!E610:E709,0,0)</f>
        <v>0</v>
      </c>
      <c r="J774" s="1">
        <f>_xlfn.XLOOKUP('Customer Info'!A610,'Customer Info'!A610:A709,'Customer Info'!M610:M709)</f>
        <v>0</v>
      </c>
    </row>
    <row r="775" spans="1:10" ht="14" hidden="1" x14ac:dyDescent="0.2">
      <c r="A775" s="2" t="s">
        <v>83</v>
      </c>
      <c r="B775" s="2">
        <v>25</v>
      </c>
      <c r="C775" s="2">
        <v>10</v>
      </c>
      <c r="D775" s="2">
        <v>2020</v>
      </c>
      <c r="E775" s="2">
        <v>98.89</v>
      </c>
      <c r="F775" s="2">
        <v>113.46</v>
      </c>
      <c r="H775" s="1">
        <f>_xlfn.XLOOKUP('Customer Info'!A341,'Customer Info'!A341:A440,'Customer Info'!E341:E440,0,0)</f>
        <v>0</v>
      </c>
      <c r="J775" s="1">
        <f>_xlfn.XLOOKUP('Customer Info'!A341,'Customer Info'!A341:A440,'Customer Info'!M341:M440)</f>
        <v>0</v>
      </c>
    </row>
    <row r="776" spans="1:10" ht="14" hidden="1" x14ac:dyDescent="0.2">
      <c r="A776" s="2" t="s">
        <v>77</v>
      </c>
      <c r="B776" s="2">
        <v>16</v>
      </c>
      <c r="C776" s="2">
        <v>11</v>
      </c>
      <c r="D776" s="2">
        <v>2020</v>
      </c>
      <c r="E776" s="2">
        <v>99.3</v>
      </c>
      <c r="F776" s="2">
        <v>113.4</v>
      </c>
      <c r="H776" s="1">
        <f>_xlfn.XLOOKUP('Customer Info'!A336,'Customer Info'!A336:A435,'Customer Info'!E336:E435,0,0)</f>
        <v>0</v>
      </c>
      <c r="J776" s="1">
        <f>_xlfn.XLOOKUP('Customer Info'!A336,'Customer Info'!A336:A435,'Customer Info'!M336:M435)</f>
        <v>0</v>
      </c>
    </row>
    <row r="777" spans="1:10" ht="14" x14ac:dyDescent="0.2">
      <c r="A777" s="2" t="s">
        <v>79</v>
      </c>
      <c r="B777" s="2">
        <v>3</v>
      </c>
      <c r="C777" s="2">
        <v>5</v>
      </c>
      <c r="D777" s="2">
        <v>2021</v>
      </c>
      <c r="E777" s="2">
        <v>54.56</v>
      </c>
      <c r="F777" s="2">
        <v>113.15</v>
      </c>
      <c r="H777" s="1">
        <f>_xlfn.XLOOKUP('Customer Info'!A1834,'Customer Info'!A1834:A1933,'Customer Info'!E1834:E1933,0,0)</f>
        <v>0</v>
      </c>
      <c r="J777" s="1">
        <f>_xlfn.XLOOKUP('Customer Info'!A1834,'Customer Info'!A1834:A1933,'Customer Info'!M1834:M1933)</f>
        <v>0</v>
      </c>
    </row>
    <row r="778" spans="1:10" ht="14" hidden="1" x14ac:dyDescent="0.2">
      <c r="A778" s="2" t="s">
        <v>22</v>
      </c>
      <c r="B778" s="2">
        <v>22</v>
      </c>
      <c r="C778" s="2">
        <v>8</v>
      </c>
      <c r="D778" s="2">
        <v>2020</v>
      </c>
      <c r="E778" s="2">
        <v>0</v>
      </c>
      <c r="F778" s="2">
        <v>113.15</v>
      </c>
      <c r="H778" s="1">
        <f>_xlfn.XLOOKUP('Customer Info'!A1150,'Customer Info'!A1150:A1249,'Customer Info'!E1150:E1249,0,0)</f>
        <v>0</v>
      </c>
      <c r="J778" s="1">
        <f>_xlfn.XLOOKUP('Customer Info'!A1150,'Customer Info'!A1150:A1249,'Customer Info'!M1150:M1249)</f>
        <v>0</v>
      </c>
    </row>
    <row r="779" spans="1:10" ht="14" x14ac:dyDescent="0.2">
      <c r="A779" s="2" t="s">
        <v>6</v>
      </c>
      <c r="B779" s="2">
        <v>7</v>
      </c>
      <c r="C779" s="2">
        <v>5</v>
      </c>
      <c r="D779" s="2">
        <v>2021</v>
      </c>
      <c r="E779" s="2">
        <v>0</v>
      </c>
      <c r="F779" s="2">
        <v>113.15</v>
      </c>
      <c r="H779" s="1">
        <f>_xlfn.XLOOKUP('Customer Info'!A2357,'Customer Info'!A2357:A2456,'Customer Info'!E2357:E2456,0,0)</f>
        <v>0</v>
      </c>
      <c r="J779" s="1">
        <f>_xlfn.XLOOKUP('Customer Info'!A2357,'Customer Info'!A2357:A2456,'Customer Info'!M2357:M2456)</f>
        <v>0</v>
      </c>
    </row>
    <row r="780" spans="1:10" ht="14" hidden="1" x14ac:dyDescent="0.2">
      <c r="A780" s="2" t="s">
        <v>4</v>
      </c>
      <c r="B780" s="2">
        <v>1</v>
      </c>
      <c r="C780" s="2">
        <v>6</v>
      </c>
      <c r="D780" s="2">
        <v>2020</v>
      </c>
      <c r="E780" s="2">
        <v>0</v>
      </c>
      <c r="F780" s="2">
        <v>113.1</v>
      </c>
      <c r="H780" s="1">
        <f>_xlfn.XLOOKUP('Customer Info'!A1151,'Customer Info'!A1151:A1250,'Customer Info'!E1151:E1250,0,0)</f>
        <v>0</v>
      </c>
      <c r="J780" s="1">
        <f>_xlfn.XLOOKUP('Customer Info'!A1151,'Customer Info'!A1151:A1250,'Customer Info'!M1151:M1250)</f>
        <v>0</v>
      </c>
    </row>
    <row r="781" spans="1:10" ht="14" x14ac:dyDescent="0.2">
      <c r="A781" s="2" t="s">
        <v>9</v>
      </c>
      <c r="B781" s="2">
        <v>22</v>
      </c>
      <c r="C781" s="2">
        <v>9</v>
      </c>
      <c r="D781" s="2">
        <v>2021</v>
      </c>
      <c r="E781" s="2">
        <v>0</v>
      </c>
      <c r="F781" s="2">
        <v>113.1</v>
      </c>
      <c r="H781" s="1">
        <f>_xlfn.XLOOKUP('Customer Info'!A2358,'Customer Info'!A2358:A2457,'Customer Info'!E2358:E2457,0,0)</f>
        <v>0</v>
      </c>
      <c r="J781" s="1">
        <f>_xlfn.XLOOKUP('Customer Info'!A2358,'Customer Info'!A2358:A2457,'Customer Info'!M2358:M2457)</f>
        <v>0</v>
      </c>
    </row>
    <row r="782" spans="1:10" ht="14" hidden="1" x14ac:dyDescent="0.2">
      <c r="A782" s="2" t="s">
        <v>97</v>
      </c>
      <c r="B782" s="2">
        <v>12</v>
      </c>
      <c r="C782" s="2">
        <v>5</v>
      </c>
      <c r="D782" s="2">
        <v>2020</v>
      </c>
      <c r="E782" s="1" t="s">
        <v>94</v>
      </c>
      <c r="F782" s="2">
        <v>112.84</v>
      </c>
      <c r="H782" s="1">
        <f>_xlfn.XLOOKUP('Customer Info'!A91,'Customer Info'!A91:A190,'Customer Info'!E91:E190,0,0)</f>
        <v>4</v>
      </c>
      <c r="I782" s="1" t="str">
        <f>_xlfn.XLOOKUP('Customer Info'!A91,'Customer Info'!A91:A190,'Customer Info'!J91:J190,0)</f>
        <v>SSW</v>
      </c>
      <c r="J782" s="1" t="b">
        <f>_xlfn.XLOOKUP('Customer Info'!A91,'Customer Info'!A91:A190,'Customer Info'!M91:M190)</f>
        <v>0</v>
      </c>
    </row>
    <row r="783" spans="1:10" ht="14" x14ac:dyDescent="0.2">
      <c r="A783" s="2" t="s">
        <v>2</v>
      </c>
      <c r="B783" s="2">
        <v>18</v>
      </c>
      <c r="C783" s="2">
        <v>10</v>
      </c>
      <c r="D783" s="2">
        <v>2021</v>
      </c>
      <c r="E783" s="2">
        <v>0</v>
      </c>
      <c r="F783" s="2">
        <v>112.84</v>
      </c>
      <c r="H783" s="1">
        <f>_xlfn.XLOOKUP('Customer Info'!A2359,'Customer Info'!A2359:A2458,'Customer Info'!E2359:E2458,0,0)</f>
        <v>0</v>
      </c>
      <c r="J783" s="1">
        <f>_xlfn.XLOOKUP('Customer Info'!A2359,'Customer Info'!A2359:A2458,'Customer Info'!M2359:M2458)</f>
        <v>0</v>
      </c>
    </row>
    <row r="784" spans="1:10" ht="14" x14ac:dyDescent="0.2">
      <c r="A784" s="2" t="s">
        <v>72</v>
      </c>
      <c r="B784" s="2">
        <v>22</v>
      </c>
      <c r="C784" s="2">
        <v>10</v>
      </c>
      <c r="D784" s="2">
        <v>2021</v>
      </c>
      <c r="E784" s="2">
        <v>86.8</v>
      </c>
      <c r="F784" s="2">
        <v>112.53</v>
      </c>
      <c r="H784" s="1">
        <f>_xlfn.XLOOKUP('Customer Info'!A1629,'Customer Info'!A1629:A1728,'Customer Info'!E1629:E1728,0,0)</f>
        <v>0</v>
      </c>
      <c r="J784" s="1">
        <f>_xlfn.XLOOKUP('Customer Info'!A1629,'Customer Info'!A1629:A1728,'Customer Info'!M1629:M1728)</f>
        <v>0</v>
      </c>
    </row>
    <row r="785" spans="1:10" ht="14" x14ac:dyDescent="0.2">
      <c r="A785" s="2" t="s">
        <v>99</v>
      </c>
      <c r="B785" s="2">
        <v>10</v>
      </c>
      <c r="C785" s="2">
        <v>9</v>
      </c>
      <c r="D785" s="2">
        <v>2021</v>
      </c>
      <c r="E785" s="1" t="s">
        <v>94</v>
      </c>
      <c r="F785" s="2">
        <v>112.5</v>
      </c>
      <c r="H785" s="1">
        <f>_xlfn.XLOOKUP('Customer Info'!A1287,'Customer Info'!A1287:A1386,'Customer Info'!E1287:E1386,0,0)</f>
        <v>0</v>
      </c>
      <c r="J785" s="1">
        <f>_xlfn.XLOOKUP('Customer Info'!A1287,'Customer Info'!A1287:A1386,'Customer Info'!M1287:M1386)</f>
        <v>0</v>
      </c>
    </row>
    <row r="786" spans="1:10" ht="14" hidden="1" x14ac:dyDescent="0.2">
      <c r="A786" s="2" t="s">
        <v>7</v>
      </c>
      <c r="B786" s="2">
        <v>20</v>
      </c>
      <c r="C786" s="2">
        <v>6</v>
      </c>
      <c r="D786" s="2">
        <v>2020</v>
      </c>
      <c r="E786" s="2">
        <v>0</v>
      </c>
      <c r="F786" s="2">
        <v>112.5</v>
      </c>
      <c r="H786" s="1">
        <f>_xlfn.XLOOKUP('Customer Info'!A1152,'Customer Info'!A1152:A1251,'Customer Info'!E1152:E1251,0,0)</f>
        <v>0</v>
      </c>
      <c r="J786" s="1">
        <f>_xlfn.XLOOKUP('Customer Info'!A1152,'Customer Info'!A1152:A1251,'Customer Info'!M1152:M1251)</f>
        <v>0</v>
      </c>
    </row>
    <row r="787" spans="1:10" ht="14" hidden="1" x14ac:dyDescent="0.2">
      <c r="A787" s="2" t="s">
        <v>4</v>
      </c>
      <c r="B787" s="2">
        <v>1</v>
      </c>
      <c r="C787" s="2">
        <v>8</v>
      </c>
      <c r="D787" s="2">
        <v>2020</v>
      </c>
      <c r="E787" s="2">
        <v>0</v>
      </c>
      <c r="F787" s="2">
        <v>112.22</v>
      </c>
      <c r="H787" s="1">
        <f>_xlfn.XLOOKUP('Customer Info'!A1153,'Customer Info'!A1153:A1252,'Customer Info'!E1153:E1252,0,0)</f>
        <v>0</v>
      </c>
      <c r="J787" s="1">
        <f>_xlfn.XLOOKUP('Customer Info'!A1153,'Customer Info'!A1153:A1252,'Customer Info'!M1153:M1252)</f>
        <v>0</v>
      </c>
    </row>
    <row r="788" spans="1:10" ht="14" x14ac:dyDescent="0.2">
      <c r="A788" s="2" t="s">
        <v>3</v>
      </c>
      <c r="B788" s="2">
        <v>25</v>
      </c>
      <c r="C788" s="2">
        <v>7</v>
      </c>
      <c r="D788" s="2">
        <v>2021</v>
      </c>
      <c r="E788" s="2">
        <v>0</v>
      </c>
      <c r="F788" s="2">
        <v>112.22</v>
      </c>
      <c r="H788" s="1">
        <f>_xlfn.XLOOKUP('Customer Info'!A2360,'Customer Info'!A2360:A2459,'Customer Info'!E2360:E2459,0,0)</f>
        <v>0</v>
      </c>
      <c r="J788" s="1">
        <f>_xlfn.XLOOKUP('Customer Info'!A2360,'Customer Info'!A2360:A2459,'Customer Info'!M2360:M2459)</f>
        <v>0</v>
      </c>
    </row>
    <row r="789" spans="1:10" ht="14" hidden="1" x14ac:dyDescent="0.2">
      <c r="A789" s="2" t="s">
        <v>97</v>
      </c>
      <c r="B789" s="2">
        <v>12</v>
      </c>
      <c r="C789" s="2">
        <v>9</v>
      </c>
      <c r="D789" s="2">
        <v>2020</v>
      </c>
      <c r="E789" s="1" t="s">
        <v>94</v>
      </c>
      <c r="F789" s="2">
        <v>112.2</v>
      </c>
      <c r="H789" s="1">
        <f>_xlfn.XLOOKUP('Customer Info'!A92,'Customer Info'!A92:A191,'Customer Info'!E92:E191,0,0)</f>
        <v>3</v>
      </c>
      <c r="I789" s="1" t="str">
        <f>_xlfn.XLOOKUP('Customer Info'!A92,'Customer Info'!A92:A191,'Customer Info'!J92:J191,0)</f>
        <v>Mpower</v>
      </c>
      <c r="J789" s="1" t="b">
        <f>_xlfn.XLOOKUP('Customer Info'!A92,'Customer Info'!A92:A191,'Customer Info'!M92:M191)</f>
        <v>0</v>
      </c>
    </row>
    <row r="790" spans="1:10" ht="14" x14ac:dyDescent="0.2">
      <c r="A790" s="2" t="s">
        <v>77</v>
      </c>
      <c r="B790" s="2">
        <v>16</v>
      </c>
      <c r="C790" s="2">
        <v>9</v>
      </c>
      <c r="D790" s="2">
        <v>2021</v>
      </c>
      <c r="E790" s="2">
        <v>62.1</v>
      </c>
      <c r="F790" s="2">
        <v>112.2</v>
      </c>
      <c r="H790" s="1">
        <f>_xlfn.XLOOKUP('Customer Info'!A1793,'Customer Info'!A1793:A1892,'Customer Info'!E1793:E1892,0,0)</f>
        <v>0</v>
      </c>
      <c r="J790" s="1">
        <f>_xlfn.XLOOKUP('Customer Info'!A1793,'Customer Info'!A1793:A1892,'Customer Info'!M1793:M1892)</f>
        <v>0</v>
      </c>
    </row>
    <row r="791" spans="1:10" ht="14" x14ac:dyDescent="0.2">
      <c r="A791" s="2" t="s">
        <v>12</v>
      </c>
      <c r="B791" s="2">
        <v>2</v>
      </c>
      <c r="C791" s="2">
        <v>9</v>
      </c>
      <c r="D791" s="2">
        <v>2021</v>
      </c>
      <c r="E791" s="2">
        <v>0</v>
      </c>
      <c r="F791" s="2">
        <v>112.2</v>
      </c>
      <c r="H791" s="1">
        <f>_xlfn.XLOOKUP('Customer Info'!A2361,'Customer Info'!A2361:A2460,'Customer Info'!E2361:E2460,0,0)</f>
        <v>0</v>
      </c>
      <c r="J791" s="1">
        <f>_xlfn.XLOOKUP('Customer Info'!A2361,'Customer Info'!A2361:A2460,'Customer Info'!M2361:M2460)</f>
        <v>0</v>
      </c>
    </row>
    <row r="792" spans="1:10" ht="14" x14ac:dyDescent="0.2">
      <c r="A792" s="2" t="s">
        <v>54</v>
      </c>
      <c r="B792" s="2">
        <v>5</v>
      </c>
      <c r="C792" s="2">
        <v>1</v>
      </c>
      <c r="D792" s="2">
        <v>2021</v>
      </c>
      <c r="E792" s="2">
        <v>133.61000000000001</v>
      </c>
      <c r="F792" s="2">
        <v>111.91</v>
      </c>
      <c r="H792" s="1">
        <f>_xlfn.XLOOKUP('Customer Info'!A1385,'Customer Info'!A1385:A1484,'Customer Info'!E1385:E1484,0,0)</f>
        <v>0</v>
      </c>
      <c r="J792" s="1">
        <f>_xlfn.XLOOKUP('Customer Info'!A1385,'Customer Info'!A1385:A1484,'Customer Info'!M1385:M1484)</f>
        <v>0</v>
      </c>
    </row>
    <row r="793" spans="1:10" ht="14" x14ac:dyDescent="0.2">
      <c r="A793" s="2" t="s">
        <v>77</v>
      </c>
      <c r="B793" s="2">
        <v>16</v>
      </c>
      <c r="C793" s="2">
        <v>3</v>
      </c>
      <c r="D793" s="2">
        <v>2021</v>
      </c>
      <c r="E793" s="2">
        <v>90.83</v>
      </c>
      <c r="F793" s="2">
        <v>111.91</v>
      </c>
      <c r="H793" s="1">
        <f>_xlfn.XLOOKUP('Customer Info'!A1607,'Customer Info'!A1607:A1706,'Customer Info'!E1607:E1706,0,0)</f>
        <v>0</v>
      </c>
      <c r="J793" s="1">
        <f>_xlfn.XLOOKUP('Customer Info'!A1607,'Customer Info'!A1607:A1706,'Customer Info'!M1607:M1706)</f>
        <v>0</v>
      </c>
    </row>
    <row r="794" spans="1:10" ht="14" hidden="1" x14ac:dyDescent="0.2">
      <c r="A794" s="2" t="s">
        <v>5</v>
      </c>
      <c r="B794" s="2">
        <v>7</v>
      </c>
      <c r="C794" s="2">
        <v>10</v>
      </c>
      <c r="D794" s="2">
        <v>2020</v>
      </c>
      <c r="E794" s="2">
        <v>0</v>
      </c>
      <c r="F794" s="2">
        <v>111.91</v>
      </c>
      <c r="H794" s="1">
        <f>_xlfn.XLOOKUP('Customer Info'!A1154,'Customer Info'!A1154:A1253,'Customer Info'!E1154:E1253,0,0)</f>
        <v>0</v>
      </c>
      <c r="J794" s="1">
        <f>_xlfn.XLOOKUP('Customer Info'!A1154,'Customer Info'!A1154:A1253,'Customer Info'!M1154:M1253)</f>
        <v>0</v>
      </c>
    </row>
    <row r="795" spans="1:10" ht="14" x14ac:dyDescent="0.2">
      <c r="A795" s="2" t="s">
        <v>9</v>
      </c>
      <c r="B795" s="2">
        <v>22</v>
      </c>
      <c r="C795" s="2">
        <v>7</v>
      </c>
      <c r="D795" s="2">
        <v>2021</v>
      </c>
      <c r="E795" s="2">
        <v>0</v>
      </c>
      <c r="F795" s="2">
        <v>111.91</v>
      </c>
      <c r="H795" s="1">
        <f>_xlfn.XLOOKUP('Customer Info'!A2362,'Customer Info'!A2362:A2461,'Customer Info'!E2362:E2461,0,0)</f>
        <v>0</v>
      </c>
      <c r="J795" s="1">
        <f>_xlfn.XLOOKUP('Customer Info'!A2362,'Customer Info'!A2362:A2461,'Customer Info'!M2362:M2461)</f>
        <v>0</v>
      </c>
    </row>
    <row r="796" spans="1:10" ht="14" x14ac:dyDescent="0.2">
      <c r="A796" s="2" t="s">
        <v>4</v>
      </c>
      <c r="B796" s="2">
        <v>1</v>
      </c>
      <c r="C796" s="2">
        <v>8</v>
      </c>
      <c r="D796" s="2">
        <v>2021</v>
      </c>
      <c r="E796" s="2">
        <v>0</v>
      </c>
      <c r="F796" s="2">
        <v>111.91</v>
      </c>
      <c r="H796" s="1">
        <f>_xlfn.XLOOKUP('Customer Info'!A2363,'Customer Info'!A2363:A2462,'Customer Info'!E2363:E2462,0,0)</f>
        <v>0</v>
      </c>
      <c r="J796" s="1">
        <f>_xlfn.XLOOKUP('Customer Info'!A2363,'Customer Info'!A2363:A2462,'Customer Info'!M2363:M2462)</f>
        <v>0</v>
      </c>
    </row>
    <row r="797" spans="1:10" ht="14" x14ac:dyDescent="0.2">
      <c r="A797" s="2" t="s">
        <v>71</v>
      </c>
      <c r="B797" s="2">
        <v>21</v>
      </c>
      <c r="C797" s="2">
        <v>4</v>
      </c>
      <c r="D797" s="2">
        <v>2021</v>
      </c>
      <c r="E797" s="2">
        <v>81.599999999999994</v>
      </c>
      <c r="F797" s="2">
        <v>111.9</v>
      </c>
      <c r="H797" s="1">
        <f>_xlfn.XLOOKUP('Customer Info'!A1656,'Customer Info'!A1656:A1755,'Customer Info'!E1656:E1755,0,0)</f>
        <v>0</v>
      </c>
      <c r="J797" s="1">
        <f>_xlfn.XLOOKUP('Customer Info'!A1656,'Customer Info'!A1656:A1755,'Customer Info'!M1656:M1755)</f>
        <v>0</v>
      </c>
    </row>
    <row r="798" spans="1:10" ht="14" hidden="1" x14ac:dyDescent="0.2">
      <c r="A798" s="2" t="s">
        <v>15</v>
      </c>
      <c r="B798" s="2">
        <v>5</v>
      </c>
      <c r="C798" s="2">
        <v>9</v>
      </c>
      <c r="D798" s="2">
        <v>2020</v>
      </c>
      <c r="E798" s="2">
        <v>0</v>
      </c>
      <c r="F798" s="2">
        <v>111.9</v>
      </c>
      <c r="H798" s="1">
        <f>_xlfn.XLOOKUP('Customer Info'!A1155,'Customer Info'!A1155:A1254,'Customer Info'!E1155:E1254,0,0)</f>
        <v>0</v>
      </c>
      <c r="J798" s="1">
        <f>_xlfn.XLOOKUP('Customer Info'!A1155,'Customer Info'!A1155:A1254,'Customer Info'!M1155:M1254)</f>
        <v>0</v>
      </c>
    </row>
    <row r="799" spans="1:10" ht="14" hidden="1" x14ac:dyDescent="0.2">
      <c r="A799" s="2" t="s">
        <v>2</v>
      </c>
      <c r="B799" s="2">
        <v>18</v>
      </c>
      <c r="C799" s="2">
        <v>5</v>
      </c>
      <c r="D799" s="2">
        <v>2020</v>
      </c>
      <c r="E799" s="1" t="s">
        <v>94</v>
      </c>
      <c r="F799" s="2">
        <v>111.6</v>
      </c>
      <c r="H799" s="1">
        <f>_xlfn.XLOOKUP('Customer Info'!A93,'Customer Info'!A93:A192,'Customer Info'!E93:E192,0,0)</f>
        <v>3</v>
      </c>
      <c r="I799" s="1" t="str">
        <f>_xlfn.XLOOKUP('Customer Info'!A93,'Customer Info'!A93:A192,'Customer Info'!J93:J192,0)</f>
        <v>SSW</v>
      </c>
      <c r="J799" s="1" t="b">
        <f>_xlfn.XLOOKUP('Customer Info'!A93,'Customer Info'!A93:A192,'Customer Info'!M93:M192)</f>
        <v>0</v>
      </c>
    </row>
    <row r="800" spans="1:10" ht="14" hidden="1" x14ac:dyDescent="0.2">
      <c r="A800" s="2" t="s">
        <v>77</v>
      </c>
      <c r="B800" s="2">
        <v>16</v>
      </c>
      <c r="C800" s="2">
        <v>12</v>
      </c>
      <c r="D800" s="2">
        <v>2020</v>
      </c>
      <c r="E800" s="2">
        <v>136.09</v>
      </c>
      <c r="F800" s="2">
        <v>111.6</v>
      </c>
      <c r="H800" s="1">
        <f>_xlfn.XLOOKUP('Customer Info'!A167,'Customer Info'!A167:A266,'Customer Info'!E167:E266,0,0)</f>
        <v>0</v>
      </c>
      <c r="J800" s="1">
        <f>_xlfn.XLOOKUP('Customer Info'!A167,'Customer Info'!A167:A266,'Customer Info'!M167:M266)</f>
        <v>0</v>
      </c>
    </row>
    <row r="801" spans="1:10" ht="14" x14ac:dyDescent="0.2">
      <c r="A801" s="2" t="s">
        <v>79</v>
      </c>
      <c r="B801" s="2">
        <v>3</v>
      </c>
      <c r="C801" s="2">
        <v>11</v>
      </c>
      <c r="D801" s="2">
        <v>2021</v>
      </c>
      <c r="E801" s="2">
        <v>120.9</v>
      </c>
      <c r="F801" s="2">
        <v>111.6</v>
      </c>
      <c r="H801" s="1">
        <f>_xlfn.XLOOKUP('Customer Info'!A1433,'Customer Info'!A1433:A1532,'Customer Info'!E1433:E1532,0,0)</f>
        <v>0</v>
      </c>
      <c r="J801" s="1">
        <f>_xlfn.XLOOKUP('Customer Info'!A1433,'Customer Info'!A1433:A1532,'Customer Info'!M1433:M1532)</f>
        <v>0</v>
      </c>
    </row>
    <row r="802" spans="1:10" ht="14" x14ac:dyDescent="0.2">
      <c r="A802" s="2" t="s">
        <v>71</v>
      </c>
      <c r="B802" s="2">
        <v>21</v>
      </c>
      <c r="C802" s="2">
        <v>6</v>
      </c>
      <c r="D802" s="2">
        <v>2021</v>
      </c>
      <c r="E802" s="2">
        <v>50.1</v>
      </c>
      <c r="F802" s="2">
        <v>111.6</v>
      </c>
      <c r="H802" s="1">
        <f>_xlfn.XLOOKUP('Customer Info'!A1864,'Customer Info'!A1864:A1963,'Customer Info'!E1864:E1963,0,0)</f>
        <v>0</v>
      </c>
      <c r="J802" s="1">
        <f>_xlfn.XLOOKUP('Customer Info'!A1864,'Customer Info'!A1864:A1963,'Customer Info'!M1864:M1963)</f>
        <v>0</v>
      </c>
    </row>
    <row r="803" spans="1:10" ht="14" hidden="1" x14ac:dyDescent="0.2">
      <c r="A803" s="2" t="s">
        <v>22</v>
      </c>
      <c r="B803" s="2">
        <v>22</v>
      </c>
      <c r="C803" s="2">
        <v>6</v>
      </c>
      <c r="D803" s="2">
        <v>2020</v>
      </c>
      <c r="E803" s="2">
        <v>0</v>
      </c>
      <c r="F803" s="2">
        <v>111.6</v>
      </c>
      <c r="H803" s="1">
        <f>_xlfn.XLOOKUP('Customer Info'!A1156,'Customer Info'!A1156:A1255,'Customer Info'!E1156:E1255,0,0)</f>
        <v>0</v>
      </c>
      <c r="J803" s="1">
        <f>_xlfn.XLOOKUP('Customer Info'!A1156,'Customer Info'!A1156:A1255,'Customer Info'!M1156:M1255)</f>
        <v>0</v>
      </c>
    </row>
    <row r="804" spans="1:10" ht="14" hidden="1" x14ac:dyDescent="0.2">
      <c r="A804" s="2" t="s">
        <v>19</v>
      </c>
      <c r="B804" s="2">
        <v>24</v>
      </c>
      <c r="C804" s="2">
        <v>9</v>
      </c>
      <c r="D804" s="2">
        <v>2020</v>
      </c>
      <c r="E804" s="2">
        <v>0</v>
      </c>
      <c r="F804" s="2">
        <v>111.6</v>
      </c>
      <c r="H804" s="1">
        <f>_xlfn.XLOOKUP('Customer Info'!A1157,'Customer Info'!A1157:A1256,'Customer Info'!E1157:E1256,0,0)</f>
        <v>0</v>
      </c>
      <c r="J804" s="1">
        <f>_xlfn.XLOOKUP('Customer Info'!A1157,'Customer Info'!A1157:A1256,'Customer Info'!M1157:M1256)</f>
        <v>0</v>
      </c>
    </row>
    <row r="805" spans="1:10" ht="14" x14ac:dyDescent="0.2">
      <c r="A805" s="2" t="s">
        <v>5</v>
      </c>
      <c r="B805" s="2">
        <v>7</v>
      </c>
      <c r="C805" s="2">
        <v>9</v>
      </c>
      <c r="D805" s="2">
        <v>2021</v>
      </c>
      <c r="E805" s="2">
        <v>0</v>
      </c>
      <c r="F805" s="2">
        <v>111.6</v>
      </c>
      <c r="H805" s="1">
        <f>_xlfn.XLOOKUP('Customer Info'!A2364,'Customer Info'!A2364:A2463,'Customer Info'!E2364:E2463,0,0)</f>
        <v>0</v>
      </c>
      <c r="J805" s="1">
        <f>_xlfn.XLOOKUP('Customer Info'!A2364,'Customer Info'!A2364:A2463,'Customer Info'!M2364:M2463)</f>
        <v>0</v>
      </c>
    </row>
    <row r="806" spans="1:10" ht="14" x14ac:dyDescent="0.2">
      <c r="A806" s="2" t="s">
        <v>54</v>
      </c>
      <c r="B806" s="2">
        <v>5</v>
      </c>
      <c r="C806" s="2">
        <v>6</v>
      </c>
      <c r="D806" s="2">
        <v>2021</v>
      </c>
      <c r="E806" s="2">
        <v>36.6</v>
      </c>
      <c r="F806" s="2">
        <v>111.3</v>
      </c>
      <c r="H806" s="1">
        <f>_xlfn.XLOOKUP('Customer Info'!A1976,'Customer Info'!A1976:A2075,'Customer Info'!E1976:E2075,0,0)</f>
        <v>0</v>
      </c>
      <c r="J806" s="1">
        <f>_xlfn.XLOOKUP('Customer Info'!A1976,'Customer Info'!A1976:A2075,'Customer Info'!M1976:M2075)</f>
        <v>0</v>
      </c>
    </row>
    <row r="807" spans="1:10" ht="14" x14ac:dyDescent="0.2">
      <c r="A807" s="2" t="s">
        <v>3</v>
      </c>
      <c r="B807" s="2">
        <v>25</v>
      </c>
      <c r="C807" s="2">
        <v>6</v>
      </c>
      <c r="D807" s="2">
        <v>2021</v>
      </c>
      <c r="E807" s="2">
        <v>0</v>
      </c>
      <c r="F807" s="2">
        <v>111.3</v>
      </c>
      <c r="H807" s="1">
        <f>_xlfn.XLOOKUP('Customer Info'!A2365,'Customer Info'!A2365:A2464,'Customer Info'!E2365:E2464,0,0)</f>
        <v>0</v>
      </c>
      <c r="J807" s="1">
        <f>_xlfn.XLOOKUP('Customer Info'!A2365,'Customer Info'!A2365:A2464,'Customer Info'!M2365:M2464)</f>
        <v>0</v>
      </c>
    </row>
    <row r="808" spans="1:10" ht="14" hidden="1" x14ac:dyDescent="0.2">
      <c r="A808" s="2" t="s">
        <v>5</v>
      </c>
      <c r="B808" s="2">
        <v>7</v>
      </c>
      <c r="C808" s="2">
        <v>7</v>
      </c>
      <c r="D808" s="2">
        <v>2020</v>
      </c>
      <c r="E808" s="1" t="s">
        <v>94</v>
      </c>
      <c r="F808" s="2">
        <v>111.29</v>
      </c>
      <c r="H808" s="1">
        <f>_xlfn.XLOOKUP('Customer Info'!A94,'Customer Info'!A94:A193,'Customer Info'!E94:E193,0,0)</f>
        <v>2</v>
      </c>
      <c r="I808" s="1" t="str">
        <f>_xlfn.XLOOKUP('Customer Info'!A94,'Customer Info'!A94:A193,'Customer Info'!J94:J193,0)</f>
        <v>SSW</v>
      </c>
      <c r="J808" s="1" t="b">
        <f>_xlfn.XLOOKUP('Customer Info'!A94,'Customer Info'!A94:A193,'Customer Info'!M94:M193)</f>
        <v>0</v>
      </c>
    </row>
    <row r="809" spans="1:10" ht="14" x14ac:dyDescent="0.2">
      <c r="A809" s="2" t="s">
        <v>77</v>
      </c>
      <c r="B809" s="2">
        <v>16</v>
      </c>
      <c r="C809" s="2">
        <v>11</v>
      </c>
      <c r="D809" s="2">
        <v>2021</v>
      </c>
      <c r="E809" s="2">
        <v>154.80000000000001</v>
      </c>
      <c r="F809" s="2">
        <v>111</v>
      </c>
      <c r="H809" s="1">
        <f>_xlfn.XLOOKUP('Customer Info'!A1346,'Customer Info'!A1346:A1445,'Customer Info'!E1346:E1445,0,0)</f>
        <v>0</v>
      </c>
      <c r="J809" s="1">
        <f>_xlfn.XLOOKUP('Customer Info'!A1346,'Customer Info'!A1346:A1445,'Customer Info'!M1346:M1445)</f>
        <v>0</v>
      </c>
    </row>
    <row r="810" spans="1:10" ht="14" hidden="1" x14ac:dyDescent="0.2">
      <c r="A810" s="2" t="s">
        <v>3</v>
      </c>
      <c r="B810" s="2">
        <v>25</v>
      </c>
      <c r="C810" s="2">
        <v>9</v>
      </c>
      <c r="D810" s="2">
        <v>2020</v>
      </c>
      <c r="E810" s="2">
        <v>0</v>
      </c>
      <c r="F810" s="2">
        <v>111</v>
      </c>
      <c r="H810" s="1">
        <f>_xlfn.XLOOKUP('Customer Info'!A1158,'Customer Info'!A1158:A1257,'Customer Info'!E1158:E1257,0,0)</f>
        <v>0</v>
      </c>
      <c r="J810" s="1">
        <f>_xlfn.XLOOKUP('Customer Info'!A1158,'Customer Info'!A1158:A1257,'Customer Info'!M1158:M1257)</f>
        <v>0</v>
      </c>
    </row>
    <row r="811" spans="1:10" ht="14" hidden="1" x14ac:dyDescent="0.2">
      <c r="A811" s="2" t="s">
        <v>71</v>
      </c>
      <c r="B811" s="2">
        <v>21</v>
      </c>
      <c r="C811" s="2">
        <v>8</v>
      </c>
      <c r="D811" s="2">
        <v>2020</v>
      </c>
      <c r="E811" s="2">
        <v>44.95</v>
      </c>
      <c r="F811" s="2">
        <v>110.98</v>
      </c>
      <c r="H811" s="1">
        <f>_xlfn.XLOOKUP('Customer Info'!A685,'Customer Info'!A685:A784,'Customer Info'!E685:E784,0,0)</f>
        <v>0</v>
      </c>
      <c r="J811" s="1">
        <f>_xlfn.XLOOKUP('Customer Info'!A685,'Customer Info'!A685:A784,'Customer Info'!M685:M784)</f>
        <v>0</v>
      </c>
    </row>
    <row r="812" spans="1:10" ht="14" hidden="1" x14ac:dyDescent="0.2">
      <c r="A812" s="2" t="s">
        <v>9</v>
      </c>
      <c r="B812" s="2">
        <v>22</v>
      </c>
      <c r="C812" s="2">
        <v>7</v>
      </c>
      <c r="D812" s="2">
        <v>2020</v>
      </c>
      <c r="E812" s="2">
        <v>0</v>
      </c>
      <c r="F812" s="2">
        <v>110.98</v>
      </c>
      <c r="H812" s="1">
        <f>_xlfn.XLOOKUP('Customer Info'!A1159,'Customer Info'!A1159:A1258,'Customer Info'!E1159:E1258,0,0)</f>
        <v>0</v>
      </c>
      <c r="J812" s="1">
        <f>_xlfn.XLOOKUP('Customer Info'!A1159,'Customer Info'!A1159:A1258,'Customer Info'!M1159:M1258)</f>
        <v>0</v>
      </c>
    </row>
    <row r="813" spans="1:10" ht="14" x14ac:dyDescent="0.2">
      <c r="A813" s="2" t="s">
        <v>12</v>
      </c>
      <c r="B813" s="2">
        <v>2</v>
      </c>
      <c r="C813" s="2">
        <v>8</v>
      </c>
      <c r="D813" s="2">
        <v>2021</v>
      </c>
      <c r="E813" s="2">
        <v>0</v>
      </c>
      <c r="F813" s="2">
        <v>110.98</v>
      </c>
      <c r="H813" s="1">
        <f>_xlfn.XLOOKUP('Customer Info'!A2366,'Customer Info'!A2366:A2465,'Customer Info'!E2366:E2465,0,0)</f>
        <v>0</v>
      </c>
      <c r="J813" s="1">
        <f>_xlfn.XLOOKUP('Customer Info'!A2366,'Customer Info'!A2366:A2465,'Customer Info'!M2366:M2465)</f>
        <v>0</v>
      </c>
    </row>
    <row r="814" spans="1:10" ht="14" x14ac:dyDescent="0.2">
      <c r="A814" s="2" t="s">
        <v>11</v>
      </c>
      <c r="B814" s="2">
        <v>15</v>
      </c>
      <c r="C814" s="2">
        <v>8</v>
      </c>
      <c r="D814" s="2">
        <v>2021</v>
      </c>
      <c r="E814" s="2">
        <v>0</v>
      </c>
      <c r="F814" s="2">
        <v>110.98</v>
      </c>
      <c r="H814" s="1">
        <f>_xlfn.XLOOKUP('Customer Info'!A2367,'Customer Info'!A2367:A2466,'Customer Info'!E2367:E2466,0,0)</f>
        <v>0</v>
      </c>
      <c r="J814" s="1">
        <f>_xlfn.XLOOKUP('Customer Info'!A2367,'Customer Info'!A2367:A2466,'Customer Info'!M2367:M2466)</f>
        <v>0</v>
      </c>
    </row>
    <row r="815" spans="1:10" ht="14" hidden="1" x14ac:dyDescent="0.2">
      <c r="A815" s="2" t="s">
        <v>9</v>
      </c>
      <c r="B815" s="2">
        <v>22</v>
      </c>
      <c r="C815" s="2">
        <v>6</v>
      </c>
      <c r="D815" s="2">
        <v>2020</v>
      </c>
      <c r="E815" s="2">
        <v>0</v>
      </c>
      <c r="F815" s="2">
        <v>110.7</v>
      </c>
      <c r="H815" s="1">
        <f>_xlfn.XLOOKUP('Customer Info'!A1160,'Customer Info'!A1160:A1259,'Customer Info'!E1160:E1259,0,0)</f>
        <v>0</v>
      </c>
      <c r="J815" s="1">
        <f>_xlfn.XLOOKUP('Customer Info'!A1160,'Customer Info'!A1160:A1259,'Customer Info'!M1160:M1259)</f>
        <v>0</v>
      </c>
    </row>
    <row r="816" spans="1:10" ht="14" x14ac:dyDescent="0.2">
      <c r="A816" s="2" t="s">
        <v>83</v>
      </c>
      <c r="B816" s="2">
        <v>25</v>
      </c>
      <c r="C816" s="2">
        <v>3</v>
      </c>
      <c r="D816" s="2">
        <v>2021</v>
      </c>
      <c r="E816" s="2">
        <v>104.16</v>
      </c>
      <c r="F816" s="2">
        <v>110.67</v>
      </c>
      <c r="H816" s="1">
        <f>_xlfn.XLOOKUP('Customer Info'!A1532,'Customer Info'!A1532:A1631,'Customer Info'!E1532:E1631,0,0)</f>
        <v>0</v>
      </c>
      <c r="J816" s="1">
        <f>_xlfn.XLOOKUP('Customer Info'!A1532,'Customer Info'!A1532:A1631,'Customer Info'!M1532:M1631)</f>
        <v>0</v>
      </c>
    </row>
    <row r="817" spans="1:10" ht="14" x14ac:dyDescent="0.2">
      <c r="A817" s="2" t="s">
        <v>83</v>
      </c>
      <c r="B817" s="2">
        <v>25</v>
      </c>
      <c r="C817" s="2">
        <v>4</v>
      </c>
      <c r="D817" s="2">
        <v>2021</v>
      </c>
      <c r="E817" s="2">
        <v>95.1</v>
      </c>
      <c r="F817" s="2">
        <v>110.4</v>
      </c>
      <c r="H817" s="1">
        <f>_xlfn.XLOOKUP('Customer Info'!A1583,'Customer Info'!A1583:A1682,'Customer Info'!E1583:E1682,0,0)</f>
        <v>0</v>
      </c>
      <c r="J817" s="1">
        <f>_xlfn.XLOOKUP('Customer Info'!A1583,'Customer Info'!A1583:A1682,'Customer Info'!M1583:M1682)</f>
        <v>0</v>
      </c>
    </row>
    <row r="818" spans="1:10" ht="14" x14ac:dyDescent="0.2">
      <c r="A818" s="2" t="s">
        <v>88</v>
      </c>
      <c r="B818" s="2">
        <v>23</v>
      </c>
      <c r="C818" s="2">
        <v>4</v>
      </c>
      <c r="D818" s="2">
        <v>2021</v>
      </c>
      <c r="E818" s="2">
        <v>94.2</v>
      </c>
      <c r="F818" s="2">
        <v>110.4</v>
      </c>
      <c r="H818" s="1">
        <f>_xlfn.XLOOKUP('Customer Info'!A1590,'Customer Info'!A1590:A1689,'Customer Info'!E1590:E1689,0,0)</f>
        <v>0</v>
      </c>
      <c r="J818" s="1">
        <f>_xlfn.XLOOKUP('Customer Info'!A1590,'Customer Info'!A1590:A1689,'Customer Info'!M1590:M1689)</f>
        <v>0</v>
      </c>
    </row>
    <row r="819" spans="1:10" ht="14" x14ac:dyDescent="0.2">
      <c r="A819" s="2" t="s">
        <v>71</v>
      </c>
      <c r="B819" s="2">
        <v>21</v>
      </c>
      <c r="C819" s="2">
        <v>10</v>
      </c>
      <c r="D819" s="2">
        <v>2021</v>
      </c>
      <c r="E819" s="2">
        <v>95.48</v>
      </c>
      <c r="F819" s="2">
        <v>110.36</v>
      </c>
      <c r="H819" s="1">
        <f>_xlfn.XLOOKUP('Customer Info'!A1580,'Customer Info'!A1580:A1679,'Customer Info'!E1580:E1679,0,0)</f>
        <v>0</v>
      </c>
      <c r="J819" s="1">
        <f>_xlfn.XLOOKUP('Customer Info'!A1580,'Customer Info'!A1580:A1679,'Customer Info'!M1580:M1679)</f>
        <v>0</v>
      </c>
    </row>
    <row r="820" spans="1:10" ht="14" hidden="1" x14ac:dyDescent="0.2">
      <c r="A820" s="2" t="s">
        <v>72</v>
      </c>
      <c r="B820" s="2">
        <v>22</v>
      </c>
      <c r="C820" s="2">
        <v>11</v>
      </c>
      <c r="D820" s="2">
        <v>2020</v>
      </c>
      <c r="E820" s="2">
        <v>110.7</v>
      </c>
      <c r="F820" s="2">
        <v>110.1</v>
      </c>
      <c r="H820" s="1">
        <f>_xlfn.XLOOKUP('Customer Info'!A253,'Customer Info'!A253:A352,'Customer Info'!E253:E352,0,0)</f>
        <v>0</v>
      </c>
      <c r="J820" s="1">
        <f>_xlfn.XLOOKUP('Customer Info'!A253,'Customer Info'!A253:A352,'Customer Info'!M253:M352)</f>
        <v>0</v>
      </c>
    </row>
    <row r="821" spans="1:10" ht="14" hidden="1" x14ac:dyDescent="0.2">
      <c r="A821" s="2" t="s">
        <v>97</v>
      </c>
      <c r="B821" s="2">
        <v>12</v>
      </c>
      <c r="C821" s="2">
        <v>7</v>
      </c>
      <c r="D821" s="2">
        <v>2020</v>
      </c>
      <c r="E821" s="1" t="s">
        <v>94</v>
      </c>
      <c r="F821" s="2">
        <v>110.05</v>
      </c>
      <c r="H821" s="1">
        <f>_xlfn.XLOOKUP('Customer Info'!A95,'Customer Info'!A95:A194,'Customer Info'!E95:E194,0,0)</f>
        <v>3</v>
      </c>
      <c r="I821" s="1" t="str">
        <f>_xlfn.XLOOKUP('Customer Info'!A95,'Customer Info'!A95:A194,'Customer Info'!J95:J194,0)</f>
        <v>SSW</v>
      </c>
      <c r="J821" s="1" t="b">
        <f>_xlfn.XLOOKUP('Customer Info'!A95,'Customer Info'!A95:A194,'Customer Info'!M95:M194)</f>
        <v>0</v>
      </c>
    </row>
    <row r="822" spans="1:10" ht="14" hidden="1" x14ac:dyDescent="0.2">
      <c r="A822" s="2" t="s">
        <v>14</v>
      </c>
      <c r="B822" s="2">
        <v>10</v>
      </c>
      <c r="C822" s="2">
        <v>7</v>
      </c>
      <c r="D822" s="2">
        <v>2020</v>
      </c>
      <c r="E822" s="2">
        <v>0</v>
      </c>
      <c r="F822" s="2">
        <v>110.05</v>
      </c>
      <c r="H822" s="1">
        <f>_xlfn.XLOOKUP('Customer Info'!A1161,'Customer Info'!A1161:A1260,'Customer Info'!E1161:E1260,0,0)</f>
        <v>0</v>
      </c>
      <c r="J822" s="1">
        <f>_xlfn.XLOOKUP('Customer Info'!A1161,'Customer Info'!A1161:A1260,'Customer Info'!M1161:M1260)</f>
        <v>0</v>
      </c>
    </row>
    <row r="823" spans="1:10" ht="14" hidden="1" x14ac:dyDescent="0.2">
      <c r="A823" s="2" t="s">
        <v>1</v>
      </c>
      <c r="B823" s="2">
        <v>21</v>
      </c>
      <c r="C823" s="2">
        <v>7</v>
      </c>
      <c r="D823" s="2">
        <v>2020</v>
      </c>
      <c r="E823" s="2">
        <v>0</v>
      </c>
      <c r="F823" s="2">
        <v>110.05</v>
      </c>
      <c r="H823" s="1">
        <f>_xlfn.XLOOKUP('Customer Info'!A1162,'Customer Info'!A1162:A1261,'Customer Info'!E1162:E1261,0,0)</f>
        <v>0</v>
      </c>
      <c r="J823" s="1">
        <f>_xlfn.XLOOKUP('Customer Info'!A1162,'Customer Info'!A1162:A1261,'Customer Info'!M1162:M1261)</f>
        <v>0</v>
      </c>
    </row>
    <row r="824" spans="1:10" ht="14" x14ac:dyDescent="0.2">
      <c r="A824" s="2" t="s">
        <v>4</v>
      </c>
      <c r="B824" s="2">
        <v>1</v>
      </c>
      <c r="C824" s="2">
        <v>5</v>
      </c>
      <c r="D824" s="2">
        <v>2021</v>
      </c>
      <c r="E824" s="2">
        <v>0</v>
      </c>
      <c r="F824" s="2">
        <v>110.05</v>
      </c>
      <c r="H824" s="1">
        <f>_xlfn.XLOOKUP('Customer Info'!A2368,'Customer Info'!A2368:A2467,'Customer Info'!E2368:E2467,0,0)</f>
        <v>0</v>
      </c>
      <c r="J824" s="1">
        <f>_xlfn.XLOOKUP('Customer Info'!A2368,'Customer Info'!A2368:A2467,'Customer Info'!M2368:M2467)</f>
        <v>0</v>
      </c>
    </row>
    <row r="825" spans="1:10" ht="14" x14ac:dyDescent="0.2">
      <c r="A825" s="2" t="s">
        <v>13</v>
      </c>
      <c r="B825" s="2">
        <v>7</v>
      </c>
      <c r="C825" s="2">
        <v>6</v>
      </c>
      <c r="D825" s="2">
        <v>2021</v>
      </c>
      <c r="E825" s="2">
        <v>0</v>
      </c>
      <c r="F825" s="2">
        <v>109.8</v>
      </c>
      <c r="H825" s="1">
        <f>_xlfn.XLOOKUP('Customer Info'!A2369,'Customer Info'!A2369:A2468,'Customer Info'!E2369:E2468,0,0)</f>
        <v>0</v>
      </c>
      <c r="J825" s="1">
        <f>_xlfn.XLOOKUP('Customer Info'!A2369,'Customer Info'!A2369:A2468,'Customer Info'!M2369:M2468)</f>
        <v>0</v>
      </c>
    </row>
    <row r="826" spans="1:10" ht="14" hidden="1" x14ac:dyDescent="0.2">
      <c r="A826" s="2" t="s">
        <v>100</v>
      </c>
      <c r="B826" s="2">
        <v>1</v>
      </c>
      <c r="C826" s="2">
        <v>8</v>
      </c>
      <c r="D826" s="2">
        <v>2020</v>
      </c>
      <c r="E826" s="1" t="s">
        <v>94</v>
      </c>
      <c r="F826" s="2">
        <v>109.74</v>
      </c>
      <c r="H826" s="1">
        <f>_xlfn.XLOOKUP('Customer Info'!A96,'Customer Info'!A96:A195,'Customer Info'!E96:E195,0,0)</f>
        <v>4</v>
      </c>
      <c r="I826" s="1" t="str">
        <f>_xlfn.XLOOKUP('Customer Info'!A96,'Customer Info'!A96:A195,'Customer Info'!J96:J195,0)</f>
        <v>SSW</v>
      </c>
      <c r="J826" s="1" t="b">
        <f>_xlfn.XLOOKUP('Customer Info'!A96,'Customer Info'!A96:A195,'Customer Info'!M96:M195)</f>
        <v>1</v>
      </c>
    </row>
    <row r="827" spans="1:10" ht="14" hidden="1" x14ac:dyDescent="0.2">
      <c r="A827" s="2" t="s">
        <v>72</v>
      </c>
      <c r="B827" s="2">
        <v>22</v>
      </c>
      <c r="C827" s="2">
        <v>3</v>
      </c>
      <c r="D827" s="2">
        <v>2020</v>
      </c>
      <c r="E827" s="2">
        <v>78.739999999999995</v>
      </c>
      <c r="F827" s="2">
        <v>109.74</v>
      </c>
      <c r="H827" s="1">
        <f>_xlfn.XLOOKUP('Customer Info'!A446,'Customer Info'!A446:A545,'Customer Info'!E446:E545,0,0)</f>
        <v>0</v>
      </c>
      <c r="J827" s="1">
        <f>_xlfn.XLOOKUP('Customer Info'!A446,'Customer Info'!A446:A545,'Customer Info'!M446:M545)</f>
        <v>0</v>
      </c>
    </row>
    <row r="828" spans="1:10" ht="14" hidden="1" x14ac:dyDescent="0.2">
      <c r="A828" s="2" t="s">
        <v>4</v>
      </c>
      <c r="B828" s="2">
        <v>1</v>
      </c>
      <c r="C828" s="2">
        <v>5</v>
      </c>
      <c r="D828" s="2">
        <v>2020</v>
      </c>
      <c r="E828" s="2">
        <v>0</v>
      </c>
      <c r="F828" s="2">
        <v>109.74</v>
      </c>
      <c r="H828" s="1">
        <f>_xlfn.XLOOKUP('Customer Info'!A1163,'Customer Info'!A1163:A1262,'Customer Info'!E1163:E1262,0,0)</f>
        <v>0</v>
      </c>
      <c r="J828" s="1">
        <f>_xlfn.XLOOKUP('Customer Info'!A1163,'Customer Info'!A1163:A1262,'Customer Info'!M1163:M1262)</f>
        <v>0</v>
      </c>
    </row>
    <row r="829" spans="1:10" ht="14" x14ac:dyDescent="0.2">
      <c r="A829" s="2" t="s">
        <v>7</v>
      </c>
      <c r="B829" s="2">
        <v>20</v>
      </c>
      <c r="C829" s="2">
        <v>7</v>
      </c>
      <c r="D829" s="2">
        <v>2021</v>
      </c>
      <c r="E829" s="2">
        <v>0</v>
      </c>
      <c r="F829" s="2">
        <v>109.74</v>
      </c>
      <c r="H829" s="1">
        <f>_xlfn.XLOOKUP('Customer Info'!A2370,'Customer Info'!A2370:A2469,'Customer Info'!E2370:E2469,0,0)</f>
        <v>0</v>
      </c>
      <c r="J829" s="1">
        <f>_xlfn.XLOOKUP('Customer Info'!A2370,'Customer Info'!A2370:A2469,'Customer Info'!M2370:M2469)</f>
        <v>0</v>
      </c>
    </row>
    <row r="830" spans="1:10" ht="14" hidden="1" x14ac:dyDescent="0.2">
      <c r="A830" s="2" t="s">
        <v>18</v>
      </c>
      <c r="B830" s="2">
        <v>5</v>
      </c>
      <c r="C830" s="2">
        <v>6</v>
      </c>
      <c r="D830" s="2">
        <v>2020</v>
      </c>
      <c r="E830" s="2">
        <v>0</v>
      </c>
      <c r="F830" s="2">
        <v>109.5</v>
      </c>
      <c r="H830" s="1">
        <f>_xlfn.XLOOKUP('Customer Info'!A1164,'Customer Info'!A1164:A1263,'Customer Info'!E1164:E1263,0,0)</f>
        <v>0</v>
      </c>
      <c r="J830" s="1">
        <f>_xlfn.XLOOKUP('Customer Info'!A1164,'Customer Info'!A1164:A1263,'Customer Info'!M1164:M1263)</f>
        <v>0</v>
      </c>
    </row>
    <row r="831" spans="1:10" ht="14" x14ac:dyDescent="0.2">
      <c r="A831" s="2" t="s">
        <v>70</v>
      </c>
      <c r="B831" s="2">
        <v>16</v>
      </c>
      <c r="C831" s="2">
        <v>1</v>
      </c>
      <c r="D831" s="2">
        <v>2021</v>
      </c>
      <c r="E831" s="2">
        <v>146.32</v>
      </c>
      <c r="F831" s="2">
        <v>109.43</v>
      </c>
      <c r="H831" s="1">
        <f>_xlfn.XLOOKUP('Customer Info'!A1355,'Customer Info'!A1355:A1454,'Customer Info'!E1355:E1454,0,0)</f>
        <v>0</v>
      </c>
      <c r="J831" s="1">
        <f>_xlfn.XLOOKUP('Customer Info'!A1355,'Customer Info'!A1355:A1454,'Customer Info'!M1355:M1454)</f>
        <v>0</v>
      </c>
    </row>
    <row r="832" spans="1:10" ht="14" x14ac:dyDescent="0.2">
      <c r="A832" s="2" t="s">
        <v>84</v>
      </c>
      <c r="B832" s="2">
        <v>20</v>
      </c>
      <c r="C832" s="2">
        <v>1</v>
      </c>
      <c r="D832" s="2">
        <v>2021</v>
      </c>
      <c r="E832" s="2">
        <v>141.97999999999999</v>
      </c>
      <c r="F832" s="2">
        <v>109.43</v>
      </c>
      <c r="H832" s="1">
        <f>_xlfn.XLOOKUP('Customer Info'!A1360,'Customer Info'!A1360:A1459,'Customer Info'!E1360:E1459,0,0)</f>
        <v>0</v>
      </c>
      <c r="J832" s="1">
        <f>_xlfn.XLOOKUP('Customer Info'!A1360,'Customer Info'!A1360:A1459,'Customer Info'!M1360:M1459)</f>
        <v>0</v>
      </c>
    </row>
    <row r="833" spans="1:10" ht="14" x14ac:dyDescent="0.2">
      <c r="A833" s="2" t="s">
        <v>70</v>
      </c>
      <c r="B833" s="2">
        <v>16</v>
      </c>
      <c r="C833" s="2">
        <v>12</v>
      </c>
      <c r="D833" s="2">
        <v>2021</v>
      </c>
      <c r="E833" s="2">
        <v>127.72</v>
      </c>
      <c r="F833" s="2">
        <v>109.43</v>
      </c>
      <c r="H833" s="1">
        <f>_xlfn.XLOOKUP('Customer Info'!A1412,'Customer Info'!A1412:A1511,'Customer Info'!E1412:E1511,0,0)</f>
        <v>0</v>
      </c>
      <c r="J833" s="1">
        <f>_xlfn.XLOOKUP('Customer Info'!A1412,'Customer Info'!A1412:A1511,'Customer Info'!M1412:M1511)</f>
        <v>0</v>
      </c>
    </row>
    <row r="834" spans="1:10" ht="14" hidden="1" x14ac:dyDescent="0.2">
      <c r="A834" s="2" t="s">
        <v>88</v>
      </c>
      <c r="B834" s="2">
        <v>23</v>
      </c>
      <c r="C834" s="2">
        <v>10</v>
      </c>
      <c r="D834" s="2">
        <v>2020</v>
      </c>
      <c r="E834" s="2">
        <v>99.82</v>
      </c>
      <c r="F834" s="2">
        <v>109.43</v>
      </c>
      <c r="H834" s="1">
        <f>_xlfn.XLOOKUP('Customer Info'!A330,'Customer Info'!A330:A429,'Customer Info'!E330:E429,0,0)</f>
        <v>0</v>
      </c>
      <c r="J834" s="1">
        <f>_xlfn.XLOOKUP('Customer Info'!A330,'Customer Info'!A330:A429,'Customer Info'!M330:M429)</f>
        <v>0</v>
      </c>
    </row>
    <row r="835" spans="1:10" ht="14" x14ac:dyDescent="0.2">
      <c r="A835" s="2" t="s">
        <v>41</v>
      </c>
      <c r="B835" s="2">
        <v>15</v>
      </c>
      <c r="C835" s="2">
        <v>10</v>
      </c>
      <c r="D835" s="2">
        <v>2021</v>
      </c>
      <c r="E835" s="2">
        <v>70.06</v>
      </c>
      <c r="F835" s="2">
        <v>109.43</v>
      </c>
      <c r="H835" s="1">
        <f>_xlfn.XLOOKUP('Customer Info'!A1735,'Customer Info'!A1735:A1834,'Customer Info'!E1735:E1834,0,0)</f>
        <v>0</v>
      </c>
      <c r="J835" s="1">
        <f>_xlfn.XLOOKUP('Customer Info'!A1735,'Customer Info'!A1735:A1834,'Customer Info'!M1735:M1834)</f>
        <v>0</v>
      </c>
    </row>
    <row r="836" spans="1:10" ht="14" x14ac:dyDescent="0.2">
      <c r="A836" s="2" t="s">
        <v>61</v>
      </c>
      <c r="B836" s="2">
        <v>23</v>
      </c>
      <c r="C836" s="2">
        <v>8</v>
      </c>
      <c r="D836" s="2">
        <v>2021</v>
      </c>
      <c r="E836" s="2">
        <v>47.43</v>
      </c>
      <c r="F836" s="2">
        <v>109.43</v>
      </c>
      <c r="H836" s="1">
        <f>_xlfn.XLOOKUP('Customer Info'!A1883,'Customer Info'!A1883:A1982,'Customer Info'!E1883:E1982,0,0)</f>
        <v>0</v>
      </c>
      <c r="J836" s="1">
        <f>_xlfn.XLOOKUP('Customer Info'!A1883,'Customer Info'!A1883:A1982,'Customer Info'!M1883:M1982)</f>
        <v>0</v>
      </c>
    </row>
    <row r="837" spans="1:10" ht="14" hidden="1" x14ac:dyDescent="0.2">
      <c r="A837" s="2" t="s">
        <v>6</v>
      </c>
      <c r="B837" s="2">
        <v>7</v>
      </c>
      <c r="C837" s="2">
        <v>5</v>
      </c>
      <c r="D837" s="2">
        <v>2020</v>
      </c>
      <c r="E837" s="2">
        <v>0</v>
      </c>
      <c r="F837" s="2">
        <v>109.43</v>
      </c>
      <c r="H837" s="1">
        <f>_xlfn.XLOOKUP('Customer Info'!A1165,'Customer Info'!A1165:A1264,'Customer Info'!E1165:E1264,0,0)</f>
        <v>0</v>
      </c>
      <c r="J837" s="1">
        <f>_xlfn.XLOOKUP('Customer Info'!A1165,'Customer Info'!A1165:A1264,'Customer Info'!M1165:M1264)</f>
        <v>0</v>
      </c>
    </row>
    <row r="838" spans="1:10" ht="14" x14ac:dyDescent="0.2">
      <c r="A838" s="2" t="s">
        <v>71</v>
      </c>
      <c r="B838" s="2">
        <v>21</v>
      </c>
      <c r="C838" s="2">
        <v>1</v>
      </c>
      <c r="D838" s="2">
        <v>2021</v>
      </c>
      <c r="E838" s="2">
        <v>133.91999999999999</v>
      </c>
      <c r="F838" s="2">
        <v>109.12</v>
      </c>
      <c r="H838" s="1">
        <f>_xlfn.XLOOKUP('Customer Info'!A1381,'Customer Info'!A1381:A1480,'Customer Info'!E1381:E1480,0,0)</f>
        <v>0</v>
      </c>
      <c r="J838" s="1">
        <f>_xlfn.XLOOKUP('Customer Info'!A1381,'Customer Info'!A1381:A1480,'Customer Info'!M1381:M1480)</f>
        <v>0</v>
      </c>
    </row>
    <row r="839" spans="1:10" ht="14" hidden="1" x14ac:dyDescent="0.2">
      <c r="A839" s="2" t="s">
        <v>41</v>
      </c>
      <c r="B839" s="2">
        <v>15</v>
      </c>
      <c r="C839" s="2">
        <v>3</v>
      </c>
      <c r="D839" s="2">
        <v>2020</v>
      </c>
      <c r="E839" s="2">
        <v>69.44</v>
      </c>
      <c r="F839" s="2">
        <v>109.12</v>
      </c>
      <c r="H839" s="1">
        <f>_xlfn.XLOOKUP('Customer Info'!A509,'Customer Info'!A509:A608,'Customer Info'!E509:E608,0,0)</f>
        <v>0</v>
      </c>
      <c r="J839" s="1">
        <f>_xlfn.XLOOKUP('Customer Info'!A509,'Customer Info'!A509:A608,'Customer Info'!M509:M608)</f>
        <v>0</v>
      </c>
    </row>
    <row r="840" spans="1:10" ht="14" hidden="1" x14ac:dyDescent="0.2">
      <c r="A840" s="2" t="s">
        <v>77</v>
      </c>
      <c r="B840" s="2">
        <v>16</v>
      </c>
      <c r="C840" s="2">
        <v>7</v>
      </c>
      <c r="D840" s="2">
        <v>2020</v>
      </c>
      <c r="E840" s="2">
        <v>42.78</v>
      </c>
      <c r="F840" s="2">
        <v>109.12</v>
      </c>
      <c r="H840" s="1">
        <f>_xlfn.XLOOKUP('Customer Info'!A708,'Customer Info'!A708:A807,'Customer Info'!E708:E807,0,0)</f>
        <v>0</v>
      </c>
      <c r="J840" s="1">
        <f>_xlfn.XLOOKUP('Customer Info'!A708,'Customer Info'!A708:A807,'Customer Info'!M708:M807)</f>
        <v>0</v>
      </c>
    </row>
    <row r="841" spans="1:10" ht="14" x14ac:dyDescent="0.2">
      <c r="A841" s="2" t="s">
        <v>4</v>
      </c>
      <c r="B841" s="2">
        <v>1</v>
      </c>
      <c r="C841" s="2">
        <v>9</v>
      </c>
      <c r="D841" s="2">
        <v>2021</v>
      </c>
      <c r="E841" s="1" t="s">
        <v>94</v>
      </c>
      <c r="F841" s="2">
        <v>108.9</v>
      </c>
      <c r="H841" s="1">
        <f>_xlfn.XLOOKUP('Customer Info'!A1288,'Customer Info'!A1288:A1387,'Customer Info'!E1288:E1387,0,0)</f>
        <v>0</v>
      </c>
      <c r="J841" s="1">
        <f>_xlfn.XLOOKUP('Customer Info'!A1288,'Customer Info'!A1288:A1387,'Customer Info'!M1288:M1387)</f>
        <v>0</v>
      </c>
    </row>
    <row r="842" spans="1:10" ht="14" hidden="1" x14ac:dyDescent="0.2">
      <c r="A842" s="2" t="s">
        <v>16</v>
      </c>
      <c r="B842" s="2">
        <v>14</v>
      </c>
      <c r="C842" s="2">
        <v>6</v>
      </c>
      <c r="D842" s="2">
        <v>2020</v>
      </c>
      <c r="E842" s="2">
        <v>0</v>
      </c>
      <c r="F842" s="2">
        <v>108.9</v>
      </c>
      <c r="H842" s="1">
        <f>_xlfn.XLOOKUP('Customer Info'!A1166,'Customer Info'!A1166:A1265,'Customer Info'!E1166:E1265,0,0)</f>
        <v>0</v>
      </c>
      <c r="J842" s="1">
        <f>_xlfn.XLOOKUP('Customer Info'!A1166,'Customer Info'!A1166:A1265,'Customer Info'!M1166:M1265)</f>
        <v>0</v>
      </c>
    </row>
    <row r="843" spans="1:10" ht="14" x14ac:dyDescent="0.2">
      <c r="A843" s="2" t="s">
        <v>12</v>
      </c>
      <c r="B843" s="2">
        <v>2</v>
      </c>
      <c r="C843" s="2">
        <v>6</v>
      </c>
      <c r="D843" s="2">
        <v>2021</v>
      </c>
      <c r="E843" s="2">
        <v>0</v>
      </c>
      <c r="F843" s="2">
        <v>108.9</v>
      </c>
      <c r="H843" s="1">
        <f>_xlfn.XLOOKUP('Customer Info'!A2371,'Customer Info'!A2371:A2470,'Customer Info'!E2371:E2470,0,0)</f>
        <v>0</v>
      </c>
      <c r="J843" s="1">
        <f>_xlfn.XLOOKUP('Customer Info'!A2371,'Customer Info'!A2371:A2470,'Customer Info'!M2371:M2470)</f>
        <v>0</v>
      </c>
    </row>
    <row r="844" spans="1:10" ht="14" x14ac:dyDescent="0.2">
      <c r="A844" s="2" t="s">
        <v>16</v>
      </c>
      <c r="B844" s="2">
        <v>14</v>
      </c>
      <c r="C844" s="2">
        <v>6</v>
      </c>
      <c r="D844" s="2">
        <v>2021</v>
      </c>
      <c r="E844" s="2">
        <v>0</v>
      </c>
      <c r="F844" s="2">
        <v>108.9</v>
      </c>
      <c r="H844" s="1">
        <f>_xlfn.XLOOKUP('Customer Info'!A2372,'Customer Info'!A2372:A2471,'Customer Info'!E2372:E2471,0,0)</f>
        <v>0</v>
      </c>
      <c r="J844" s="1">
        <f>_xlfn.XLOOKUP('Customer Info'!A2372,'Customer Info'!A2372:A2471,'Customer Info'!M2372:M2471)</f>
        <v>0</v>
      </c>
    </row>
    <row r="845" spans="1:10" ht="14" x14ac:dyDescent="0.2">
      <c r="A845" s="2" t="s">
        <v>21</v>
      </c>
      <c r="B845" s="2">
        <v>15</v>
      </c>
      <c r="C845" s="2">
        <v>6</v>
      </c>
      <c r="D845" s="2">
        <v>2021</v>
      </c>
      <c r="E845" s="2">
        <v>0</v>
      </c>
      <c r="F845" s="2">
        <v>108.9</v>
      </c>
      <c r="H845" s="1">
        <f>_xlfn.XLOOKUP('Customer Info'!A2373,'Customer Info'!A2373:A2472,'Customer Info'!E2373:E2472,0,0)</f>
        <v>0</v>
      </c>
      <c r="J845" s="1">
        <f>_xlfn.XLOOKUP('Customer Info'!A2373,'Customer Info'!A2373:A2472,'Customer Info'!M2373:M2472)</f>
        <v>0</v>
      </c>
    </row>
    <row r="846" spans="1:10" ht="14" x14ac:dyDescent="0.2">
      <c r="A846" s="2" t="s">
        <v>100</v>
      </c>
      <c r="B846" s="2">
        <v>1</v>
      </c>
      <c r="C846" s="2">
        <v>8</v>
      </c>
      <c r="D846" s="2">
        <v>2021</v>
      </c>
      <c r="E846" s="1" t="s">
        <v>94</v>
      </c>
      <c r="F846" s="2">
        <v>108.81</v>
      </c>
      <c r="H846" s="1">
        <f>_xlfn.XLOOKUP('Customer Info'!A1289,'Customer Info'!A1289:A1388,'Customer Info'!E1289:E1388,0,0)</f>
        <v>0</v>
      </c>
      <c r="J846" s="1">
        <f>_xlfn.XLOOKUP('Customer Info'!A1289,'Customer Info'!A1289:A1388,'Customer Info'!M1289:M1388)</f>
        <v>0</v>
      </c>
    </row>
    <row r="847" spans="1:10" ht="14" hidden="1" x14ac:dyDescent="0.2">
      <c r="A847" s="2" t="s">
        <v>97</v>
      </c>
      <c r="B847" s="2">
        <v>12</v>
      </c>
      <c r="C847" s="2">
        <v>8</v>
      </c>
      <c r="D847" s="2">
        <v>2020</v>
      </c>
      <c r="E847" s="1" t="s">
        <v>94</v>
      </c>
      <c r="F847" s="2">
        <v>108.81</v>
      </c>
      <c r="H847" s="1">
        <f>_xlfn.XLOOKUP('Customer Info'!A97,'Customer Info'!A97:A196,'Customer Info'!E97:E196,0,0)</f>
        <v>1</v>
      </c>
      <c r="I847" s="1" t="str">
        <f>_xlfn.XLOOKUP('Customer Info'!A97,'Customer Info'!A97:A196,'Customer Info'!J97:J196,0)</f>
        <v>Scottish Gas</v>
      </c>
      <c r="J847" s="1" t="b">
        <f>_xlfn.XLOOKUP('Customer Info'!A97,'Customer Info'!A97:A196,'Customer Info'!M97:M196)</f>
        <v>0</v>
      </c>
    </row>
    <row r="848" spans="1:10" ht="14" hidden="1" x14ac:dyDescent="0.2">
      <c r="A848" s="2" t="s">
        <v>71</v>
      </c>
      <c r="B848" s="2">
        <v>21</v>
      </c>
      <c r="C848" s="2">
        <v>7</v>
      </c>
      <c r="D848" s="2">
        <v>2020</v>
      </c>
      <c r="E848" s="2">
        <v>48.36</v>
      </c>
      <c r="F848" s="2">
        <v>108.81</v>
      </c>
      <c r="H848" s="1">
        <f>_xlfn.XLOOKUP('Customer Info'!A657,'Customer Info'!A657:A756,'Customer Info'!E657:E756,0,0)</f>
        <v>0</v>
      </c>
      <c r="J848" s="1">
        <f>_xlfn.XLOOKUP('Customer Info'!A657,'Customer Info'!A657:A756,'Customer Info'!M657:M756)</f>
        <v>0</v>
      </c>
    </row>
    <row r="849" spans="1:10" ht="14" x14ac:dyDescent="0.2">
      <c r="A849" s="2" t="s">
        <v>18</v>
      </c>
      <c r="B849" s="2">
        <v>5</v>
      </c>
      <c r="C849" s="2">
        <v>8</v>
      </c>
      <c r="D849" s="2">
        <v>2021</v>
      </c>
      <c r="E849" s="2">
        <v>0</v>
      </c>
      <c r="F849" s="2">
        <v>108.81</v>
      </c>
      <c r="H849" s="1">
        <f>_xlfn.XLOOKUP('Customer Info'!A2374,'Customer Info'!A2374:A2473,'Customer Info'!E2374:E2473,0,0)</f>
        <v>0</v>
      </c>
      <c r="J849" s="1">
        <f>_xlfn.XLOOKUP('Customer Info'!A2374,'Customer Info'!A2374:A2473,'Customer Info'!M2374:M2473)</f>
        <v>0</v>
      </c>
    </row>
    <row r="850" spans="1:10" ht="14" x14ac:dyDescent="0.2">
      <c r="A850" s="2" t="s">
        <v>100</v>
      </c>
      <c r="B850" s="2">
        <v>1</v>
      </c>
      <c r="C850" s="2">
        <v>7</v>
      </c>
      <c r="D850" s="2">
        <v>2021</v>
      </c>
      <c r="E850" s="1" t="s">
        <v>94</v>
      </c>
      <c r="F850" s="2">
        <v>108.5</v>
      </c>
      <c r="H850" s="1">
        <f>_xlfn.XLOOKUP('Customer Info'!A1290,'Customer Info'!A1290:A1389,'Customer Info'!E1290:E1389,0,0)</f>
        <v>0</v>
      </c>
      <c r="J850" s="1">
        <f>_xlfn.XLOOKUP('Customer Info'!A1290,'Customer Info'!A1290:A1389,'Customer Info'!M1290:M1389)</f>
        <v>0</v>
      </c>
    </row>
    <row r="851" spans="1:10" ht="14" hidden="1" x14ac:dyDescent="0.2">
      <c r="A851" s="2" t="s">
        <v>98</v>
      </c>
      <c r="B851" s="2">
        <v>21</v>
      </c>
      <c r="C851" s="2">
        <v>5</v>
      </c>
      <c r="D851" s="2">
        <v>2020</v>
      </c>
      <c r="E851" s="1" t="s">
        <v>94</v>
      </c>
      <c r="F851" s="2">
        <v>108.5</v>
      </c>
      <c r="H851" s="1">
        <f>_xlfn.XLOOKUP('Customer Info'!A98,'Customer Info'!A98:A197,'Customer Info'!E98:E197,0,0)</f>
        <v>2</v>
      </c>
      <c r="I851" s="1" t="str">
        <f>_xlfn.XLOOKUP('Customer Info'!A98,'Customer Info'!A98:A197,'Customer Info'!J98:J197,0)</f>
        <v>Mpower</v>
      </c>
      <c r="J851" s="1" t="b">
        <f>_xlfn.XLOOKUP('Customer Info'!A98,'Customer Info'!A98:A197,'Customer Info'!M98:M197)</f>
        <v>0</v>
      </c>
    </row>
    <row r="852" spans="1:10" ht="14" hidden="1" x14ac:dyDescent="0.2">
      <c r="A852" s="2" t="s">
        <v>86</v>
      </c>
      <c r="B852" s="2">
        <v>6</v>
      </c>
      <c r="C852" s="2">
        <v>12</v>
      </c>
      <c r="D852" s="2">
        <v>2020</v>
      </c>
      <c r="E852" s="2">
        <v>142.6</v>
      </c>
      <c r="F852" s="2">
        <v>108.5</v>
      </c>
      <c r="H852" s="1">
        <f>_xlfn.XLOOKUP('Customer Info'!A158,'Customer Info'!A158:A257,'Customer Info'!E158:E257,0,0)</f>
        <v>0</v>
      </c>
      <c r="J852" s="1">
        <f>_xlfn.XLOOKUP('Customer Info'!A158,'Customer Info'!A158:A257,'Customer Info'!M158:M257)</f>
        <v>0</v>
      </c>
    </row>
    <row r="853" spans="1:10" ht="14" x14ac:dyDescent="0.2">
      <c r="A853" s="2" t="s">
        <v>44</v>
      </c>
      <c r="B853" s="2">
        <v>1</v>
      </c>
      <c r="C853" s="2">
        <v>1</v>
      </c>
      <c r="D853" s="2">
        <v>2021</v>
      </c>
      <c r="E853" s="2">
        <v>133.61000000000001</v>
      </c>
      <c r="F853" s="2">
        <v>108.5</v>
      </c>
      <c r="H853" s="1">
        <f>_xlfn.XLOOKUP('Customer Info'!A1386,'Customer Info'!A1386:A1485,'Customer Info'!E1386:E1485,0,0)</f>
        <v>0</v>
      </c>
      <c r="J853" s="1">
        <f>_xlfn.XLOOKUP('Customer Info'!A1386,'Customer Info'!A1386:A1485,'Customer Info'!M1386:M1485)</f>
        <v>0</v>
      </c>
    </row>
    <row r="854" spans="1:10" ht="14" x14ac:dyDescent="0.2">
      <c r="A854" s="2" t="s">
        <v>65</v>
      </c>
      <c r="B854" s="2">
        <v>11</v>
      </c>
      <c r="C854" s="2">
        <v>8</v>
      </c>
      <c r="D854" s="2">
        <v>2021</v>
      </c>
      <c r="E854" s="2">
        <v>39.68</v>
      </c>
      <c r="F854" s="2">
        <v>108.5</v>
      </c>
      <c r="H854" s="1">
        <f>_xlfn.XLOOKUP('Customer Info'!A1943,'Customer Info'!A1943:A2042,'Customer Info'!E1943:E2042,0,0)</f>
        <v>0</v>
      </c>
      <c r="J854" s="1">
        <f>_xlfn.XLOOKUP('Customer Info'!A1943,'Customer Info'!A1943:A2042,'Customer Info'!M1943:M2042)</f>
        <v>0</v>
      </c>
    </row>
    <row r="855" spans="1:10" ht="14" hidden="1" x14ac:dyDescent="0.2">
      <c r="A855" s="2" t="s">
        <v>20</v>
      </c>
      <c r="B855" s="2">
        <v>12</v>
      </c>
      <c r="C855" s="2">
        <v>8</v>
      </c>
      <c r="D855" s="2">
        <v>2020</v>
      </c>
      <c r="E855" s="2">
        <v>0</v>
      </c>
      <c r="F855" s="2">
        <v>108.5</v>
      </c>
      <c r="H855" s="1">
        <f>_xlfn.XLOOKUP('Customer Info'!A1167,'Customer Info'!A1167:A1266,'Customer Info'!E1167:E1266,0,0)</f>
        <v>0</v>
      </c>
      <c r="J855" s="1">
        <f>_xlfn.XLOOKUP('Customer Info'!A1167,'Customer Info'!A1167:A1266,'Customer Info'!M1167:M1266)</f>
        <v>0</v>
      </c>
    </row>
    <row r="856" spans="1:10" ht="14" x14ac:dyDescent="0.2">
      <c r="A856" s="2" t="s">
        <v>9</v>
      </c>
      <c r="B856" s="2">
        <v>22</v>
      </c>
      <c r="C856" s="2">
        <v>6</v>
      </c>
      <c r="D856" s="2">
        <v>2021</v>
      </c>
      <c r="E856" s="2">
        <v>0</v>
      </c>
      <c r="F856" s="2">
        <v>108.3</v>
      </c>
      <c r="H856" s="1">
        <f>_xlfn.XLOOKUP('Customer Info'!A2375,'Customer Info'!A2375:A2474,'Customer Info'!E2375:E2474,0,0)</f>
        <v>0</v>
      </c>
      <c r="J856" s="1">
        <f>_xlfn.XLOOKUP('Customer Info'!A2375,'Customer Info'!A2375:A2474,'Customer Info'!M2375:M2474)</f>
        <v>0</v>
      </c>
    </row>
    <row r="857" spans="1:10" ht="14" x14ac:dyDescent="0.2">
      <c r="A857" s="2" t="s">
        <v>19</v>
      </c>
      <c r="B857" s="2">
        <v>24</v>
      </c>
      <c r="C857" s="2">
        <v>6</v>
      </c>
      <c r="D857" s="2">
        <v>2021</v>
      </c>
      <c r="E857" s="2">
        <v>0</v>
      </c>
      <c r="F857" s="2">
        <v>108.3</v>
      </c>
      <c r="H857" s="1">
        <f>_xlfn.XLOOKUP('Customer Info'!A2376,'Customer Info'!A2376:A2475,'Customer Info'!E2376:E2475,0,0)</f>
        <v>0</v>
      </c>
      <c r="J857" s="1">
        <f>_xlfn.XLOOKUP('Customer Info'!A2376,'Customer Info'!A2376:A2475,'Customer Info'!M2376:M2475)</f>
        <v>0</v>
      </c>
    </row>
    <row r="858" spans="1:10" ht="14" x14ac:dyDescent="0.2">
      <c r="A858" s="2" t="s">
        <v>16</v>
      </c>
      <c r="B858" s="2">
        <v>14</v>
      </c>
      <c r="C858" s="2">
        <v>9</v>
      </c>
      <c r="D858" s="2">
        <v>2021</v>
      </c>
      <c r="E858" s="2">
        <v>0</v>
      </c>
      <c r="F858" s="2">
        <v>108.3</v>
      </c>
      <c r="H858" s="1">
        <f>_xlfn.XLOOKUP('Customer Info'!A2377,'Customer Info'!A2377:A2476,'Customer Info'!E2377:E2476,0,0)</f>
        <v>0</v>
      </c>
      <c r="J858" s="1">
        <f>_xlfn.XLOOKUP('Customer Info'!A2377,'Customer Info'!A2377:A2476,'Customer Info'!M2377:M2476)</f>
        <v>0</v>
      </c>
    </row>
    <row r="859" spans="1:10" ht="14" x14ac:dyDescent="0.2">
      <c r="A859" s="2" t="s">
        <v>79</v>
      </c>
      <c r="B859" s="2">
        <v>3</v>
      </c>
      <c r="C859" s="2">
        <v>1</v>
      </c>
      <c r="D859" s="2">
        <v>2021</v>
      </c>
      <c r="E859" s="2">
        <v>134.85</v>
      </c>
      <c r="F859" s="2">
        <v>108.19</v>
      </c>
      <c r="H859" s="1">
        <f>_xlfn.XLOOKUP('Customer Info'!A1377,'Customer Info'!A1377:A1476,'Customer Info'!E1377:E1476,0,0)</f>
        <v>0</v>
      </c>
      <c r="J859" s="1">
        <f>_xlfn.XLOOKUP('Customer Info'!A1377,'Customer Info'!A1377:A1476,'Customer Info'!M1377:M1476)</f>
        <v>0</v>
      </c>
    </row>
    <row r="860" spans="1:10" ht="14" hidden="1" x14ac:dyDescent="0.2">
      <c r="A860" s="2" t="s">
        <v>41</v>
      </c>
      <c r="B860" s="2">
        <v>15</v>
      </c>
      <c r="C860" s="2">
        <v>1</v>
      </c>
      <c r="D860" s="2">
        <v>2020</v>
      </c>
      <c r="E860" s="2">
        <v>122.14</v>
      </c>
      <c r="F860" s="2">
        <v>108.19</v>
      </c>
      <c r="H860" s="1">
        <f>_xlfn.XLOOKUP('Customer Info'!A198,'Customer Info'!A198:A297,'Customer Info'!E198:E297,0,0)</f>
        <v>0</v>
      </c>
      <c r="J860" s="1">
        <f>_xlfn.XLOOKUP('Customer Info'!A198,'Customer Info'!A198:A297,'Customer Info'!M198:M297)</f>
        <v>0</v>
      </c>
    </row>
    <row r="861" spans="1:10" ht="14" hidden="1" x14ac:dyDescent="0.2">
      <c r="A861" s="2" t="s">
        <v>88</v>
      </c>
      <c r="B861" s="2">
        <v>23</v>
      </c>
      <c r="C861" s="2">
        <v>7</v>
      </c>
      <c r="D861" s="2">
        <v>2020</v>
      </c>
      <c r="E861" s="2">
        <v>61.69</v>
      </c>
      <c r="F861" s="2">
        <v>108.19</v>
      </c>
      <c r="H861" s="1">
        <f>_xlfn.XLOOKUP('Customer Info'!A575,'Customer Info'!A575:A674,'Customer Info'!E575:E674,0,0)</f>
        <v>0</v>
      </c>
      <c r="J861" s="1">
        <f>_xlfn.XLOOKUP('Customer Info'!A575,'Customer Info'!A575:A674,'Customer Info'!M575:M674)</f>
        <v>0</v>
      </c>
    </row>
    <row r="862" spans="1:10" ht="14" x14ac:dyDescent="0.2">
      <c r="A862" s="2" t="s">
        <v>77</v>
      </c>
      <c r="B862" s="2">
        <v>16</v>
      </c>
      <c r="C862" s="2">
        <v>7</v>
      </c>
      <c r="D862" s="2">
        <v>2021</v>
      </c>
      <c r="E862" s="2">
        <v>51.15</v>
      </c>
      <c r="F862" s="2">
        <v>108.19</v>
      </c>
      <c r="H862" s="1">
        <f>_xlfn.XLOOKUP('Customer Info'!A1861,'Customer Info'!A1861:A1960,'Customer Info'!E1861:E1960,0,0)</f>
        <v>0</v>
      </c>
      <c r="J862" s="1">
        <f>_xlfn.XLOOKUP('Customer Info'!A1861,'Customer Info'!A1861:A1960,'Customer Info'!M1861:M1960)</f>
        <v>0</v>
      </c>
    </row>
    <row r="863" spans="1:10" ht="14" x14ac:dyDescent="0.2">
      <c r="A863" s="2" t="s">
        <v>44</v>
      </c>
      <c r="B863" s="2">
        <v>1</v>
      </c>
      <c r="C863" s="2">
        <v>7</v>
      </c>
      <c r="D863" s="2">
        <v>2021</v>
      </c>
      <c r="E863" s="2">
        <v>34.1</v>
      </c>
      <c r="F863" s="2">
        <v>108.19</v>
      </c>
      <c r="H863" s="1">
        <f>_xlfn.XLOOKUP('Customer Info'!A1993,'Customer Info'!A1993:A2092,'Customer Info'!E1993:E2092,0,0)</f>
        <v>0</v>
      </c>
      <c r="J863" s="1">
        <f>_xlfn.XLOOKUP('Customer Info'!A1993,'Customer Info'!A1993:A2092,'Customer Info'!M1993:M2092)</f>
        <v>0</v>
      </c>
    </row>
    <row r="864" spans="1:10" ht="14" hidden="1" x14ac:dyDescent="0.2">
      <c r="A864" s="2" t="s">
        <v>18</v>
      </c>
      <c r="B864" s="2">
        <v>5</v>
      </c>
      <c r="C864" s="2">
        <v>5</v>
      </c>
      <c r="D864" s="2">
        <v>2020</v>
      </c>
      <c r="E864" s="2">
        <v>0</v>
      </c>
      <c r="F864" s="2">
        <v>108.19</v>
      </c>
      <c r="H864" s="1">
        <f>_xlfn.XLOOKUP('Customer Info'!A1168,'Customer Info'!A1168:A1267,'Customer Info'!E1168:E1267,0,0)</f>
        <v>0</v>
      </c>
      <c r="J864" s="1">
        <f>_xlfn.XLOOKUP('Customer Info'!A1168,'Customer Info'!A1168:A1267,'Customer Info'!M1168:M1267)</f>
        <v>0</v>
      </c>
    </row>
    <row r="865" spans="1:10" ht="14" hidden="1" x14ac:dyDescent="0.2">
      <c r="A865" s="2" t="s">
        <v>17</v>
      </c>
      <c r="B865" s="2">
        <v>8</v>
      </c>
      <c r="C865" s="2">
        <v>7</v>
      </c>
      <c r="D865" s="2">
        <v>2020</v>
      </c>
      <c r="E865" s="2">
        <v>0</v>
      </c>
      <c r="F865" s="2">
        <v>108.19</v>
      </c>
      <c r="H865" s="1">
        <f>_xlfn.XLOOKUP('Customer Info'!A1169,'Customer Info'!A1169:A1268,'Customer Info'!E1169:E1268,0,0)</f>
        <v>0</v>
      </c>
      <c r="J865" s="1">
        <f>_xlfn.XLOOKUP('Customer Info'!A1169,'Customer Info'!A1169:A1268,'Customer Info'!M1169:M1268)</f>
        <v>0</v>
      </c>
    </row>
    <row r="866" spans="1:10" ht="14" hidden="1" x14ac:dyDescent="0.2">
      <c r="A866" s="2" t="s">
        <v>2</v>
      </c>
      <c r="B866" s="2">
        <v>18</v>
      </c>
      <c r="C866" s="2">
        <v>7</v>
      </c>
      <c r="D866" s="2">
        <v>2020</v>
      </c>
      <c r="E866" s="2">
        <v>0</v>
      </c>
      <c r="F866" s="2">
        <v>108.19</v>
      </c>
      <c r="H866" s="1">
        <f>_xlfn.XLOOKUP('Customer Info'!A1170,'Customer Info'!A1170:A1269,'Customer Info'!E1170:E1269,0,0)</f>
        <v>0</v>
      </c>
      <c r="J866" s="1">
        <f>_xlfn.XLOOKUP('Customer Info'!A1170,'Customer Info'!A1170:A1269,'Customer Info'!M1170:M1269)</f>
        <v>0</v>
      </c>
    </row>
    <row r="867" spans="1:10" ht="14" x14ac:dyDescent="0.2">
      <c r="A867" s="2" t="s">
        <v>17</v>
      </c>
      <c r="B867" s="2">
        <v>8</v>
      </c>
      <c r="C867" s="2">
        <v>8</v>
      </c>
      <c r="D867" s="2">
        <v>2021</v>
      </c>
      <c r="E867" s="2">
        <v>0</v>
      </c>
      <c r="F867" s="2">
        <v>108.19</v>
      </c>
      <c r="H867" s="1">
        <f>_xlfn.XLOOKUP('Customer Info'!A2378,'Customer Info'!A2378:A2477,'Customer Info'!E2378:E2477,0,0)</f>
        <v>0</v>
      </c>
      <c r="J867" s="1">
        <f>_xlfn.XLOOKUP('Customer Info'!A2378,'Customer Info'!A2378:A2477,'Customer Info'!M2378:M2477)</f>
        <v>0</v>
      </c>
    </row>
    <row r="868" spans="1:10" ht="14" hidden="1" x14ac:dyDescent="0.2">
      <c r="A868" s="2" t="s">
        <v>83</v>
      </c>
      <c r="B868" s="2">
        <v>25</v>
      </c>
      <c r="C868" s="2">
        <v>2</v>
      </c>
      <c r="D868" s="2">
        <v>2020</v>
      </c>
      <c r="E868" s="2">
        <v>125.72</v>
      </c>
      <c r="F868" s="2">
        <v>108.08</v>
      </c>
      <c r="H868" s="1">
        <f>_xlfn.XLOOKUP('Customer Info'!A186,'Customer Info'!A186:A285,'Customer Info'!E186:E285,0,0)</f>
        <v>0</v>
      </c>
      <c r="J868" s="1">
        <f>_xlfn.XLOOKUP('Customer Info'!A186,'Customer Info'!A186:A285,'Customer Info'!M186:M285)</f>
        <v>0</v>
      </c>
    </row>
    <row r="869" spans="1:10" ht="14" x14ac:dyDescent="0.2">
      <c r="A869" s="2" t="s">
        <v>61</v>
      </c>
      <c r="B869" s="2">
        <v>23</v>
      </c>
      <c r="C869" s="2">
        <v>6</v>
      </c>
      <c r="D869" s="2">
        <v>2021</v>
      </c>
      <c r="E869" s="2">
        <v>36</v>
      </c>
      <c r="F869" s="2">
        <v>108</v>
      </c>
      <c r="H869" s="1">
        <f>_xlfn.XLOOKUP('Customer Info'!A1979,'Customer Info'!A1979:A2078,'Customer Info'!E1979:E2078,0,0)</f>
        <v>0</v>
      </c>
      <c r="J869" s="1">
        <f>_xlfn.XLOOKUP('Customer Info'!A1979,'Customer Info'!A1979:A2078,'Customer Info'!M1979:M2078)</f>
        <v>0</v>
      </c>
    </row>
    <row r="870" spans="1:10" ht="14" hidden="1" x14ac:dyDescent="0.2">
      <c r="A870" s="2" t="s">
        <v>11</v>
      </c>
      <c r="B870" s="2">
        <v>15</v>
      </c>
      <c r="C870" s="2">
        <v>6</v>
      </c>
      <c r="D870" s="2">
        <v>2020</v>
      </c>
      <c r="E870" s="2">
        <v>0</v>
      </c>
      <c r="F870" s="2">
        <v>108</v>
      </c>
      <c r="H870" s="1">
        <f>_xlfn.XLOOKUP('Customer Info'!A1171,'Customer Info'!A1171:A1270,'Customer Info'!E1171:E1270,0,0)</f>
        <v>0</v>
      </c>
      <c r="J870" s="1">
        <f>_xlfn.XLOOKUP('Customer Info'!A1171,'Customer Info'!A1171:A1270,'Customer Info'!M1171:M1270)</f>
        <v>0</v>
      </c>
    </row>
    <row r="871" spans="1:10" ht="14" x14ac:dyDescent="0.2">
      <c r="A871" s="2" t="s">
        <v>65</v>
      </c>
      <c r="B871" s="2">
        <v>11</v>
      </c>
      <c r="C871" s="2">
        <v>1</v>
      </c>
      <c r="D871" s="2">
        <v>2021</v>
      </c>
      <c r="E871" s="2">
        <v>136.4</v>
      </c>
      <c r="F871" s="2">
        <v>107.88</v>
      </c>
      <c r="H871" s="1">
        <f>_xlfn.XLOOKUP('Customer Info'!A1374,'Customer Info'!A1374:A1473,'Customer Info'!E1374:E1473,0,0)</f>
        <v>0</v>
      </c>
      <c r="J871" s="1">
        <f>_xlfn.XLOOKUP('Customer Info'!A1374,'Customer Info'!A1374:A1473,'Customer Info'!M1374:M1473)</f>
        <v>0</v>
      </c>
    </row>
    <row r="872" spans="1:10" ht="14" x14ac:dyDescent="0.2">
      <c r="A872" s="2" t="s">
        <v>69</v>
      </c>
      <c r="B872" s="2">
        <v>12</v>
      </c>
      <c r="C872" s="2">
        <v>1</v>
      </c>
      <c r="D872" s="2">
        <v>2021</v>
      </c>
      <c r="E872" s="2">
        <v>118.11</v>
      </c>
      <c r="F872" s="2">
        <v>107.88</v>
      </c>
      <c r="H872" s="1">
        <f>_xlfn.XLOOKUP('Customer Info'!A1448,'Customer Info'!A1448:A1547,'Customer Info'!E1448:E1547,0,0)</f>
        <v>0</v>
      </c>
      <c r="J872" s="1">
        <f>_xlfn.XLOOKUP('Customer Info'!A1448,'Customer Info'!A1448:A1547,'Customer Info'!M1448:M1547)</f>
        <v>0</v>
      </c>
    </row>
    <row r="873" spans="1:10" ht="14" hidden="1" x14ac:dyDescent="0.2">
      <c r="A873" s="2" t="s">
        <v>83</v>
      </c>
      <c r="B873" s="2">
        <v>25</v>
      </c>
      <c r="C873" s="2">
        <v>5</v>
      </c>
      <c r="D873" s="2">
        <v>2020</v>
      </c>
      <c r="E873" s="2">
        <v>70.989999999999995</v>
      </c>
      <c r="F873" s="2">
        <v>107.88</v>
      </c>
      <c r="H873" s="1">
        <f>_xlfn.XLOOKUP('Customer Info'!A496,'Customer Info'!A496:A595,'Customer Info'!E496:E595,0,0)</f>
        <v>0</v>
      </c>
      <c r="J873" s="1">
        <f>_xlfn.XLOOKUP('Customer Info'!A496,'Customer Info'!A496:A595,'Customer Info'!M496:M595)</f>
        <v>0</v>
      </c>
    </row>
    <row r="874" spans="1:10" ht="14" x14ac:dyDescent="0.2">
      <c r="A874" s="2" t="s">
        <v>71</v>
      </c>
      <c r="B874" s="2">
        <v>21</v>
      </c>
      <c r="C874" s="2">
        <v>8</v>
      </c>
      <c r="D874" s="2">
        <v>2021</v>
      </c>
      <c r="E874" s="2">
        <v>52.39</v>
      </c>
      <c r="F874" s="2">
        <v>107.88</v>
      </c>
      <c r="H874" s="1">
        <f>_xlfn.XLOOKUP('Customer Info'!A1846,'Customer Info'!A1846:A1945,'Customer Info'!E1846:E1945,0,0)</f>
        <v>0</v>
      </c>
      <c r="J874" s="1">
        <f>_xlfn.XLOOKUP('Customer Info'!A1846,'Customer Info'!A1846:A1945,'Customer Info'!M1846:M1945)</f>
        <v>0</v>
      </c>
    </row>
    <row r="875" spans="1:10" ht="14" x14ac:dyDescent="0.2">
      <c r="A875" s="2" t="s">
        <v>79</v>
      </c>
      <c r="B875" s="2">
        <v>3</v>
      </c>
      <c r="C875" s="2">
        <v>9</v>
      </c>
      <c r="D875" s="2">
        <v>2021</v>
      </c>
      <c r="E875" s="2">
        <v>68.400000000000006</v>
      </c>
      <c r="F875" s="2">
        <v>107.7</v>
      </c>
      <c r="H875" s="1">
        <f>_xlfn.XLOOKUP('Customer Info'!A1745,'Customer Info'!A1745:A1844,'Customer Info'!E1745:E1844,0,0)</f>
        <v>0</v>
      </c>
      <c r="J875" s="1">
        <f>_xlfn.XLOOKUP('Customer Info'!A1745,'Customer Info'!A1745:A1844,'Customer Info'!M1745:M1844)</f>
        <v>0</v>
      </c>
    </row>
    <row r="876" spans="1:10" ht="14" x14ac:dyDescent="0.2">
      <c r="A876" s="2" t="s">
        <v>10</v>
      </c>
      <c r="B876" s="2">
        <v>18</v>
      </c>
      <c r="C876" s="2">
        <v>9</v>
      </c>
      <c r="D876" s="2">
        <v>2021</v>
      </c>
      <c r="E876" s="2">
        <v>0</v>
      </c>
      <c r="F876" s="2">
        <v>107.7</v>
      </c>
      <c r="H876" s="1">
        <f>_xlfn.XLOOKUP('Customer Info'!A2379,'Customer Info'!A2379:A2478,'Customer Info'!E2379:E2478,0,0)</f>
        <v>0</v>
      </c>
      <c r="J876" s="1">
        <f>_xlfn.XLOOKUP('Customer Info'!A2379,'Customer Info'!A2379:A2478,'Customer Info'!M2379:M2478)</f>
        <v>0</v>
      </c>
    </row>
    <row r="877" spans="1:10" ht="14" hidden="1" x14ac:dyDescent="0.2">
      <c r="A877" s="2" t="s">
        <v>61</v>
      </c>
      <c r="B877" s="2">
        <v>23</v>
      </c>
      <c r="C877" s="2">
        <v>10</v>
      </c>
      <c r="D877" s="2">
        <v>2020</v>
      </c>
      <c r="E877" s="2">
        <v>79.98</v>
      </c>
      <c r="F877" s="2">
        <v>107.57</v>
      </c>
      <c r="H877" s="1">
        <f>_xlfn.XLOOKUP('Customer Info'!A441,'Customer Info'!A441:A540,'Customer Info'!E441:E540,0,0)</f>
        <v>0</v>
      </c>
      <c r="J877" s="1">
        <f>_xlfn.XLOOKUP('Customer Info'!A441,'Customer Info'!A441:A540,'Customer Info'!M441:M540)</f>
        <v>0</v>
      </c>
    </row>
    <row r="878" spans="1:10" ht="14" x14ac:dyDescent="0.2">
      <c r="A878" s="2" t="s">
        <v>5</v>
      </c>
      <c r="B878" s="2">
        <v>7</v>
      </c>
      <c r="C878" s="2">
        <v>7</v>
      </c>
      <c r="D878" s="2">
        <v>2021</v>
      </c>
      <c r="E878" s="2">
        <v>0</v>
      </c>
      <c r="F878" s="2">
        <v>107.57</v>
      </c>
      <c r="H878" s="1">
        <f>_xlfn.XLOOKUP('Customer Info'!A2380,'Customer Info'!A2380:A2479,'Customer Info'!E2380:E2479,0,0)</f>
        <v>0</v>
      </c>
      <c r="J878" s="1">
        <f>_xlfn.XLOOKUP('Customer Info'!A2380,'Customer Info'!A2380:A2479,'Customer Info'!M2380:M2479)</f>
        <v>0</v>
      </c>
    </row>
    <row r="879" spans="1:10" ht="14" hidden="1" x14ac:dyDescent="0.2">
      <c r="A879" s="2" t="s">
        <v>86</v>
      </c>
      <c r="B879" s="2">
        <v>6</v>
      </c>
      <c r="C879" s="2">
        <v>4</v>
      </c>
      <c r="D879" s="2">
        <v>2020</v>
      </c>
      <c r="E879" s="2">
        <v>85.5</v>
      </c>
      <c r="F879" s="2">
        <v>107.4</v>
      </c>
      <c r="H879" s="1">
        <f>_xlfn.XLOOKUP('Customer Info'!A416,'Customer Info'!A416:A515,'Customer Info'!E416:E515,0,0)</f>
        <v>0</v>
      </c>
      <c r="J879" s="1">
        <f>_xlfn.XLOOKUP('Customer Info'!A416,'Customer Info'!A416:A515,'Customer Info'!M416:M515)</f>
        <v>0</v>
      </c>
    </row>
    <row r="880" spans="1:10" ht="14" hidden="1" x14ac:dyDescent="0.2">
      <c r="A880" s="2" t="s">
        <v>16</v>
      </c>
      <c r="B880" s="2">
        <v>14</v>
      </c>
      <c r="C880" s="2">
        <v>9</v>
      </c>
      <c r="D880" s="2">
        <v>2020</v>
      </c>
      <c r="E880" s="2">
        <v>0</v>
      </c>
      <c r="F880" s="2">
        <v>107.4</v>
      </c>
      <c r="H880" s="1">
        <f>_xlfn.XLOOKUP('Customer Info'!A1172,'Customer Info'!A1172:A1271,'Customer Info'!E1172:E1271,0,0)</f>
        <v>0</v>
      </c>
      <c r="J880" s="1">
        <f>_xlfn.XLOOKUP('Customer Info'!A1172,'Customer Info'!A1172:A1271,'Customer Info'!M1172:M1271)</f>
        <v>0</v>
      </c>
    </row>
    <row r="881" spans="1:10" ht="14" x14ac:dyDescent="0.2">
      <c r="A881" s="2" t="s">
        <v>52</v>
      </c>
      <c r="B881" s="2">
        <v>1</v>
      </c>
      <c r="C881" s="2">
        <v>12</v>
      </c>
      <c r="D881" s="2">
        <v>2021</v>
      </c>
      <c r="E881" s="2">
        <v>127.1</v>
      </c>
      <c r="F881" s="2">
        <v>107.26</v>
      </c>
      <c r="H881" s="1">
        <f>_xlfn.XLOOKUP('Customer Info'!A1414,'Customer Info'!A1414:A1513,'Customer Info'!E1414:E1513,0,0)</f>
        <v>0</v>
      </c>
      <c r="J881" s="1">
        <f>_xlfn.XLOOKUP('Customer Info'!A1414,'Customer Info'!A1414:A1513,'Customer Info'!M1414:M1513)</f>
        <v>0</v>
      </c>
    </row>
    <row r="882" spans="1:10" ht="14" hidden="1" x14ac:dyDescent="0.2">
      <c r="A882" s="2" t="s">
        <v>72</v>
      </c>
      <c r="B882" s="2">
        <v>22</v>
      </c>
      <c r="C882" s="2">
        <v>10</v>
      </c>
      <c r="D882" s="2">
        <v>2020</v>
      </c>
      <c r="E882" s="2">
        <v>79.98</v>
      </c>
      <c r="F882" s="2">
        <v>107.26</v>
      </c>
      <c r="H882" s="1">
        <f>_xlfn.XLOOKUP('Customer Info'!A442,'Customer Info'!A442:A541,'Customer Info'!E442:E541,0,0)</f>
        <v>0</v>
      </c>
      <c r="J882" s="1">
        <f>_xlfn.XLOOKUP('Customer Info'!A442,'Customer Info'!A442:A541,'Customer Info'!M442:M541)</f>
        <v>0</v>
      </c>
    </row>
    <row r="883" spans="1:10" ht="14" hidden="1" x14ac:dyDescent="0.2">
      <c r="A883" s="2" t="s">
        <v>79</v>
      </c>
      <c r="B883" s="2">
        <v>3</v>
      </c>
      <c r="C883" s="2">
        <v>7</v>
      </c>
      <c r="D883" s="2">
        <v>2020</v>
      </c>
      <c r="E883" s="2">
        <v>48.67</v>
      </c>
      <c r="F883" s="2">
        <v>107.26</v>
      </c>
      <c r="H883" s="1">
        <f>_xlfn.XLOOKUP('Customer Info'!A653,'Customer Info'!A653:A752,'Customer Info'!E653:E752,0,0)</f>
        <v>0</v>
      </c>
      <c r="J883" s="1">
        <f>_xlfn.XLOOKUP('Customer Info'!A653,'Customer Info'!A653:A752,'Customer Info'!M653:M752)</f>
        <v>0</v>
      </c>
    </row>
    <row r="884" spans="1:10" ht="14" hidden="1" x14ac:dyDescent="0.2">
      <c r="A884" s="2" t="s">
        <v>71</v>
      </c>
      <c r="B884" s="2">
        <v>21</v>
      </c>
      <c r="C884" s="2">
        <v>5</v>
      </c>
      <c r="D884" s="2">
        <v>2020</v>
      </c>
      <c r="E884" s="2">
        <v>45.26</v>
      </c>
      <c r="F884" s="2">
        <v>106.95</v>
      </c>
      <c r="H884" s="1">
        <f>_xlfn.XLOOKUP('Customer Info'!A683,'Customer Info'!A683:A782,'Customer Info'!E683:E782,0,0)</f>
        <v>0</v>
      </c>
      <c r="J884" s="1">
        <f>_xlfn.XLOOKUP('Customer Info'!A683,'Customer Info'!A683:A782,'Customer Info'!M683:M782)</f>
        <v>0</v>
      </c>
    </row>
    <row r="885" spans="1:10" ht="14" hidden="1" x14ac:dyDescent="0.2">
      <c r="A885" s="2" t="s">
        <v>12</v>
      </c>
      <c r="B885" s="2">
        <v>2</v>
      </c>
      <c r="C885" s="2">
        <v>8</v>
      </c>
      <c r="D885" s="2">
        <v>2020</v>
      </c>
      <c r="E885" s="2">
        <v>0</v>
      </c>
      <c r="F885" s="2">
        <v>106.95</v>
      </c>
      <c r="H885" s="1">
        <f>_xlfn.XLOOKUP('Customer Info'!A1173,'Customer Info'!A1173:A1272,'Customer Info'!E1173:E1272,0,0)</f>
        <v>0</v>
      </c>
      <c r="J885" s="1">
        <f>_xlfn.XLOOKUP('Customer Info'!A1173,'Customer Info'!A1173:A1272,'Customer Info'!M1173:M1272)</f>
        <v>0</v>
      </c>
    </row>
    <row r="886" spans="1:10" ht="14" x14ac:dyDescent="0.2">
      <c r="A886" s="2" t="s">
        <v>13</v>
      </c>
      <c r="B886" s="2">
        <v>7</v>
      </c>
      <c r="C886" s="2">
        <v>5</v>
      </c>
      <c r="D886" s="2">
        <v>2021</v>
      </c>
      <c r="E886" s="2">
        <v>0</v>
      </c>
      <c r="F886" s="2">
        <v>106.64</v>
      </c>
      <c r="H886" s="1">
        <f>_xlfn.XLOOKUP('Customer Info'!A2381,'Customer Info'!A2381:A2480,'Customer Info'!E2381:E2480,0,0)</f>
        <v>0</v>
      </c>
      <c r="J886" s="1">
        <f>_xlfn.XLOOKUP('Customer Info'!A2381,'Customer Info'!A2381:A2480,'Customer Info'!M2381:M2480)</f>
        <v>0</v>
      </c>
    </row>
    <row r="887" spans="1:10" ht="14" hidden="1" x14ac:dyDescent="0.2">
      <c r="A887" s="2" t="s">
        <v>12</v>
      </c>
      <c r="B887" s="2">
        <v>2</v>
      </c>
      <c r="C887" s="2">
        <v>6</v>
      </c>
      <c r="D887" s="2">
        <v>2020</v>
      </c>
      <c r="E887" s="2">
        <v>0</v>
      </c>
      <c r="F887" s="2">
        <v>106.5</v>
      </c>
      <c r="H887" s="1">
        <f>_xlfn.XLOOKUP('Customer Info'!A1174,'Customer Info'!A1174:A1273,'Customer Info'!E1174:E1273,0,0)</f>
        <v>0</v>
      </c>
      <c r="J887" s="1">
        <f>_xlfn.XLOOKUP('Customer Info'!A1174,'Customer Info'!A1174:A1273,'Customer Info'!M1174:M1273)</f>
        <v>0</v>
      </c>
    </row>
    <row r="888" spans="1:10" ht="14" x14ac:dyDescent="0.2">
      <c r="A888" s="2" t="s">
        <v>70</v>
      </c>
      <c r="B888" s="2">
        <v>16</v>
      </c>
      <c r="C888" s="2">
        <v>4</v>
      </c>
      <c r="D888" s="2">
        <v>2021</v>
      </c>
      <c r="E888" s="2">
        <v>87.3</v>
      </c>
      <c r="F888" s="2">
        <v>106.2</v>
      </c>
      <c r="H888" s="1">
        <f>_xlfn.XLOOKUP('Customer Info'!A1625,'Customer Info'!A1625:A1724,'Customer Info'!E1625:E1724,0,0)</f>
        <v>0</v>
      </c>
      <c r="J888" s="1">
        <f>_xlfn.XLOOKUP('Customer Info'!A1625,'Customer Info'!A1625:A1724,'Customer Info'!M1625:M1724)</f>
        <v>0</v>
      </c>
    </row>
    <row r="889" spans="1:10" ht="14" x14ac:dyDescent="0.2">
      <c r="A889" s="2" t="s">
        <v>69</v>
      </c>
      <c r="B889" s="2">
        <v>12</v>
      </c>
      <c r="C889" s="2">
        <v>10</v>
      </c>
      <c r="D889" s="2">
        <v>2021</v>
      </c>
      <c r="E889" s="2">
        <v>77.19</v>
      </c>
      <c r="F889" s="2">
        <v>106.02</v>
      </c>
      <c r="H889" s="1">
        <f>_xlfn.XLOOKUP('Customer Info'!A1686,'Customer Info'!A1686:A1785,'Customer Info'!E1686:E1785,0,0)</f>
        <v>0</v>
      </c>
      <c r="J889" s="1">
        <f>_xlfn.XLOOKUP('Customer Info'!A1686,'Customer Info'!A1686:A1785,'Customer Info'!M1686:M1785)</f>
        <v>0</v>
      </c>
    </row>
    <row r="890" spans="1:10" ht="14" x14ac:dyDescent="0.2">
      <c r="A890" s="2" t="s">
        <v>13</v>
      </c>
      <c r="B890" s="2">
        <v>7</v>
      </c>
      <c r="C890" s="2">
        <v>7</v>
      </c>
      <c r="D890" s="2">
        <v>2021</v>
      </c>
      <c r="E890" s="2">
        <v>0</v>
      </c>
      <c r="F890" s="2">
        <v>106.02</v>
      </c>
      <c r="H890" s="1">
        <f>_xlfn.XLOOKUP('Customer Info'!A2382,'Customer Info'!A2382:A2481,'Customer Info'!E2382:E2481,0,0)</f>
        <v>0</v>
      </c>
      <c r="J890" s="1">
        <f>_xlfn.XLOOKUP('Customer Info'!A2382,'Customer Info'!A2382:A2481,'Customer Info'!M2382:M2481)</f>
        <v>0</v>
      </c>
    </row>
    <row r="891" spans="1:10" ht="14" x14ac:dyDescent="0.2">
      <c r="A891" s="2" t="s">
        <v>6</v>
      </c>
      <c r="B891" s="2">
        <v>7</v>
      </c>
      <c r="C891" s="2">
        <v>8</v>
      </c>
      <c r="D891" s="2">
        <v>2021</v>
      </c>
      <c r="E891" s="2">
        <v>0</v>
      </c>
      <c r="F891" s="2">
        <v>106.02</v>
      </c>
      <c r="H891" s="1">
        <f>_xlfn.XLOOKUP('Customer Info'!A2383,'Customer Info'!A2383:A2482,'Customer Info'!E2383:E2482,0,0)</f>
        <v>0</v>
      </c>
      <c r="J891" s="1">
        <f>_xlfn.XLOOKUP('Customer Info'!A2383,'Customer Info'!A2383:A2482,'Customer Info'!M2383:M2482)</f>
        <v>0</v>
      </c>
    </row>
    <row r="892" spans="1:10" ht="14" hidden="1" x14ac:dyDescent="0.2">
      <c r="A892" s="2" t="s">
        <v>79</v>
      </c>
      <c r="B892" s="2">
        <v>3</v>
      </c>
      <c r="C892" s="2">
        <v>11</v>
      </c>
      <c r="D892" s="2">
        <v>2020</v>
      </c>
      <c r="E892" s="2">
        <v>111.9</v>
      </c>
      <c r="F892" s="2">
        <v>105.9</v>
      </c>
      <c r="H892" s="1">
        <f>_xlfn.XLOOKUP('Customer Info'!A249,'Customer Info'!A249:A348,'Customer Info'!E249:E348,0,0)</f>
        <v>0</v>
      </c>
      <c r="J892" s="1">
        <f>_xlfn.XLOOKUP('Customer Info'!A249,'Customer Info'!A249:A348,'Customer Info'!M249:M348)</f>
        <v>0</v>
      </c>
    </row>
    <row r="893" spans="1:10" ht="14" x14ac:dyDescent="0.2">
      <c r="A893" s="2" t="s">
        <v>68</v>
      </c>
      <c r="B893" s="2">
        <v>11</v>
      </c>
      <c r="C893" s="2">
        <v>9</v>
      </c>
      <c r="D893" s="2">
        <v>2021</v>
      </c>
      <c r="E893" s="2">
        <v>60.6</v>
      </c>
      <c r="F893" s="2">
        <v>105.9</v>
      </c>
      <c r="H893" s="1">
        <f>_xlfn.XLOOKUP('Customer Info'!A1800,'Customer Info'!A1800:A1899,'Customer Info'!E1800:E1899,0,0)</f>
        <v>0</v>
      </c>
      <c r="J893" s="1">
        <f>_xlfn.XLOOKUP('Customer Info'!A1800,'Customer Info'!A1800:A1899,'Customer Info'!M1800:M1899)</f>
        <v>0</v>
      </c>
    </row>
    <row r="894" spans="1:10" ht="14" hidden="1" x14ac:dyDescent="0.2">
      <c r="A894" s="2" t="s">
        <v>83</v>
      </c>
      <c r="B894" s="2">
        <v>25</v>
      </c>
      <c r="C894" s="2">
        <v>6</v>
      </c>
      <c r="D894" s="2">
        <v>2020</v>
      </c>
      <c r="E894" s="2">
        <v>52.2</v>
      </c>
      <c r="F894" s="2">
        <v>105.9</v>
      </c>
      <c r="H894" s="1">
        <f>_xlfn.XLOOKUP('Customer Info'!A627,'Customer Info'!A627:A726,'Customer Info'!E627:E726,0,0)</f>
        <v>0</v>
      </c>
      <c r="J894" s="1">
        <f>_xlfn.XLOOKUP('Customer Info'!A627,'Customer Info'!A627:A726,'Customer Info'!M627:M726)</f>
        <v>0</v>
      </c>
    </row>
    <row r="895" spans="1:10" ht="14" hidden="1" x14ac:dyDescent="0.2">
      <c r="A895" s="2" t="s">
        <v>77</v>
      </c>
      <c r="B895" s="2">
        <v>16</v>
      </c>
      <c r="C895" s="2">
        <v>2</v>
      </c>
      <c r="D895" s="2">
        <v>2020</v>
      </c>
      <c r="E895" s="2">
        <v>116.48</v>
      </c>
      <c r="F895" s="2">
        <v>105.84</v>
      </c>
      <c r="H895" s="1">
        <f>_xlfn.XLOOKUP('Customer Info'!A222,'Customer Info'!A222:A321,'Customer Info'!E222:E321,0,0)</f>
        <v>0</v>
      </c>
      <c r="J895" s="1">
        <f>_xlfn.XLOOKUP('Customer Info'!A222,'Customer Info'!A222:A321,'Customer Info'!M222:M321)</f>
        <v>0</v>
      </c>
    </row>
    <row r="896" spans="1:10" ht="14" x14ac:dyDescent="0.2">
      <c r="A896" s="2" t="s">
        <v>77</v>
      </c>
      <c r="B896" s="2">
        <v>16</v>
      </c>
      <c r="C896" s="2">
        <v>10</v>
      </c>
      <c r="D896" s="2">
        <v>2021</v>
      </c>
      <c r="E896" s="2">
        <v>84.32</v>
      </c>
      <c r="F896" s="2">
        <v>105.71</v>
      </c>
      <c r="H896" s="1">
        <f>_xlfn.XLOOKUP('Customer Info'!A1639,'Customer Info'!A1639:A1738,'Customer Info'!E1639:E1738,0,0)</f>
        <v>0</v>
      </c>
      <c r="J896" s="1">
        <f>_xlfn.XLOOKUP('Customer Info'!A1639,'Customer Info'!A1639:A1738,'Customer Info'!M1639:M1738)</f>
        <v>0</v>
      </c>
    </row>
    <row r="897" spans="1:10" ht="14" hidden="1" x14ac:dyDescent="0.2">
      <c r="A897" s="2" t="s">
        <v>54</v>
      </c>
      <c r="B897" s="2">
        <v>5</v>
      </c>
      <c r="C897" s="2">
        <v>8</v>
      </c>
      <c r="D897" s="2">
        <v>2020</v>
      </c>
      <c r="E897" s="2">
        <v>39.369999999999997</v>
      </c>
      <c r="F897" s="2">
        <v>105.71</v>
      </c>
      <c r="H897" s="1">
        <f>_xlfn.XLOOKUP('Customer Info'!A739,'Customer Info'!A739:A838,'Customer Info'!E739:E838,0,0)</f>
        <v>0</v>
      </c>
      <c r="J897" s="1">
        <f>_xlfn.XLOOKUP('Customer Info'!A739,'Customer Info'!A739:A838,'Customer Info'!M739:M838)</f>
        <v>0</v>
      </c>
    </row>
    <row r="898" spans="1:10" ht="14" x14ac:dyDescent="0.2">
      <c r="A898" s="2" t="s">
        <v>61</v>
      </c>
      <c r="B898" s="2">
        <v>23</v>
      </c>
      <c r="C898" s="2">
        <v>9</v>
      </c>
      <c r="D898" s="2">
        <v>2021</v>
      </c>
      <c r="E898" s="2">
        <v>48.9</v>
      </c>
      <c r="F898" s="2">
        <v>105.6</v>
      </c>
      <c r="H898" s="1">
        <f>_xlfn.XLOOKUP('Customer Info'!A1876,'Customer Info'!A1876:A1975,'Customer Info'!E1876:E1975,0,0)</f>
        <v>0</v>
      </c>
      <c r="J898" s="1">
        <f>_xlfn.XLOOKUP('Customer Info'!A1876,'Customer Info'!A1876:A1975,'Customer Info'!M1876:M1975)</f>
        <v>0</v>
      </c>
    </row>
    <row r="899" spans="1:10" ht="14" hidden="1" x14ac:dyDescent="0.2">
      <c r="A899" s="2" t="s">
        <v>88</v>
      </c>
      <c r="B899" s="2">
        <v>23</v>
      </c>
      <c r="C899" s="2">
        <v>12</v>
      </c>
      <c r="D899" s="2">
        <v>2020</v>
      </c>
      <c r="E899" s="2">
        <v>149.72999999999999</v>
      </c>
      <c r="F899" s="2">
        <v>105.4</v>
      </c>
      <c r="H899" s="1">
        <f>_xlfn.XLOOKUP('Customer Info'!A150,'Customer Info'!A150:A249,'Customer Info'!E150:E249,0,0)</f>
        <v>0</v>
      </c>
      <c r="J899" s="1">
        <f>_xlfn.XLOOKUP('Customer Info'!A150,'Customer Info'!A150:A249,'Customer Info'!M150:M249)</f>
        <v>0</v>
      </c>
    </row>
    <row r="900" spans="1:10" ht="14" hidden="1" x14ac:dyDescent="0.2">
      <c r="A900" s="2" t="s">
        <v>83</v>
      </c>
      <c r="B900" s="2">
        <v>25</v>
      </c>
      <c r="C900" s="2">
        <v>3</v>
      </c>
      <c r="D900" s="2">
        <v>2020</v>
      </c>
      <c r="E900" s="2">
        <v>88.04</v>
      </c>
      <c r="F900" s="2">
        <v>105.4</v>
      </c>
      <c r="H900" s="1">
        <f>_xlfn.XLOOKUP('Customer Info'!A406,'Customer Info'!A406:A505,'Customer Info'!E406:E505,0,0)</f>
        <v>0</v>
      </c>
      <c r="J900" s="1">
        <f>_xlfn.XLOOKUP('Customer Info'!A406,'Customer Info'!A406:A505,'Customer Info'!M406:M505)</f>
        <v>0</v>
      </c>
    </row>
    <row r="901" spans="1:10" ht="14" hidden="1" x14ac:dyDescent="0.2">
      <c r="A901" s="2" t="s">
        <v>77</v>
      </c>
      <c r="B901" s="2">
        <v>16</v>
      </c>
      <c r="C901" s="2">
        <v>3</v>
      </c>
      <c r="D901" s="2">
        <v>2020</v>
      </c>
      <c r="E901" s="2">
        <v>74.400000000000006</v>
      </c>
      <c r="F901" s="2">
        <v>105.4</v>
      </c>
      <c r="H901" s="1">
        <f>_xlfn.XLOOKUP('Customer Info'!A472,'Customer Info'!A472:A571,'Customer Info'!E472:E571,0,0)</f>
        <v>0</v>
      </c>
      <c r="J901" s="1">
        <f>_xlfn.XLOOKUP('Customer Info'!A472,'Customer Info'!A472:A571,'Customer Info'!M472:M571)</f>
        <v>0</v>
      </c>
    </row>
    <row r="902" spans="1:10" ht="14" hidden="1" x14ac:dyDescent="0.2">
      <c r="A902" s="2" t="s">
        <v>86</v>
      </c>
      <c r="B902" s="2">
        <v>6</v>
      </c>
      <c r="C902" s="2">
        <v>7</v>
      </c>
      <c r="D902" s="2">
        <v>2020</v>
      </c>
      <c r="E902" s="2">
        <v>51.77</v>
      </c>
      <c r="F902" s="2">
        <v>105.4</v>
      </c>
      <c r="H902" s="1">
        <f>_xlfn.XLOOKUP('Customer Info'!A629,'Customer Info'!A629:A728,'Customer Info'!E629:E728,0,0)</f>
        <v>0</v>
      </c>
      <c r="J902" s="1">
        <f>_xlfn.XLOOKUP('Customer Info'!A629,'Customer Info'!A629:A728,'Customer Info'!M629:M728)</f>
        <v>0</v>
      </c>
    </row>
    <row r="903" spans="1:10" ht="14" x14ac:dyDescent="0.2">
      <c r="A903" s="2" t="s">
        <v>68</v>
      </c>
      <c r="B903" s="2">
        <v>11</v>
      </c>
      <c r="C903" s="2">
        <v>8</v>
      </c>
      <c r="D903" s="2">
        <v>2021</v>
      </c>
      <c r="E903" s="2">
        <v>51.46</v>
      </c>
      <c r="F903" s="2">
        <v>105.4</v>
      </c>
      <c r="H903" s="1">
        <f>_xlfn.XLOOKUP('Customer Info'!A1857,'Customer Info'!A1857:A1956,'Customer Info'!E1857:E1956,0,0)</f>
        <v>0</v>
      </c>
      <c r="J903" s="1">
        <f>_xlfn.XLOOKUP('Customer Info'!A1857,'Customer Info'!A1857:A1956,'Customer Info'!M1857:M1956)</f>
        <v>0</v>
      </c>
    </row>
    <row r="904" spans="1:10" ht="14" x14ac:dyDescent="0.2">
      <c r="A904" s="2" t="s">
        <v>78</v>
      </c>
      <c r="B904" s="2">
        <v>18</v>
      </c>
      <c r="C904" s="2">
        <v>5</v>
      </c>
      <c r="D904" s="2">
        <v>2021</v>
      </c>
      <c r="E904" s="2">
        <v>49.29</v>
      </c>
      <c r="F904" s="2">
        <v>105.4</v>
      </c>
      <c r="H904" s="1">
        <f>_xlfn.XLOOKUP('Customer Info'!A1872,'Customer Info'!A1872:A1971,'Customer Info'!E1872:E1971,0,0)</f>
        <v>0</v>
      </c>
      <c r="J904" s="1">
        <f>_xlfn.XLOOKUP('Customer Info'!A1872,'Customer Info'!A1872:A1971,'Customer Info'!M1872:M1971)</f>
        <v>0</v>
      </c>
    </row>
    <row r="905" spans="1:10" ht="14" x14ac:dyDescent="0.2">
      <c r="A905" s="2" t="s">
        <v>63</v>
      </c>
      <c r="B905" s="2">
        <v>25</v>
      </c>
      <c r="C905" s="2">
        <v>5</v>
      </c>
      <c r="D905" s="2">
        <v>2021</v>
      </c>
      <c r="E905" s="2">
        <v>43.09</v>
      </c>
      <c r="F905" s="2">
        <v>105.4</v>
      </c>
      <c r="H905" s="1">
        <f>_xlfn.XLOOKUP('Customer Info'!A1920,'Customer Info'!A1920:A2019,'Customer Info'!E1920:E2019,0,0)</f>
        <v>0</v>
      </c>
      <c r="J905" s="1">
        <f>_xlfn.XLOOKUP('Customer Info'!A1920,'Customer Info'!A1920:A2019,'Customer Info'!M1920:M2019)</f>
        <v>0</v>
      </c>
    </row>
    <row r="906" spans="1:10" ht="14" hidden="1" x14ac:dyDescent="0.2">
      <c r="A906" s="2" t="s">
        <v>16</v>
      </c>
      <c r="B906" s="2">
        <v>14</v>
      </c>
      <c r="C906" s="2">
        <v>5</v>
      </c>
      <c r="D906" s="2">
        <v>2020</v>
      </c>
      <c r="E906" s="2">
        <v>0</v>
      </c>
      <c r="F906" s="2">
        <v>105.4</v>
      </c>
      <c r="H906" s="1">
        <f>_xlfn.XLOOKUP('Customer Info'!A1175,'Customer Info'!A1175:A1274,'Customer Info'!E1175:E1274,0,0)</f>
        <v>0</v>
      </c>
      <c r="J906" s="1">
        <f>_xlfn.XLOOKUP('Customer Info'!A1175,'Customer Info'!A1175:A1274,'Customer Info'!M1175:M1274)</f>
        <v>0</v>
      </c>
    </row>
    <row r="907" spans="1:10" ht="14" hidden="1" x14ac:dyDescent="0.2">
      <c r="A907" s="2" t="s">
        <v>6</v>
      </c>
      <c r="B907" s="2">
        <v>7</v>
      </c>
      <c r="C907" s="2">
        <v>8</v>
      </c>
      <c r="D907" s="2">
        <v>2020</v>
      </c>
      <c r="E907" s="2">
        <v>0</v>
      </c>
      <c r="F907" s="2">
        <v>105.4</v>
      </c>
      <c r="H907" s="1">
        <f>_xlfn.XLOOKUP('Customer Info'!A1176,'Customer Info'!A1176:A1275,'Customer Info'!E1176:E1275,0,0)</f>
        <v>0</v>
      </c>
      <c r="J907" s="1">
        <f>_xlfn.XLOOKUP('Customer Info'!A1176,'Customer Info'!A1176:A1275,'Customer Info'!M1176:M1275)</f>
        <v>0</v>
      </c>
    </row>
    <row r="908" spans="1:10" ht="14" x14ac:dyDescent="0.2">
      <c r="A908" s="2" t="s">
        <v>16</v>
      </c>
      <c r="B908" s="2">
        <v>14</v>
      </c>
      <c r="C908" s="2">
        <v>7</v>
      </c>
      <c r="D908" s="2">
        <v>2021</v>
      </c>
      <c r="E908" s="2">
        <v>0</v>
      </c>
      <c r="F908" s="2">
        <v>105.4</v>
      </c>
      <c r="H908" s="1">
        <f>_xlfn.XLOOKUP('Customer Info'!A2384,'Customer Info'!A2384:A2483,'Customer Info'!E2384:E2483,0,0)</f>
        <v>0</v>
      </c>
      <c r="J908" s="1">
        <f>_xlfn.XLOOKUP('Customer Info'!A2384,'Customer Info'!A2384:A2483,'Customer Info'!M2384:M2483)</f>
        <v>0</v>
      </c>
    </row>
    <row r="909" spans="1:10" ht="14" x14ac:dyDescent="0.2">
      <c r="A909" s="2" t="s">
        <v>10</v>
      </c>
      <c r="B909" s="2">
        <v>18</v>
      </c>
      <c r="C909" s="2">
        <v>8</v>
      </c>
      <c r="D909" s="2">
        <v>2021</v>
      </c>
      <c r="E909" s="2">
        <v>0</v>
      </c>
      <c r="F909" s="2">
        <v>105.4</v>
      </c>
      <c r="H909" s="1">
        <f>_xlfn.XLOOKUP('Customer Info'!A2385,'Customer Info'!A2385:A2484,'Customer Info'!E2385:E2484,0,0)</f>
        <v>0</v>
      </c>
      <c r="J909" s="1">
        <f>_xlfn.XLOOKUP('Customer Info'!A2385,'Customer Info'!A2385:A2484,'Customer Info'!M2385:M2484)</f>
        <v>0</v>
      </c>
    </row>
    <row r="910" spans="1:10" ht="14" x14ac:dyDescent="0.2">
      <c r="A910" s="2" t="s">
        <v>97</v>
      </c>
      <c r="B910" s="2">
        <v>12</v>
      </c>
      <c r="C910" s="2">
        <v>6</v>
      </c>
      <c r="D910" s="2">
        <v>2021</v>
      </c>
      <c r="E910" s="1" t="s">
        <v>94</v>
      </c>
      <c r="F910" s="2">
        <v>105.3</v>
      </c>
      <c r="H910" s="1">
        <f>_xlfn.XLOOKUP('Customer Info'!A1291,'Customer Info'!A1291:A1390,'Customer Info'!E1291:E1390,0,0)</f>
        <v>0</v>
      </c>
      <c r="J910" s="1">
        <f>_xlfn.XLOOKUP('Customer Info'!A1291,'Customer Info'!A1291:A1390,'Customer Info'!M1291:M1390)</f>
        <v>0</v>
      </c>
    </row>
    <row r="911" spans="1:10" ht="14" x14ac:dyDescent="0.2">
      <c r="A911" s="2" t="s">
        <v>65</v>
      </c>
      <c r="B911" s="2">
        <v>11</v>
      </c>
      <c r="C911" s="2">
        <v>9</v>
      </c>
      <c r="D911" s="2">
        <v>2021</v>
      </c>
      <c r="E911" s="2">
        <v>52.5</v>
      </c>
      <c r="F911" s="2">
        <v>105.3</v>
      </c>
      <c r="H911" s="1">
        <f>_xlfn.XLOOKUP('Customer Info'!A1845,'Customer Info'!A1845:A1944,'Customer Info'!E1845:E1944,0,0)</f>
        <v>0</v>
      </c>
      <c r="J911" s="1">
        <f>_xlfn.XLOOKUP('Customer Info'!A1845,'Customer Info'!A1845:A1944,'Customer Info'!M1845:M1944)</f>
        <v>0</v>
      </c>
    </row>
    <row r="912" spans="1:10" ht="14" hidden="1" x14ac:dyDescent="0.2">
      <c r="A912" s="2" t="s">
        <v>15</v>
      </c>
      <c r="B912" s="2">
        <v>5</v>
      </c>
      <c r="C912" s="2">
        <v>6</v>
      </c>
      <c r="D912" s="2">
        <v>2020</v>
      </c>
      <c r="E912" s="2">
        <v>0</v>
      </c>
      <c r="F912" s="2">
        <v>105.3</v>
      </c>
      <c r="H912" s="1">
        <f>_xlfn.XLOOKUP('Customer Info'!A1177,'Customer Info'!A1177:A1276,'Customer Info'!E1177:E1276,0,0)</f>
        <v>0</v>
      </c>
      <c r="J912" s="1">
        <f>_xlfn.XLOOKUP('Customer Info'!A1177,'Customer Info'!A1177:A1276,'Customer Info'!M1177:M1276)</f>
        <v>0</v>
      </c>
    </row>
    <row r="913" spans="1:10" ht="14" x14ac:dyDescent="0.2">
      <c r="A913" s="2" t="s">
        <v>14</v>
      </c>
      <c r="B913" s="2">
        <v>10</v>
      </c>
      <c r="C913" s="2">
        <v>6</v>
      </c>
      <c r="D913" s="2">
        <v>2021</v>
      </c>
      <c r="E913" s="2">
        <v>0</v>
      </c>
      <c r="F913" s="2">
        <v>105.3</v>
      </c>
      <c r="H913" s="1">
        <f>_xlfn.XLOOKUP('Customer Info'!A2386,'Customer Info'!A2386:A2485,'Customer Info'!E2386:E2485,0,0)</f>
        <v>0</v>
      </c>
      <c r="J913" s="1">
        <f>_xlfn.XLOOKUP('Customer Info'!A2386,'Customer Info'!A2386:A2485,'Customer Info'!M2386:M2485)</f>
        <v>0</v>
      </c>
    </row>
    <row r="914" spans="1:10" ht="14" x14ac:dyDescent="0.2">
      <c r="A914" s="2" t="s">
        <v>90</v>
      </c>
      <c r="B914" s="2">
        <v>18</v>
      </c>
      <c r="C914" s="2">
        <v>1</v>
      </c>
      <c r="D914" s="2">
        <v>2021</v>
      </c>
      <c r="E914" s="2">
        <v>162.44</v>
      </c>
      <c r="F914" s="2">
        <v>105.09</v>
      </c>
      <c r="H914" s="1">
        <f>_xlfn.XLOOKUP('Customer Info'!A1339,'Customer Info'!A1339:A1438,'Customer Info'!E1339:E1438,0,0)</f>
        <v>0</v>
      </c>
      <c r="J914" s="1">
        <f>_xlfn.XLOOKUP('Customer Info'!A1339,'Customer Info'!A1339:A1438,'Customer Info'!M1339:M1438)</f>
        <v>0</v>
      </c>
    </row>
    <row r="915" spans="1:10" ht="14" x14ac:dyDescent="0.2">
      <c r="A915" s="2" t="s">
        <v>83</v>
      </c>
      <c r="B915" s="2">
        <v>25</v>
      </c>
      <c r="C915" s="2">
        <v>5</v>
      </c>
      <c r="D915" s="2">
        <v>2021</v>
      </c>
      <c r="E915" s="2">
        <v>64.17</v>
      </c>
      <c r="F915" s="2">
        <v>105.09</v>
      </c>
      <c r="H915" s="1">
        <f>_xlfn.XLOOKUP('Customer Info'!A1774,'Customer Info'!A1774:A1873,'Customer Info'!E1774:E1873,0,0)</f>
        <v>0</v>
      </c>
      <c r="J915" s="1">
        <f>_xlfn.XLOOKUP('Customer Info'!A1774,'Customer Info'!A1774:A1873,'Customer Info'!M1774:M1873)</f>
        <v>0</v>
      </c>
    </row>
    <row r="916" spans="1:10" ht="14" hidden="1" x14ac:dyDescent="0.2">
      <c r="A916" s="2" t="s">
        <v>41</v>
      </c>
      <c r="B916" s="2">
        <v>15</v>
      </c>
      <c r="C916" s="2">
        <v>5</v>
      </c>
      <c r="D916" s="2">
        <v>2020</v>
      </c>
      <c r="E916" s="2">
        <v>30.38</v>
      </c>
      <c r="F916" s="2">
        <v>105.09</v>
      </c>
      <c r="H916" s="1">
        <f>_xlfn.XLOOKUP('Customer Info'!A817,'Customer Info'!A817:A916,'Customer Info'!E817:E916,0,0)</f>
        <v>0</v>
      </c>
      <c r="J916" s="1">
        <f>_xlfn.XLOOKUP('Customer Info'!A817,'Customer Info'!A817:A916,'Customer Info'!M817:M916)</f>
        <v>0</v>
      </c>
    </row>
    <row r="917" spans="1:10" ht="14" hidden="1" x14ac:dyDescent="0.2">
      <c r="A917" s="2" t="s">
        <v>3</v>
      </c>
      <c r="B917" s="2">
        <v>25</v>
      </c>
      <c r="C917" s="2">
        <v>8</v>
      </c>
      <c r="D917" s="2">
        <v>2020</v>
      </c>
      <c r="E917" s="2">
        <v>0</v>
      </c>
      <c r="F917" s="2">
        <v>105.09</v>
      </c>
      <c r="H917" s="1">
        <f>_xlfn.XLOOKUP('Customer Info'!A1178,'Customer Info'!A1178:A1277,'Customer Info'!E1178:E1277,0,0)</f>
        <v>0</v>
      </c>
      <c r="J917" s="1">
        <f>_xlfn.XLOOKUP('Customer Info'!A1178,'Customer Info'!A1178:A1277,'Customer Info'!M1178:M1277)</f>
        <v>0</v>
      </c>
    </row>
    <row r="918" spans="1:10" ht="14" x14ac:dyDescent="0.2">
      <c r="A918" s="2" t="s">
        <v>98</v>
      </c>
      <c r="B918" s="2">
        <v>21</v>
      </c>
      <c r="C918" s="2">
        <v>9</v>
      </c>
      <c r="D918" s="2">
        <v>2021</v>
      </c>
      <c r="E918" s="1" t="s">
        <v>94</v>
      </c>
      <c r="F918" s="2">
        <v>105</v>
      </c>
      <c r="H918" s="1">
        <f>_xlfn.XLOOKUP('Customer Info'!A1292,'Customer Info'!A1292:A1391,'Customer Info'!E1292:E1391,0,0)</f>
        <v>0</v>
      </c>
      <c r="J918" s="1">
        <f>_xlfn.XLOOKUP('Customer Info'!A1292,'Customer Info'!A1292:A1391,'Customer Info'!M1292:M1391)</f>
        <v>0</v>
      </c>
    </row>
    <row r="919" spans="1:10" ht="14" hidden="1" x14ac:dyDescent="0.2">
      <c r="A919" s="2" t="s">
        <v>10</v>
      </c>
      <c r="B919" s="2">
        <v>18</v>
      </c>
      <c r="C919" s="2">
        <v>9</v>
      </c>
      <c r="D919" s="2">
        <v>2020</v>
      </c>
      <c r="E919" s="1" t="s">
        <v>94</v>
      </c>
      <c r="F919" s="2">
        <v>105</v>
      </c>
      <c r="H919" s="1">
        <f>_xlfn.XLOOKUP('Customer Info'!A99,'Customer Info'!A99:A198,'Customer Info'!E99:E198,0,0)</f>
        <v>5</v>
      </c>
      <c r="I919" s="1" t="str">
        <f>_xlfn.XLOOKUP('Customer Info'!A99,'Customer Info'!A99:A198,'Customer Info'!J99:J198,0)</f>
        <v>Scottish Gas</v>
      </c>
      <c r="J919" s="1" t="b">
        <f>_xlfn.XLOOKUP('Customer Info'!A99,'Customer Info'!A99:A198,'Customer Info'!M99:M198)</f>
        <v>0</v>
      </c>
    </row>
    <row r="920" spans="1:10" ht="14" x14ac:dyDescent="0.2">
      <c r="A920" s="2" t="s">
        <v>77</v>
      </c>
      <c r="B920" s="2">
        <v>16</v>
      </c>
      <c r="C920" s="2">
        <v>6</v>
      </c>
      <c r="D920" s="2">
        <v>2021</v>
      </c>
      <c r="E920" s="2">
        <v>44.1</v>
      </c>
      <c r="F920" s="2">
        <v>105</v>
      </c>
      <c r="H920" s="1">
        <f>_xlfn.XLOOKUP('Customer Info'!A1911,'Customer Info'!A1911:A2010,'Customer Info'!E1911:E2010,0,0)</f>
        <v>0</v>
      </c>
      <c r="J920" s="1">
        <f>_xlfn.XLOOKUP('Customer Info'!A1911,'Customer Info'!A1911:A2010,'Customer Info'!M1911:M2010)</f>
        <v>0</v>
      </c>
    </row>
    <row r="921" spans="1:10" ht="14" x14ac:dyDescent="0.2">
      <c r="A921" s="2" t="s">
        <v>52</v>
      </c>
      <c r="B921" s="2">
        <v>1</v>
      </c>
      <c r="C921" s="2">
        <v>6</v>
      </c>
      <c r="D921" s="2">
        <v>2021</v>
      </c>
      <c r="E921" s="2">
        <v>38.1</v>
      </c>
      <c r="F921" s="2">
        <v>105</v>
      </c>
      <c r="H921" s="1">
        <f>_xlfn.XLOOKUP('Customer Info'!A1962,'Customer Info'!A1962:A2061,'Customer Info'!E1962:E2061,0,0)</f>
        <v>0</v>
      </c>
      <c r="J921" s="1">
        <f>_xlfn.XLOOKUP('Customer Info'!A1962,'Customer Info'!A1962:A2061,'Customer Info'!M1962:M2061)</f>
        <v>0</v>
      </c>
    </row>
    <row r="922" spans="1:10" ht="14" hidden="1" x14ac:dyDescent="0.2">
      <c r="A922" s="2" t="s">
        <v>4</v>
      </c>
      <c r="B922" s="2">
        <v>1</v>
      </c>
      <c r="C922" s="2">
        <v>7</v>
      </c>
      <c r="D922" s="2">
        <v>2020</v>
      </c>
      <c r="E922" s="1" t="s">
        <v>94</v>
      </c>
      <c r="F922" s="2">
        <v>104.78</v>
      </c>
      <c r="H922" s="1">
        <f>_xlfn.XLOOKUP('Customer Info'!A100,'Customer Info'!A100:A199,'Customer Info'!E100:E199,0,0)</f>
        <v>2</v>
      </c>
      <c r="I922" s="1" t="str">
        <f>_xlfn.XLOOKUP('Customer Info'!A100,'Customer Info'!A100:A199,'Customer Info'!J100:J199,0)</f>
        <v>Scottish Gas</v>
      </c>
      <c r="J922" s="1" t="b">
        <f>_xlfn.XLOOKUP('Customer Info'!A100,'Customer Info'!A100:A199,'Customer Info'!M100:M199)</f>
        <v>0</v>
      </c>
    </row>
    <row r="923" spans="1:10" ht="14" x14ac:dyDescent="0.2">
      <c r="A923" s="2" t="s">
        <v>86</v>
      </c>
      <c r="B923" s="2">
        <v>6</v>
      </c>
      <c r="C923" s="2">
        <v>1</v>
      </c>
      <c r="D923" s="2">
        <v>2021</v>
      </c>
      <c r="E923" s="2">
        <v>133.61000000000001</v>
      </c>
      <c r="F923" s="2">
        <v>104.78</v>
      </c>
      <c r="H923" s="1">
        <f>_xlfn.XLOOKUP('Customer Info'!A1387,'Customer Info'!A1387:A1486,'Customer Info'!E1387:E1486,0,0)</f>
        <v>0</v>
      </c>
      <c r="J923" s="1">
        <f>_xlfn.XLOOKUP('Customer Info'!A1387,'Customer Info'!A1387:A1486,'Customer Info'!M1387:M1486)</f>
        <v>0</v>
      </c>
    </row>
    <row r="924" spans="1:10" ht="14" x14ac:dyDescent="0.2">
      <c r="A924" s="2" t="s">
        <v>81</v>
      </c>
      <c r="B924" s="2">
        <v>19</v>
      </c>
      <c r="C924" s="2">
        <v>7</v>
      </c>
      <c r="D924" s="2">
        <v>2021</v>
      </c>
      <c r="E924" s="2">
        <v>54.56</v>
      </c>
      <c r="F924" s="2">
        <v>104.78</v>
      </c>
      <c r="H924" s="1">
        <f>_xlfn.XLOOKUP('Customer Info'!A1835,'Customer Info'!A1835:A1934,'Customer Info'!E1835:E1934,0,0)</f>
        <v>0</v>
      </c>
      <c r="J924" s="1">
        <f>_xlfn.XLOOKUP('Customer Info'!A1835,'Customer Info'!A1835:A1934,'Customer Info'!M1835:M1934)</f>
        <v>0</v>
      </c>
    </row>
    <row r="925" spans="1:10" ht="14" hidden="1" x14ac:dyDescent="0.2">
      <c r="A925" s="2" t="s">
        <v>61</v>
      </c>
      <c r="B925" s="2">
        <v>23</v>
      </c>
      <c r="C925" s="2">
        <v>5</v>
      </c>
      <c r="D925" s="2">
        <v>2020</v>
      </c>
      <c r="E925" s="2">
        <v>54.25</v>
      </c>
      <c r="F925" s="2">
        <v>104.78</v>
      </c>
      <c r="H925" s="1">
        <f>_xlfn.XLOOKUP('Customer Info'!A617,'Customer Info'!A617:A716,'Customer Info'!E617:E716,0,0)</f>
        <v>0</v>
      </c>
      <c r="J925" s="1">
        <f>_xlfn.XLOOKUP('Customer Info'!A617,'Customer Info'!A617:A716,'Customer Info'!M617:M716)</f>
        <v>0</v>
      </c>
    </row>
    <row r="926" spans="1:10" ht="14" x14ac:dyDescent="0.2">
      <c r="A926" s="2" t="s">
        <v>72</v>
      </c>
      <c r="B926" s="2">
        <v>22</v>
      </c>
      <c r="C926" s="2">
        <v>11</v>
      </c>
      <c r="D926" s="2">
        <v>2021</v>
      </c>
      <c r="E926" s="2">
        <v>152.1</v>
      </c>
      <c r="F926" s="2">
        <v>104.7</v>
      </c>
      <c r="H926" s="1">
        <f>_xlfn.XLOOKUP('Customer Info'!A1348,'Customer Info'!A1348:A1447,'Customer Info'!E1348:E1447,0,0)</f>
        <v>0</v>
      </c>
      <c r="J926" s="1">
        <f>_xlfn.XLOOKUP('Customer Info'!A1348,'Customer Info'!A1348:A1447,'Customer Info'!M1348:M1447)</f>
        <v>0</v>
      </c>
    </row>
    <row r="927" spans="1:10" ht="14" hidden="1" x14ac:dyDescent="0.2">
      <c r="A927" s="2" t="s">
        <v>1</v>
      </c>
      <c r="B927" s="2">
        <v>21</v>
      </c>
      <c r="C927" s="2">
        <v>9</v>
      </c>
      <c r="D927" s="2">
        <v>2020</v>
      </c>
      <c r="E927" s="2">
        <v>0</v>
      </c>
      <c r="F927" s="2">
        <v>104.7</v>
      </c>
      <c r="H927" s="1">
        <f>_xlfn.XLOOKUP('Customer Info'!A1179,'Customer Info'!A1179:A1278,'Customer Info'!E1179:E1278,0,0)</f>
        <v>0</v>
      </c>
      <c r="J927" s="1">
        <f>_xlfn.XLOOKUP('Customer Info'!A1179,'Customer Info'!A1179:A1278,'Customer Info'!M1179:M1278)</f>
        <v>0</v>
      </c>
    </row>
    <row r="928" spans="1:10" ht="14" hidden="1" x14ac:dyDescent="0.2">
      <c r="A928" s="2" t="s">
        <v>72</v>
      </c>
      <c r="B928" s="2">
        <v>22</v>
      </c>
      <c r="C928" s="2">
        <v>12</v>
      </c>
      <c r="D928" s="2">
        <v>2020</v>
      </c>
      <c r="E928" s="2">
        <v>101.99</v>
      </c>
      <c r="F928" s="2">
        <v>104.47</v>
      </c>
      <c r="H928" s="1">
        <f>_xlfn.XLOOKUP('Customer Info'!A318,'Customer Info'!A318:A417,'Customer Info'!E318:E417,0,0)</f>
        <v>0</v>
      </c>
      <c r="J928" s="1">
        <f>_xlfn.XLOOKUP('Customer Info'!A318,'Customer Info'!A318:A417,'Customer Info'!M318:M417)</f>
        <v>0</v>
      </c>
    </row>
    <row r="929" spans="1:10" ht="14" x14ac:dyDescent="0.2">
      <c r="A929" s="2" t="s">
        <v>79</v>
      </c>
      <c r="B929" s="2">
        <v>3</v>
      </c>
      <c r="C929" s="2">
        <v>7</v>
      </c>
      <c r="D929" s="2">
        <v>2021</v>
      </c>
      <c r="E929" s="2">
        <v>58.9</v>
      </c>
      <c r="F929" s="2">
        <v>104.47</v>
      </c>
      <c r="H929" s="1">
        <f>_xlfn.XLOOKUP('Customer Info'!A1813,'Customer Info'!A1813:A1912,'Customer Info'!E1813:E1912,0,0)</f>
        <v>0</v>
      </c>
      <c r="J929" s="1">
        <f>_xlfn.XLOOKUP('Customer Info'!A1813,'Customer Info'!A1813:A1912,'Customer Info'!M1813:M1912)</f>
        <v>0</v>
      </c>
    </row>
    <row r="930" spans="1:10" ht="14" hidden="1" x14ac:dyDescent="0.2">
      <c r="A930" s="2" t="s">
        <v>1</v>
      </c>
      <c r="B930" s="2">
        <v>21</v>
      </c>
      <c r="C930" s="2">
        <v>5</v>
      </c>
      <c r="D930" s="2">
        <v>2020</v>
      </c>
      <c r="E930" s="2">
        <v>0</v>
      </c>
      <c r="F930" s="2">
        <v>104.47</v>
      </c>
      <c r="H930" s="1">
        <f>_xlfn.XLOOKUP('Customer Info'!A1180,'Customer Info'!A1180:A1279,'Customer Info'!E1180:E1279,0,0)</f>
        <v>0</v>
      </c>
      <c r="J930" s="1">
        <f>_xlfn.XLOOKUP('Customer Info'!A1180,'Customer Info'!A1180:A1279,'Customer Info'!M1180:M1279)</f>
        <v>0</v>
      </c>
    </row>
    <row r="931" spans="1:10" ht="14" hidden="1" x14ac:dyDescent="0.2">
      <c r="A931" s="2" t="s">
        <v>3</v>
      </c>
      <c r="B931" s="2">
        <v>25</v>
      </c>
      <c r="C931" s="2">
        <v>5</v>
      </c>
      <c r="D931" s="2">
        <v>2020</v>
      </c>
      <c r="E931" s="2">
        <v>0</v>
      </c>
      <c r="F931" s="2">
        <v>104.47</v>
      </c>
      <c r="H931" s="1">
        <f>_xlfn.XLOOKUP('Customer Info'!A1181,'Customer Info'!A1181:A1280,'Customer Info'!E1181:E1280,0,0)</f>
        <v>0</v>
      </c>
      <c r="J931" s="1">
        <f>_xlfn.XLOOKUP('Customer Info'!A1181,'Customer Info'!A1181:A1280,'Customer Info'!M1181:M1280)</f>
        <v>0</v>
      </c>
    </row>
    <row r="932" spans="1:10" ht="14" hidden="1" x14ac:dyDescent="0.2">
      <c r="A932" s="2" t="s">
        <v>54</v>
      </c>
      <c r="B932" s="2">
        <v>5</v>
      </c>
      <c r="C932" s="2">
        <v>4</v>
      </c>
      <c r="D932" s="2">
        <v>2020</v>
      </c>
      <c r="E932" s="2">
        <v>60.9</v>
      </c>
      <c r="F932" s="2">
        <v>104.4</v>
      </c>
      <c r="H932" s="1">
        <f>_xlfn.XLOOKUP('Customer Info'!A580,'Customer Info'!A580:A679,'Customer Info'!E580:E679,0,0)</f>
        <v>0</v>
      </c>
      <c r="J932" s="1">
        <f>_xlfn.XLOOKUP('Customer Info'!A580,'Customer Info'!A580:A679,'Customer Info'!M580:M679)</f>
        <v>0</v>
      </c>
    </row>
    <row r="933" spans="1:10" ht="14" x14ac:dyDescent="0.2">
      <c r="A933" s="2" t="s">
        <v>3</v>
      </c>
      <c r="B933" s="2">
        <v>25</v>
      </c>
      <c r="C933" s="2">
        <v>5</v>
      </c>
      <c r="D933" s="2">
        <v>2021</v>
      </c>
      <c r="E933" s="1" t="s">
        <v>94</v>
      </c>
      <c r="F933" s="2">
        <v>104.16</v>
      </c>
      <c r="H933" s="1">
        <f>_xlfn.XLOOKUP('Customer Info'!A1293,'Customer Info'!A1293:A1392,'Customer Info'!E1293:E1392,0,0)</f>
        <v>0</v>
      </c>
      <c r="J933" s="1">
        <f>_xlfn.XLOOKUP('Customer Info'!A1293,'Customer Info'!A1293:A1392,'Customer Info'!M1293:M1392)</f>
        <v>0</v>
      </c>
    </row>
    <row r="934" spans="1:10" ht="14" x14ac:dyDescent="0.2">
      <c r="A934" s="2" t="s">
        <v>84</v>
      </c>
      <c r="B934" s="2">
        <v>20</v>
      </c>
      <c r="C934" s="2">
        <v>12</v>
      </c>
      <c r="D934" s="2">
        <v>2021</v>
      </c>
      <c r="E934" s="2">
        <v>126.17</v>
      </c>
      <c r="F934" s="2">
        <v>104.16</v>
      </c>
      <c r="H934" s="1">
        <f>_xlfn.XLOOKUP('Customer Info'!A1418,'Customer Info'!A1418:A1517,'Customer Info'!E1418:E1517,0,0)</f>
        <v>0</v>
      </c>
      <c r="J934" s="1">
        <f>_xlfn.XLOOKUP('Customer Info'!A1418,'Customer Info'!A1418:A1517,'Customer Info'!M1418:M1517)</f>
        <v>0</v>
      </c>
    </row>
    <row r="935" spans="1:10" ht="14" hidden="1" x14ac:dyDescent="0.2">
      <c r="A935" s="2" t="s">
        <v>83</v>
      </c>
      <c r="B935" s="2">
        <v>25</v>
      </c>
      <c r="C935" s="2">
        <v>8</v>
      </c>
      <c r="D935" s="2">
        <v>2020</v>
      </c>
      <c r="E935" s="2">
        <v>56.11</v>
      </c>
      <c r="F935" s="2">
        <v>104.16</v>
      </c>
      <c r="H935" s="1">
        <f>_xlfn.XLOOKUP('Customer Info'!A606,'Customer Info'!A606:A705,'Customer Info'!E606:E705,0,0)</f>
        <v>0</v>
      </c>
      <c r="J935" s="1">
        <f>_xlfn.XLOOKUP('Customer Info'!A606,'Customer Info'!A606:A705,'Customer Info'!M606:M705)</f>
        <v>0</v>
      </c>
    </row>
    <row r="936" spans="1:10" ht="14" x14ac:dyDescent="0.2">
      <c r="A936" s="2" t="s">
        <v>41</v>
      </c>
      <c r="B936" s="2">
        <v>15</v>
      </c>
      <c r="C936" s="2">
        <v>9</v>
      </c>
      <c r="D936" s="2">
        <v>2021</v>
      </c>
      <c r="E936" s="2">
        <v>42.6</v>
      </c>
      <c r="F936" s="2">
        <v>104.1</v>
      </c>
      <c r="H936" s="1">
        <f>_xlfn.XLOOKUP('Customer Info'!A1925,'Customer Info'!A1925:A2024,'Customer Info'!E1925:E2024,0,0)</f>
        <v>0</v>
      </c>
      <c r="J936" s="1">
        <f>_xlfn.XLOOKUP('Customer Info'!A1925,'Customer Info'!A1925:A2024,'Customer Info'!M1925:M2024)</f>
        <v>0</v>
      </c>
    </row>
    <row r="937" spans="1:10" ht="14" hidden="1" x14ac:dyDescent="0.2">
      <c r="A937" s="2" t="s">
        <v>8</v>
      </c>
      <c r="B937" s="2">
        <v>5</v>
      </c>
      <c r="C937" s="2">
        <v>9</v>
      </c>
      <c r="D937" s="2">
        <v>2020</v>
      </c>
      <c r="E937" s="2">
        <v>0</v>
      </c>
      <c r="F937" s="2">
        <v>104.1</v>
      </c>
      <c r="H937" s="1">
        <f>_xlfn.XLOOKUP('Customer Info'!A1182,'Customer Info'!A1182:A1281,'Customer Info'!E1182:E1281,0,0)</f>
        <v>0</v>
      </c>
      <c r="J937" s="1">
        <f>_xlfn.XLOOKUP('Customer Info'!A1182,'Customer Info'!A1182:A1281,'Customer Info'!M1182:M1281)</f>
        <v>0</v>
      </c>
    </row>
    <row r="938" spans="1:10" ht="14" x14ac:dyDescent="0.2">
      <c r="A938" s="2" t="s">
        <v>5</v>
      </c>
      <c r="B938" s="2">
        <v>7</v>
      </c>
      <c r="C938" s="2">
        <v>6</v>
      </c>
      <c r="D938" s="2">
        <v>2021</v>
      </c>
      <c r="E938" s="2">
        <v>0</v>
      </c>
      <c r="F938" s="2">
        <v>104.1</v>
      </c>
      <c r="H938" s="1">
        <f>_xlfn.XLOOKUP('Customer Info'!A2387,'Customer Info'!A2387:A2486,'Customer Info'!E2387:E2486,0,0)</f>
        <v>0</v>
      </c>
      <c r="J938" s="1">
        <f>_xlfn.XLOOKUP('Customer Info'!A2387,'Customer Info'!A2387:A2486,'Customer Info'!M2387:M2486)</f>
        <v>0</v>
      </c>
    </row>
    <row r="939" spans="1:10" ht="14" x14ac:dyDescent="0.2">
      <c r="A939" s="2" t="s">
        <v>72</v>
      </c>
      <c r="B939" s="2">
        <v>22</v>
      </c>
      <c r="C939" s="2">
        <v>9</v>
      </c>
      <c r="D939" s="2">
        <v>2021</v>
      </c>
      <c r="E939" s="2">
        <v>56.1</v>
      </c>
      <c r="F939" s="2">
        <v>103.8</v>
      </c>
      <c r="H939" s="1">
        <f>_xlfn.XLOOKUP('Customer Info'!A1829,'Customer Info'!A1829:A1928,'Customer Info'!E1829:E1928,0,0)</f>
        <v>0</v>
      </c>
      <c r="J939" s="1">
        <f>_xlfn.XLOOKUP('Customer Info'!A1829,'Customer Info'!A1829:A1928,'Customer Info'!M1829:M1928)</f>
        <v>0</v>
      </c>
    </row>
    <row r="940" spans="1:10" ht="14" hidden="1" x14ac:dyDescent="0.2">
      <c r="A940" s="2" t="s">
        <v>13</v>
      </c>
      <c r="B940" s="2">
        <v>7</v>
      </c>
      <c r="C940" s="2">
        <v>6</v>
      </c>
      <c r="D940" s="2">
        <v>2020</v>
      </c>
      <c r="E940" s="2">
        <v>0</v>
      </c>
      <c r="F940" s="2">
        <v>103.8</v>
      </c>
      <c r="H940" s="1">
        <f>_xlfn.XLOOKUP('Customer Info'!A1183,'Customer Info'!A1183:A1282,'Customer Info'!E1183:E1282,0,0)</f>
        <v>0</v>
      </c>
      <c r="J940" s="1">
        <f>_xlfn.XLOOKUP('Customer Info'!A1183,'Customer Info'!A1183:A1282,'Customer Info'!M1183:M1282)</f>
        <v>0</v>
      </c>
    </row>
    <row r="941" spans="1:10" ht="14" x14ac:dyDescent="0.2">
      <c r="A941" s="2" t="s">
        <v>69</v>
      </c>
      <c r="B941" s="2">
        <v>12</v>
      </c>
      <c r="C941" s="2">
        <v>3</v>
      </c>
      <c r="D941" s="2">
        <v>2021</v>
      </c>
      <c r="E941" s="2">
        <v>83.39</v>
      </c>
      <c r="F941" s="2">
        <v>103.54</v>
      </c>
      <c r="H941" s="1">
        <f>_xlfn.XLOOKUP('Customer Info'!A1643,'Customer Info'!A1643:A1742,'Customer Info'!E1643:E1742,0,0)</f>
        <v>0</v>
      </c>
      <c r="J941" s="1">
        <f>_xlfn.XLOOKUP('Customer Info'!A1643,'Customer Info'!A1643:A1742,'Customer Info'!M1643:M1742)</f>
        <v>0</v>
      </c>
    </row>
    <row r="942" spans="1:10" ht="14" x14ac:dyDescent="0.2">
      <c r="A942" s="2" t="s">
        <v>43</v>
      </c>
      <c r="B942" s="2">
        <v>15</v>
      </c>
      <c r="C942" s="2">
        <v>5</v>
      </c>
      <c r="D942" s="2">
        <v>2021</v>
      </c>
      <c r="E942" s="2">
        <v>44.95</v>
      </c>
      <c r="F942" s="2">
        <v>103.54</v>
      </c>
      <c r="H942" s="1">
        <f>_xlfn.XLOOKUP('Customer Info'!A1906,'Customer Info'!A1906:A2005,'Customer Info'!E1906:E2005,0,0)</f>
        <v>0</v>
      </c>
      <c r="J942" s="1">
        <f>_xlfn.XLOOKUP('Customer Info'!A1906,'Customer Info'!A1906:A2005,'Customer Info'!M1906:M2005)</f>
        <v>0</v>
      </c>
    </row>
    <row r="943" spans="1:10" ht="14" x14ac:dyDescent="0.2">
      <c r="A943" s="2" t="s">
        <v>52</v>
      </c>
      <c r="B943" s="2">
        <v>1</v>
      </c>
      <c r="C943" s="2">
        <v>8</v>
      </c>
      <c r="D943" s="2">
        <v>2021</v>
      </c>
      <c r="E943" s="2">
        <v>38.130000000000003</v>
      </c>
      <c r="F943" s="2">
        <v>103.54</v>
      </c>
      <c r="H943" s="1">
        <f>_xlfn.XLOOKUP('Customer Info'!A1957,'Customer Info'!A1957:A2056,'Customer Info'!E1957:E2056,0,0)</f>
        <v>0</v>
      </c>
      <c r="J943" s="1">
        <f>_xlfn.XLOOKUP('Customer Info'!A1957,'Customer Info'!A1957:A2056,'Customer Info'!M1957:M2056)</f>
        <v>0</v>
      </c>
    </row>
    <row r="944" spans="1:10" ht="14" hidden="1" x14ac:dyDescent="0.2">
      <c r="A944" s="2" t="s">
        <v>61</v>
      </c>
      <c r="B944" s="2">
        <v>23</v>
      </c>
      <c r="C944" s="2">
        <v>9</v>
      </c>
      <c r="D944" s="2">
        <v>2020</v>
      </c>
      <c r="E944" s="2">
        <v>49.5</v>
      </c>
      <c r="F944" s="2">
        <v>103.5</v>
      </c>
      <c r="H944" s="1">
        <f>_xlfn.XLOOKUP('Customer Info'!A649,'Customer Info'!A649:A748,'Customer Info'!E649:E748,0,0)</f>
        <v>0</v>
      </c>
      <c r="J944" s="1">
        <f>_xlfn.XLOOKUP('Customer Info'!A649,'Customer Info'!A649:A748,'Customer Info'!M649:M748)</f>
        <v>0</v>
      </c>
    </row>
    <row r="945" spans="1:10" ht="14" x14ac:dyDescent="0.2">
      <c r="A945" s="2" t="s">
        <v>69</v>
      </c>
      <c r="B945" s="2">
        <v>12</v>
      </c>
      <c r="C945" s="2">
        <v>6</v>
      </c>
      <c r="D945" s="2">
        <v>2021</v>
      </c>
      <c r="E945" s="2">
        <v>45.6</v>
      </c>
      <c r="F945" s="2">
        <v>103.5</v>
      </c>
      <c r="H945" s="1">
        <f>_xlfn.XLOOKUP('Customer Info'!A1899,'Customer Info'!A1899:A1998,'Customer Info'!E1899:E1998,0,0)</f>
        <v>0</v>
      </c>
      <c r="J945" s="1">
        <f>_xlfn.XLOOKUP('Customer Info'!A1899,'Customer Info'!A1899:A1998,'Customer Info'!M1899:M1998)</f>
        <v>0</v>
      </c>
    </row>
    <row r="946" spans="1:10" ht="14" hidden="1" x14ac:dyDescent="0.2">
      <c r="A946" s="2" t="s">
        <v>8</v>
      </c>
      <c r="B946" s="2">
        <v>5</v>
      </c>
      <c r="C946" s="2">
        <v>6</v>
      </c>
      <c r="D946" s="2">
        <v>2020</v>
      </c>
      <c r="E946" s="2">
        <v>0</v>
      </c>
      <c r="F946" s="2">
        <v>103.5</v>
      </c>
      <c r="H946" s="1">
        <f>_xlfn.XLOOKUP('Customer Info'!A1184,'Customer Info'!A1184:A1283,'Customer Info'!E1184:E1283,0,0)</f>
        <v>0</v>
      </c>
      <c r="J946" s="1">
        <f>_xlfn.XLOOKUP('Customer Info'!A1184,'Customer Info'!A1184:A1283,'Customer Info'!M1184:M1283)</f>
        <v>0</v>
      </c>
    </row>
    <row r="947" spans="1:10" ht="14" x14ac:dyDescent="0.2">
      <c r="A947" s="2" t="s">
        <v>68</v>
      </c>
      <c r="B947" s="2">
        <v>11</v>
      </c>
      <c r="C947" s="2">
        <v>10</v>
      </c>
      <c r="D947" s="2">
        <v>2021</v>
      </c>
      <c r="E947" s="2">
        <v>94.24</v>
      </c>
      <c r="F947" s="2">
        <v>103.23</v>
      </c>
      <c r="H947" s="1">
        <f>_xlfn.XLOOKUP('Customer Info'!A1589,'Customer Info'!A1589:A1688,'Customer Info'!E1589:E1688,0,0)</f>
        <v>0</v>
      </c>
      <c r="J947" s="1">
        <f>_xlfn.XLOOKUP('Customer Info'!A1589,'Customer Info'!A1589:A1688,'Customer Info'!M1589:M1688)</f>
        <v>0</v>
      </c>
    </row>
    <row r="948" spans="1:10" ht="14" x14ac:dyDescent="0.2">
      <c r="A948" s="2" t="s">
        <v>80</v>
      </c>
      <c r="B948" s="2">
        <v>12</v>
      </c>
      <c r="C948" s="2">
        <v>3</v>
      </c>
      <c r="D948" s="2">
        <v>2021</v>
      </c>
      <c r="E948" s="2">
        <v>88.66</v>
      </c>
      <c r="F948" s="2">
        <v>103.23</v>
      </c>
      <c r="H948" s="1">
        <f>_xlfn.XLOOKUP('Customer Info'!A1617,'Customer Info'!A1617:A1716,'Customer Info'!E1617:E1716,0,0)</f>
        <v>0</v>
      </c>
      <c r="J948" s="1">
        <f>_xlfn.XLOOKUP('Customer Info'!A1617,'Customer Info'!A1617:A1716,'Customer Info'!M1617:M1716)</f>
        <v>0</v>
      </c>
    </row>
    <row r="949" spans="1:10" ht="14" x14ac:dyDescent="0.2">
      <c r="A949" s="2" t="s">
        <v>72</v>
      </c>
      <c r="B949" s="2">
        <v>22</v>
      </c>
      <c r="C949" s="2">
        <v>8</v>
      </c>
      <c r="D949" s="2">
        <v>2021</v>
      </c>
      <c r="E949" s="2">
        <v>55.49</v>
      </c>
      <c r="F949" s="2">
        <v>103.23</v>
      </c>
      <c r="H949" s="1">
        <f>_xlfn.XLOOKUP('Customer Info'!A1831,'Customer Info'!A1831:A1930,'Customer Info'!E1831:E1930,0,0)</f>
        <v>0</v>
      </c>
      <c r="J949" s="1">
        <f>_xlfn.XLOOKUP('Customer Info'!A1831,'Customer Info'!A1831:A1930,'Customer Info'!M1831:M1930)</f>
        <v>0</v>
      </c>
    </row>
    <row r="950" spans="1:10" ht="14" hidden="1" x14ac:dyDescent="0.2">
      <c r="A950" s="2" t="s">
        <v>44</v>
      </c>
      <c r="B950" s="2">
        <v>1</v>
      </c>
      <c r="C950" s="2">
        <v>7</v>
      </c>
      <c r="D950" s="2">
        <v>2020</v>
      </c>
      <c r="E950" s="2">
        <v>25.11</v>
      </c>
      <c r="F950" s="2">
        <v>103.23</v>
      </c>
      <c r="H950" s="1">
        <f>_xlfn.XLOOKUP('Customer Info'!A851,'Customer Info'!A851:A950,'Customer Info'!E851:E950,0,0)</f>
        <v>0</v>
      </c>
      <c r="J950" s="1">
        <f>_xlfn.XLOOKUP('Customer Info'!A851,'Customer Info'!A851:A950,'Customer Info'!M851:M950)</f>
        <v>0</v>
      </c>
    </row>
    <row r="951" spans="1:10" ht="14" hidden="1" x14ac:dyDescent="0.2">
      <c r="A951" s="2" t="s">
        <v>6</v>
      </c>
      <c r="B951" s="2">
        <v>7</v>
      </c>
      <c r="C951" s="2">
        <v>7</v>
      </c>
      <c r="D951" s="2">
        <v>2020</v>
      </c>
      <c r="E951" s="2">
        <v>0</v>
      </c>
      <c r="F951" s="2">
        <v>103.23</v>
      </c>
      <c r="H951" s="1">
        <f>_xlfn.XLOOKUP('Customer Info'!A1185,'Customer Info'!A1185:A1284,'Customer Info'!E1185:E1284,0,0)</f>
        <v>0</v>
      </c>
      <c r="J951" s="1">
        <f>_xlfn.XLOOKUP('Customer Info'!A1185,'Customer Info'!A1185:A1284,'Customer Info'!M1185:M1284)</f>
        <v>0</v>
      </c>
    </row>
    <row r="952" spans="1:10" ht="14" hidden="1" x14ac:dyDescent="0.2">
      <c r="A952" s="2" t="s">
        <v>6</v>
      </c>
      <c r="B952" s="2">
        <v>7</v>
      </c>
      <c r="C952" s="2">
        <v>6</v>
      </c>
      <c r="D952" s="2">
        <v>2020</v>
      </c>
      <c r="E952" s="2">
        <v>0</v>
      </c>
      <c r="F952" s="2">
        <v>103.2</v>
      </c>
      <c r="H952" s="1">
        <f>_xlfn.XLOOKUP('Customer Info'!A1186,'Customer Info'!A1186:A1285,'Customer Info'!E1186:E1285,0,0)</f>
        <v>0</v>
      </c>
      <c r="J952" s="1">
        <f>_xlfn.XLOOKUP('Customer Info'!A1186,'Customer Info'!A1186:A1285,'Customer Info'!M1186:M1285)</f>
        <v>0</v>
      </c>
    </row>
    <row r="953" spans="1:10" ht="14" hidden="1" x14ac:dyDescent="0.2">
      <c r="A953" s="2" t="s">
        <v>54</v>
      </c>
      <c r="B953" s="2">
        <v>5</v>
      </c>
      <c r="C953" s="2">
        <v>1</v>
      </c>
      <c r="D953" s="2">
        <v>2020</v>
      </c>
      <c r="E953" s="2">
        <v>105.09</v>
      </c>
      <c r="F953" s="2">
        <v>102.92</v>
      </c>
      <c r="H953" s="1">
        <f>_xlfn.XLOOKUP('Customer Info'!A295,'Customer Info'!A295:A394,'Customer Info'!E295:E394,0,0)</f>
        <v>0</v>
      </c>
      <c r="J953" s="1">
        <f>_xlfn.XLOOKUP('Customer Info'!A295,'Customer Info'!A295:A394,'Customer Info'!M295:M394)</f>
        <v>0</v>
      </c>
    </row>
    <row r="954" spans="1:10" ht="14" x14ac:dyDescent="0.2">
      <c r="A954" s="2" t="s">
        <v>54</v>
      </c>
      <c r="B954" s="2">
        <v>5</v>
      </c>
      <c r="C954" s="2">
        <v>8</v>
      </c>
      <c r="D954" s="2">
        <v>2021</v>
      </c>
      <c r="E954" s="2">
        <v>37.200000000000003</v>
      </c>
      <c r="F954" s="2">
        <v>102.92</v>
      </c>
      <c r="H954" s="1">
        <f>_xlfn.XLOOKUP('Customer Info'!A1967,'Customer Info'!A1967:A2066,'Customer Info'!E1967:E2066,0,0)</f>
        <v>0</v>
      </c>
      <c r="J954" s="1">
        <f>_xlfn.XLOOKUP('Customer Info'!A1967,'Customer Info'!A1967:A2066,'Customer Info'!M1967:M2066)</f>
        <v>0</v>
      </c>
    </row>
    <row r="955" spans="1:10" ht="14" x14ac:dyDescent="0.2">
      <c r="A955" s="2" t="s">
        <v>4</v>
      </c>
      <c r="B955" s="2">
        <v>1</v>
      </c>
      <c r="C955" s="2">
        <v>6</v>
      </c>
      <c r="D955" s="2">
        <v>2021</v>
      </c>
      <c r="E955" s="1" t="s">
        <v>94</v>
      </c>
      <c r="F955" s="2">
        <v>102.9</v>
      </c>
      <c r="H955" s="1">
        <f>_xlfn.XLOOKUP('Customer Info'!A1294,'Customer Info'!A1294:A1393,'Customer Info'!E1294:E1393,0,0)</f>
        <v>0</v>
      </c>
      <c r="J955" s="1">
        <f>_xlfn.XLOOKUP('Customer Info'!A1294,'Customer Info'!A1294:A1393,'Customer Info'!M1294:M1393)</f>
        <v>0</v>
      </c>
    </row>
    <row r="956" spans="1:10" ht="14" x14ac:dyDescent="0.2">
      <c r="A956" s="2" t="s">
        <v>83</v>
      </c>
      <c r="B956" s="2">
        <v>25</v>
      </c>
      <c r="C956" s="2">
        <v>11</v>
      </c>
      <c r="D956" s="2">
        <v>2021</v>
      </c>
      <c r="E956" s="2">
        <v>137.69999999999999</v>
      </c>
      <c r="F956" s="2">
        <v>102.9</v>
      </c>
      <c r="H956" s="1">
        <f>_xlfn.XLOOKUP('Customer Info'!A1368,'Customer Info'!A1368:A1467,'Customer Info'!E1368:E1467,0,0)</f>
        <v>0</v>
      </c>
      <c r="J956" s="1">
        <f>_xlfn.XLOOKUP('Customer Info'!A1368,'Customer Info'!A1368:A1467,'Customer Info'!M1368:M1467)</f>
        <v>0</v>
      </c>
    </row>
    <row r="957" spans="1:10" ht="14" hidden="1" x14ac:dyDescent="0.2">
      <c r="A957" s="2" t="s">
        <v>72</v>
      </c>
      <c r="B957" s="2">
        <v>22</v>
      </c>
      <c r="C957" s="2">
        <v>4</v>
      </c>
      <c r="D957" s="2">
        <v>2020</v>
      </c>
      <c r="E957" s="2">
        <v>71.400000000000006</v>
      </c>
      <c r="F957" s="2">
        <v>102.9</v>
      </c>
      <c r="H957" s="1">
        <f>_xlfn.XLOOKUP('Customer Info'!A493,'Customer Info'!A493:A592,'Customer Info'!E493:E592,0,0)</f>
        <v>0</v>
      </c>
      <c r="J957" s="1">
        <f>_xlfn.XLOOKUP('Customer Info'!A493,'Customer Info'!A493:A592,'Customer Info'!M493:M592)</f>
        <v>0</v>
      </c>
    </row>
    <row r="958" spans="1:10" ht="14" x14ac:dyDescent="0.2">
      <c r="A958" s="2" t="s">
        <v>78</v>
      </c>
      <c r="B958" s="2">
        <v>18</v>
      </c>
      <c r="C958" s="2">
        <v>12</v>
      </c>
      <c r="D958" s="2">
        <v>2021</v>
      </c>
      <c r="E958" s="2">
        <v>126.48</v>
      </c>
      <c r="F958" s="2">
        <v>102.61</v>
      </c>
      <c r="H958" s="1">
        <f>_xlfn.XLOOKUP('Customer Info'!A1417,'Customer Info'!A1417:A1516,'Customer Info'!E1417:E1516,0,0)</f>
        <v>0</v>
      </c>
      <c r="J958" s="1">
        <f>_xlfn.XLOOKUP('Customer Info'!A1417,'Customer Info'!A1417:A1516,'Customer Info'!M1417:M1516)</f>
        <v>0</v>
      </c>
    </row>
    <row r="959" spans="1:10" ht="14" x14ac:dyDescent="0.2">
      <c r="A959" s="2" t="s">
        <v>59</v>
      </c>
      <c r="B959" s="2">
        <v>11</v>
      </c>
      <c r="C959" s="2">
        <v>5</v>
      </c>
      <c r="D959" s="2">
        <v>2021</v>
      </c>
      <c r="E959" s="2">
        <v>53.63</v>
      </c>
      <c r="F959" s="2">
        <v>102.61</v>
      </c>
      <c r="H959" s="1">
        <f>_xlfn.XLOOKUP('Customer Info'!A1840,'Customer Info'!A1840:A1939,'Customer Info'!E1840:E1939,0,0)</f>
        <v>0</v>
      </c>
      <c r="J959" s="1">
        <f>_xlfn.XLOOKUP('Customer Info'!A1840,'Customer Info'!A1840:A1939,'Customer Info'!M1840:M1939)</f>
        <v>0</v>
      </c>
    </row>
    <row r="960" spans="1:10" ht="14" x14ac:dyDescent="0.2">
      <c r="A960" s="2" t="s">
        <v>74</v>
      </c>
      <c r="B960" s="2">
        <v>5</v>
      </c>
      <c r="C960" s="2">
        <v>7</v>
      </c>
      <c r="D960" s="2">
        <v>2021</v>
      </c>
      <c r="E960" s="2">
        <v>45.57</v>
      </c>
      <c r="F960" s="2">
        <v>102.61</v>
      </c>
      <c r="H960" s="1">
        <f>_xlfn.XLOOKUP('Customer Info'!A1902,'Customer Info'!A1902:A2001,'Customer Info'!E1902:E2001,0,0)</f>
        <v>0</v>
      </c>
      <c r="J960" s="1">
        <f>_xlfn.XLOOKUP('Customer Info'!A1902,'Customer Info'!A1902:A2001,'Customer Info'!M1902:M2001)</f>
        <v>0</v>
      </c>
    </row>
    <row r="961" spans="1:10" ht="14" hidden="1" x14ac:dyDescent="0.2">
      <c r="A961" s="2" t="s">
        <v>44</v>
      </c>
      <c r="B961" s="2">
        <v>1</v>
      </c>
      <c r="C961" s="2">
        <v>8</v>
      </c>
      <c r="D961" s="2">
        <v>2020</v>
      </c>
      <c r="E961" s="2">
        <v>23.56</v>
      </c>
      <c r="F961" s="2">
        <v>102.61</v>
      </c>
      <c r="H961" s="1">
        <f>_xlfn.XLOOKUP('Customer Info'!A862,'Customer Info'!A862:A961,'Customer Info'!E862:E961,0,0)</f>
        <v>0</v>
      </c>
      <c r="J961" s="1">
        <f>_xlfn.XLOOKUP('Customer Info'!A862,'Customer Info'!A862:A961,'Customer Info'!M862:M961)</f>
        <v>0</v>
      </c>
    </row>
    <row r="962" spans="1:10" ht="14" hidden="1" x14ac:dyDescent="0.2">
      <c r="A962" s="2" t="s">
        <v>2</v>
      </c>
      <c r="B962" s="2">
        <v>18</v>
      </c>
      <c r="C962" s="2">
        <v>8</v>
      </c>
      <c r="D962" s="2">
        <v>2020</v>
      </c>
      <c r="E962" s="2">
        <v>0</v>
      </c>
      <c r="F962" s="2">
        <v>102.61</v>
      </c>
      <c r="H962" s="1">
        <f>_xlfn.XLOOKUP('Customer Info'!A1187,'Customer Info'!A1187:A1286,'Customer Info'!E1187:E1286,0,0)</f>
        <v>0</v>
      </c>
      <c r="J962" s="1">
        <f>_xlfn.XLOOKUP('Customer Info'!A1187,'Customer Info'!A1187:A1286,'Customer Info'!M1187:M1286)</f>
        <v>0</v>
      </c>
    </row>
    <row r="963" spans="1:10" ht="14" hidden="1" x14ac:dyDescent="0.2">
      <c r="A963" s="2" t="s">
        <v>88</v>
      </c>
      <c r="B963" s="2">
        <v>23</v>
      </c>
      <c r="C963" s="2">
        <v>4</v>
      </c>
      <c r="D963" s="2">
        <v>2020</v>
      </c>
      <c r="E963" s="2">
        <v>100.2</v>
      </c>
      <c r="F963" s="2">
        <v>102.6</v>
      </c>
      <c r="H963" s="1">
        <f>_xlfn.XLOOKUP('Customer Info'!A328,'Customer Info'!A328:A427,'Customer Info'!E328:E427,0,0)</f>
        <v>0</v>
      </c>
      <c r="J963" s="1">
        <f>_xlfn.XLOOKUP('Customer Info'!A328,'Customer Info'!A328:A427,'Customer Info'!M328:M427)</f>
        <v>0</v>
      </c>
    </row>
    <row r="964" spans="1:10" ht="14" x14ac:dyDescent="0.2">
      <c r="A964" s="2" t="s">
        <v>43</v>
      </c>
      <c r="B964" s="2">
        <v>15</v>
      </c>
      <c r="C964" s="2">
        <v>6</v>
      </c>
      <c r="D964" s="2">
        <v>2021</v>
      </c>
      <c r="E964" s="2">
        <v>37.200000000000003</v>
      </c>
      <c r="F964" s="2">
        <v>102.6</v>
      </c>
      <c r="H964" s="1">
        <f>_xlfn.XLOOKUP('Customer Info'!A1968,'Customer Info'!A1968:A2067,'Customer Info'!E1968:E2067,0,0)</f>
        <v>0</v>
      </c>
      <c r="J964" s="1">
        <f>_xlfn.XLOOKUP('Customer Info'!A1968,'Customer Info'!A1968:A2067,'Customer Info'!M1968:M2067)</f>
        <v>0</v>
      </c>
    </row>
    <row r="965" spans="1:10" ht="14" hidden="1" x14ac:dyDescent="0.2">
      <c r="A965" s="2" t="s">
        <v>12</v>
      </c>
      <c r="B965" s="2">
        <v>2</v>
      </c>
      <c r="C965" s="2">
        <v>9</v>
      </c>
      <c r="D965" s="2">
        <v>2020</v>
      </c>
      <c r="E965" s="2">
        <v>0</v>
      </c>
      <c r="F965" s="2">
        <v>102.6</v>
      </c>
      <c r="H965" s="1">
        <f>_xlfn.XLOOKUP('Customer Info'!A1188,'Customer Info'!A1188:A1287,'Customer Info'!E1188:E1287,0,0)</f>
        <v>0</v>
      </c>
      <c r="J965" s="1">
        <f>_xlfn.XLOOKUP('Customer Info'!A1188,'Customer Info'!A1188:A1287,'Customer Info'!M1188:M1287)</f>
        <v>0</v>
      </c>
    </row>
    <row r="966" spans="1:10" ht="14" hidden="1" x14ac:dyDescent="0.2">
      <c r="A966" s="2" t="s">
        <v>5</v>
      </c>
      <c r="B966" s="2">
        <v>7</v>
      </c>
      <c r="C966" s="2">
        <v>9</v>
      </c>
      <c r="D966" s="2">
        <v>2020</v>
      </c>
      <c r="E966" s="2">
        <v>0</v>
      </c>
      <c r="F966" s="2">
        <v>102.6</v>
      </c>
      <c r="H966" s="1">
        <f>_xlfn.XLOOKUP('Customer Info'!A1189,'Customer Info'!A1189:A1288,'Customer Info'!E1189:E1288,0,0)</f>
        <v>0</v>
      </c>
      <c r="J966" s="1">
        <f>_xlfn.XLOOKUP('Customer Info'!A1189,'Customer Info'!A1189:A1288,'Customer Info'!M1189:M1288)</f>
        <v>0</v>
      </c>
    </row>
    <row r="967" spans="1:10" ht="14" x14ac:dyDescent="0.2">
      <c r="A967" s="2" t="s">
        <v>11</v>
      </c>
      <c r="B967" s="2">
        <v>15</v>
      </c>
      <c r="C967" s="2">
        <v>6</v>
      </c>
      <c r="D967" s="2">
        <v>2021</v>
      </c>
      <c r="E967" s="2">
        <v>0</v>
      </c>
      <c r="F967" s="2">
        <v>102.6</v>
      </c>
      <c r="H967" s="1">
        <f>_xlfn.XLOOKUP('Customer Info'!A2388,'Customer Info'!A2388:A2487,'Customer Info'!E2388:E2487,0,0)</f>
        <v>0</v>
      </c>
      <c r="J967" s="1">
        <f>_xlfn.XLOOKUP('Customer Info'!A2388,'Customer Info'!A2388:A2487,'Customer Info'!M2388:M2487)</f>
        <v>0</v>
      </c>
    </row>
    <row r="968" spans="1:10" ht="14" x14ac:dyDescent="0.2">
      <c r="A968" s="2" t="s">
        <v>100</v>
      </c>
      <c r="B968" s="2">
        <v>1</v>
      </c>
      <c r="C968" s="2">
        <v>9</v>
      </c>
      <c r="D968" s="2">
        <v>2021</v>
      </c>
      <c r="E968" s="1" t="s">
        <v>94</v>
      </c>
      <c r="F968" s="2">
        <v>102.3</v>
      </c>
      <c r="H968" s="1">
        <f>_xlfn.XLOOKUP('Customer Info'!A1295,'Customer Info'!A1295:A1394,'Customer Info'!E1295:E1394,0,0)</f>
        <v>0</v>
      </c>
      <c r="J968" s="1">
        <f>_xlfn.XLOOKUP('Customer Info'!A1295,'Customer Info'!A1295:A1394,'Customer Info'!M1295:M1394)</f>
        <v>0</v>
      </c>
    </row>
    <row r="969" spans="1:10" ht="14" x14ac:dyDescent="0.2">
      <c r="A969" s="2" t="s">
        <v>69</v>
      </c>
      <c r="B969" s="2">
        <v>12</v>
      </c>
      <c r="C969" s="2">
        <v>4</v>
      </c>
      <c r="D969" s="2">
        <v>2021</v>
      </c>
      <c r="E969" s="2">
        <v>78.900000000000006</v>
      </c>
      <c r="F969" s="2">
        <v>102.3</v>
      </c>
      <c r="H969" s="1">
        <f>_xlfn.XLOOKUP('Customer Info'!A1672,'Customer Info'!A1672:A1771,'Customer Info'!E1672:E1771,0,0)</f>
        <v>0</v>
      </c>
      <c r="J969" s="1">
        <f>_xlfn.XLOOKUP('Customer Info'!A1672,'Customer Info'!A1672:A1771,'Customer Info'!M1672:M1771)</f>
        <v>0</v>
      </c>
    </row>
    <row r="970" spans="1:10" ht="14" x14ac:dyDescent="0.2">
      <c r="A970" s="2" t="s">
        <v>44</v>
      </c>
      <c r="B970" s="2">
        <v>1</v>
      </c>
      <c r="C970" s="2">
        <v>3</v>
      </c>
      <c r="D970" s="2">
        <v>2021</v>
      </c>
      <c r="E970" s="2">
        <v>75.33</v>
      </c>
      <c r="F970" s="2">
        <v>102.3</v>
      </c>
      <c r="H970" s="1">
        <f>_xlfn.XLOOKUP('Customer Info'!A1694,'Customer Info'!A1694:A1793,'Customer Info'!E1694:E1793,0,0)</f>
        <v>0</v>
      </c>
      <c r="J970" s="1">
        <f>_xlfn.XLOOKUP('Customer Info'!A1694,'Customer Info'!A1694:A1793,'Customer Info'!M1694:M1793)</f>
        <v>0</v>
      </c>
    </row>
    <row r="971" spans="1:10" ht="14" hidden="1" x14ac:dyDescent="0.2">
      <c r="A971" s="2" t="s">
        <v>71</v>
      </c>
      <c r="B971" s="2">
        <v>21</v>
      </c>
      <c r="C971" s="2">
        <v>4</v>
      </c>
      <c r="D971" s="2">
        <v>2020</v>
      </c>
      <c r="E971" s="2">
        <v>72.3</v>
      </c>
      <c r="F971" s="2">
        <v>102.3</v>
      </c>
      <c r="H971" s="1">
        <f>_xlfn.XLOOKUP('Customer Info'!A482,'Customer Info'!A482:A581,'Customer Info'!E482:E581,0,0)</f>
        <v>0</v>
      </c>
      <c r="J971" s="1">
        <f>_xlfn.XLOOKUP('Customer Info'!A482,'Customer Info'!A482:A581,'Customer Info'!M482:M581)</f>
        <v>0</v>
      </c>
    </row>
    <row r="972" spans="1:10" ht="14" hidden="1" x14ac:dyDescent="0.2">
      <c r="A972" s="2" t="s">
        <v>10</v>
      </c>
      <c r="B972" s="2">
        <v>18</v>
      </c>
      <c r="C972" s="2">
        <v>6</v>
      </c>
      <c r="D972" s="2">
        <v>2020</v>
      </c>
      <c r="E972" s="2">
        <v>0</v>
      </c>
      <c r="F972" s="2">
        <v>102.3</v>
      </c>
      <c r="H972" s="1">
        <f>_xlfn.XLOOKUP('Customer Info'!A1190,'Customer Info'!A1190:A1289,'Customer Info'!E1190:E1289,0,0)</f>
        <v>0</v>
      </c>
      <c r="J972" s="1">
        <f>_xlfn.XLOOKUP('Customer Info'!A1190,'Customer Info'!A1190:A1289,'Customer Info'!M1190:M1289)</f>
        <v>0</v>
      </c>
    </row>
    <row r="973" spans="1:10" ht="14" x14ac:dyDescent="0.2">
      <c r="A973" s="2" t="s">
        <v>10</v>
      </c>
      <c r="B973" s="2">
        <v>18</v>
      </c>
      <c r="C973" s="2">
        <v>6</v>
      </c>
      <c r="D973" s="2">
        <v>2021</v>
      </c>
      <c r="E973" s="2">
        <v>0</v>
      </c>
      <c r="F973" s="2">
        <v>102</v>
      </c>
      <c r="H973" s="1">
        <f>_xlfn.XLOOKUP('Customer Info'!A2389,'Customer Info'!A2389:A2488,'Customer Info'!E2389:E2488,0,0)</f>
        <v>0</v>
      </c>
      <c r="J973" s="1">
        <f>_xlfn.XLOOKUP('Customer Info'!A2389,'Customer Info'!A2389:A2488,'Customer Info'!M2389:M2488)</f>
        <v>0</v>
      </c>
    </row>
    <row r="974" spans="1:10" ht="14" x14ac:dyDescent="0.2">
      <c r="A974" s="2" t="s">
        <v>7</v>
      </c>
      <c r="B974" s="2">
        <v>20</v>
      </c>
      <c r="C974" s="2">
        <v>9</v>
      </c>
      <c r="D974" s="2">
        <v>2021</v>
      </c>
      <c r="E974" s="2">
        <v>0</v>
      </c>
      <c r="F974" s="2">
        <v>102</v>
      </c>
      <c r="H974" s="1">
        <f>_xlfn.XLOOKUP('Customer Info'!A2390,'Customer Info'!A2390:A2489,'Customer Info'!E2390:E2489,0,0)</f>
        <v>0</v>
      </c>
      <c r="J974" s="1">
        <f>_xlfn.XLOOKUP('Customer Info'!A2390,'Customer Info'!A2390:A2489,'Customer Info'!M2390:M2489)</f>
        <v>0</v>
      </c>
    </row>
    <row r="975" spans="1:10" ht="14" x14ac:dyDescent="0.2">
      <c r="A975" s="2" t="s">
        <v>88</v>
      </c>
      <c r="B975" s="2">
        <v>23</v>
      </c>
      <c r="C975" s="2">
        <v>12</v>
      </c>
      <c r="D975" s="2">
        <v>2021</v>
      </c>
      <c r="E975" s="2">
        <v>159.96</v>
      </c>
      <c r="F975" s="2">
        <v>101.99</v>
      </c>
      <c r="H975" s="1">
        <f>_xlfn.XLOOKUP('Customer Info'!A1342,'Customer Info'!A1342:A1441,'Customer Info'!E1342:E1441,0,0)</f>
        <v>0</v>
      </c>
      <c r="J975" s="1">
        <f>_xlfn.XLOOKUP('Customer Info'!A1342,'Customer Info'!A1342:A1441,'Customer Info'!M1342:M1441)</f>
        <v>0</v>
      </c>
    </row>
    <row r="976" spans="1:10" ht="14" x14ac:dyDescent="0.2">
      <c r="A976" s="2" t="s">
        <v>43</v>
      </c>
      <c r="B976" s="2">
        <v>15</v>
      </c>
      <c r="C976" s="2">
        <v>1</v>
      </c>
      <c r="D976" s="2">
        <v>2021</v>
      </c>
      <c r="E976" s="2">
        <v>114.08</v>
      </c>
      <c r="F976" s="2">
        <v>101.99</v>
      </c>
      <c r="H976" s="1">
        <f>_xlfn.XLOOKUP('Customer Info'!A1472,'Customer Info'!A1472:A1571,'Customer Info'!E1472:E1571,0,0)</f>
        <v>0</v>
      </c>
      <c r="J976" s="1">
        <f>_xlfn.XLOOKUP('Customer Info'!A1472,'Customer Info'!A1472:A1571,'Customer Info'!M1472:M1571)</f>
        <v>0</v>
      </c>
    </row>
    <row r="977" spans="1:10" ht="14" hidden="1" x14ac:dyDescent="0.2">
      <c r="A977" s="2" t="s">
        <v>1</v>
      </c>
      <c r="B977" s="2">
        <v>21</v>
      </c>
      <c r="C977" s="2">
        <v>8</v>
      </c>
      <c r="D977" s="2">
        <v>2020</v>
      </c>
      <c r="E977" s="2">
        <v>0</v>
      </c>
      <c r="F977" s="2">
        <v>101.99</v>
      </c>
      <c r="H977" s="1">
        <f>_xlfn.XLOOKUP('Customer Info'!A1191,'Customer Info'!A1191:A1290,'Customer Info'!E1191:E1290,0,0)</f>
        <v>0</v>
      </c>
      <c r="J977" s="1">
        <f>_xlfn.XLOOKUP('Customer Info'!A1191,'Customer Info'!A1191:A1290,'Customer Info'!M1191:M1290)</f>
        <v>0</v>
      </c>
    </row>
    <row r="978" spans="1:10" ht="14" hidden="1" x14ac:dyDescent="0.2">
      <c r="A978" s="2" t="s">
        <v>9</v>
      </c>
      <c r="B978" s="2">
        <v>22</v>
      </c>
      <c r="C978" s="2">
        <v>8</v>
      </c>
      <c r="D978" s="2">
        <v>2020</v>
      </c>
      <c r="E978" s="2">
        <v>0</v>
      </c>
      <c r="F978" s="2">
        <v>101.99</v>
      </c>
      <c r="H978" s="1">
        <f>_xlfn.XLOOKUP('Customer Info'!A1192,'Customer Info'!A1192:A1291,'Customer Info'!E1192:E1291,0,0)</f>
        <v>0</v>
      </c>
      <c r="J978" s="1">
        <f>_xlfn.XLOOKUP('Customer Info'!A1192,'Customer Info'!A1192:A1291,'Customer Info'!M1192:M1291)</f>
        <v>0</v>
      </c>
    </row>
    <row r="979" spans="1:10" ht="14" x14ac:dyDescent="0.2">
      <c r="A979" s="2" t="s">
        <v>2</v>
      </c>
      <c r="B979" s="2">
        <v>18</v>
      </c>
      <c r="C979" s="2">
        <v>5</v>
      </c>
      <c r="D979" s="2">
        <v>2021</v>
      </c>
      <c r="E979" s="2">
        <v>0</v>
      </c>
      <c r="F979" s="2">
        <v>101.99</v>
      </c>
      <c r="H979" s="1">
        <f>_xlfn.XLOOKUP('Customer Info'!A2391,'Customer Info'!A2391:A2490,'Customer Info'!E2391:E2490,0,0)</f>
        <v>0</v>
      </c>
      <c r="J979" s="1">
        <f>_xlfn.XLOOKUP('Customer Info'!A2391,'Customer Info'!A2391:A2490,'Customer Info'!M2391:M2490)</f>
        <v>0</v>
      </c>
    </row>
    <row r="980" spans="1:10" ht="14" x14ac:dyDescent="0.2">
      <c r="A980" s="2" t="s">
        <v>63</v>
      </c>
      <c r="B980" s="2">
        <v>25</v>
      </c>
      <c r="C980" s="2">
        <v>1</v>
      </c>
      <c r="D980" s="2">
        <v>2021</v>
      </c>
      <c r="E980" s="2">
        <v>93.93</v>
      </c>
      <c r="F980" s="2">
        <v>101.68</v>
      </c>
      <c r="H980" s="1">
        <f>_xlfn.XLOOKUP('Customer Info'!A1592,'Customer Info'!A1592:A1691,'Customer Info'!E1592:E1691,0,0)</f>
        <v>0</v>
      </c>
      <c r="J980" s="1">
        <f>_xlfn.XLOOKUP('Customer Info'!A1592,'Customer Info'!A1592:A1691,'Customer Info'!M1592:M1691)</f>
        <v>0</v>
      </c>
    </row>
    <row r="981" spans="1:10" ht="14" x14ac:dyDescent="0.2">
      <c r="A981" s="2" t="s">
        <v>56</v>
      </c>
      <c r="B981" s="2">
        <v>14</v>
      </c>
      <c r="C981" s="2">
        <v>10</v>
      </c>
      <c r="D981" s="2">
        <v>2021</v>
      </c>
      <c r="E981" s="2">
        <v>75.64</v>
      </c>
      <c r="F981" s="2">
        <v>101.68</v>
      </c>
      <c r="H981" s="1">
        <f>_xlfn.XLOOKUP('Customer Info'!A1693,'Customer Info'!A1693:A1792,'Customer Info'!E1693:E1792,0,0)</f>
        <v>0</v>
      </c>
      <c r="J981" s="1">
        <f>_xlfn.XLOOKUP('Customer Info'!A1693,'Customer Info'!A1693:A1792,'Customer Info'!M1693:M1792)</f>
        <v>0</v>
      </c>
    </row>
    <row r="982" spans="1:10" ht="14" x14ac:dyDescent="0.2">
      <c r="A982" s="2" t="s">
        <v>84</v>
      </c>
      <c r="B982" s="2">
        <v>20</v>
      </c>
      <c r="C982" s="2">
        <v>5</v>
      </c>
      <c r="D982" s="2">
        <v>2021</v>
      </c>
      <c r="E982" s="2">
        <v>66.650000000000006</v>
      </c>
      <c r="F982" s="2">
        <v>101.68</v>
      </c>
      <c r="H982" s="1">
        <f>_xlfn.XLOOKUP('Customer Info'!A1751,'Customer Info'!A1751:A1850,'Customer Info'!E1751:E1850,0,0)</f>
        <v>0</v>
      </c>
      <c r="J982" s="1">
        <f>_xlfn.XLOOKUP('Customer Info'!A1751,'Customer Info'!A1751:A1850,'Customer Info'!M1751:M1850)</f>
        <v>0</v>
      </c>
    </row>
    <row r="983" spans="1:10" ht="14" x14ac:dyDescent="0.2">
      <c r="A983" s="2" t="s">
        <v>68</v>
      </c>
      <c r="B983" s="2">
        <v>11</v>
      </c>
      <c r="C983" s="2">
        <v>5</v>
      </c>
      <c r="D983" s="2">
        <v>2021</v>
      </c>
      <c r="E983" s="2">
        <v>59.21</v>
      </c>
      <c r="F983" s="2">
        <v>101.68</v>
      </c>
      <c r="H983" s="1">
        <f>_xlfn.XLOOKUP('Customer Info'!A1810,'Customer Info'!A1810:A1909,'Customer Info'!E1810:E1909,0,0)</f>
        <v>0</v>
      </c>
      <c r="J983" s="1">
        <f>_xlfn.XLOOKUP('Customer Info'!A1810,'Customer Info'!A1810:A1909,'Customer Info'!M1810:M1909)</f>
        <v>0</v>
      </c>
    </row>
    <row r="984" spans="1:10" ht="14" hidden="1" x14ac:dyDescent="0.2">
      <c r="A984" s="2" t="s">
        <v>88</v>
      </c>
      <c r="B984" s="2">
        <v>23</v>
      </c>
      <c r="C984" s="2">
        <v>8</v>
      </c>
      <c r="D984" s="2">
        <v>2020</v>
      </c>
      <c r="E984" s="2">
        <v>52.08</v>
      </c>
      <c r="F984" s="2">
        <v>101.68</v>
      </c>
      <c r="H984" s="1">
        <f>_xlfn.XLOOKUP('Customer Info'!A628,'Customer Info'!A628:A727,'Customer Info'!E628:E727,0,0)</f>
        <v>0</v>
      </c>
      <c r="J984" s="1">
        <f>_xlfn.XLOOKUP('Customer Info'!A628,'Customer Info'!A628:A727,'Customer Info'!M628:M727)</f>
        <v>0</v>
      </c>
    </row>
    <row r="985" spans="1:10" ht="14" x14ac:dyDescent="0.2">
      <c r="A985" s="2" t="s">
        <v>67</v>
      </c>
      <c r="B985" s="2">
        <v>13</v>
      </c>
      <c r="C985" s="2">
        <v>7</v>
      </c>
      <c r="D985" s="2">
        <v>2021</v>
      </c>
      <c r="E985" s="2">
        <v>41.54</v>
      </c>
      <c r="F985" s="2">
        <v>101.68</v>
      </c>
      <c r="H985" s="1">
        <f>_xlfn.XLOOKUP('Customer Info'!A1931,'Customer Info'!A1931:A2030,'Customer Info'!E1931:E2030,0,0)</f>
        <v>0</v>
      </c>
      <c r="J985" s="1">
        <f>_xlfn.XLOOKUP('Customer Info'!A1931,'Customer Info'!A1931:A2030,'Customer Info'!M1931:M2030)</f>
        <v>0</v>
      </c>
    </row>
    <row r="986" spans="1:10" ht="14" hidden="1" x14ac:dyDescent="0.2">
      <c r="A986" s="2" t="s">
        <v>5</v>
      </c>
      <c r="B986" s="2">
        <v>7</v>
      </c>
      <c r="C986" s="2">
        <v>8</v>
      </c>
      <c r="D986" s="2">
        <v>2020</v>
      </c>
      <c r="E986" s="2">
        <v>0</v>
      </c>
      <c r="F986" s="2">
        <v>101.68</v>
      </c>
      <c r="H986" s="1">
        <f>_xlfn.XLOOKUP('Customer Info'!A1193,'Customer Info'!A1193:A1292,'Customer Info'!E1193:E1292,0,0)</f>
        <v>0</v>
      </c>
      <c r="J986" s="1">
        <f>_xlfn.XLOOKUP('Customer Info'!A1193,'Customer Info'!A1193:A1292,'Customer Info'!M1193:M1292)</f>
        <v>0</v>
      </c>
    </row>
    <row r="987" spans="1:10" ht="14" x14ac:dyDescent="0.2">
      <c r="A987" s="2" t="s">
        <v>86</v>
      </c>
      <c r="B987" s="2">
        <v>6</v>
      </c>
      <c r="C987" s="2">
        <v>4</v>
      </c>
      <c r="D987" s="2">
        <v>2021</v>
      </c>
      <c r="E987" s="2">
        <v>97.2</v>
      </c>
      <c r="F987" s="2">
        <v>101.4</v>
      </c>
      <c r="H987" s="1">
        <f>_xlfn.XLOOKUP('Customer Info'!A1569,'Customer Info'!A1569:A1668,'Customer Info'!E1569:E1668,0,0)</f>
        <v>0</v>
      </c>
      <c r="J987" s="1">
        <f>_xlfn.XLOOKUP('Customer Info'!A1569,'Customer Info'!A1569:A1668,'Customer Info'!M1569:M1668)</f>
        <v>0</v>
      </c>
    </row>
    <row r="988" spans="1:10" ht="14" x14ac:dyDescent="0.2">
      <c r="A988" s="2" t="s">
        <v>44</v>
      </c>
      <c r="B988" s="2">
        <v>1</v>
      </c>
      <c r="C988" s="2">
        <v>4</v>
      </c>
      <c r="D988" s="2">
        <v>2021</v>
      </c>
      <c r="E988" s="2">
        <v>85.2</v>
      </c>
      <c r="F988" s="2">
        <v>101.4</v>
      </c>
      <c r="H988" s="1">
        <f>_xlfn.XLOOKUP('Customer Info'!A1635,'Customer Info'!A1635:A1734,'Customer Info'!E1635:E1734,0,0)</f>
        <v>0</v>
      </c>
      <c r="J988" s="1">
        <f>_xlfn.XLOOKUP('Customer Info'!A1635,'Customer Info'!A1635:A1734,'Customer Info'!M1635:M1734)</f>
        <v>0</v>
      </c>
    </row>
    <row r="989" spans="1:10" ht="14" x14ac:dyDescent="0.2">
      <c r="A989" s="2" t="s">
        <v>68</v>
      </c>
      <c r="B989" s="2">
        <v>11</v>
      </c>
      <c r="C989" s="2">
        <v>4</v>
      </c>
      <c r="D989" s="2">
        <v>2021</v>
      </c>
      <c r="E989" s="2">
        <v>81.599999999999994</v>
      </c>
      <c r="F989" s="2">
        <v>101.4</v>
      </c>
      <c r="H989" s="1">
        <f>_xlfn.XLOOKUP('Customer Info'!A1657,'Customer Info'!A1657:A1756,'Customer Info'!E1657:E1756,0,0)</f>
        <v>0</v>
      </c>
      <c r="J989" s="1">
        <f>_xlfn.XLOOKUP('Customer Info'!A1657,'Customer Info'!A1657:A1756,'Customer Info'!M1657:M1756)</f>
        <v>0</v>
      </c>
    </row>
    <row r="990" spans="1:10" ht="14" hidden="1" x14ac:dyDescent="0.2">
      <c r="A990" s="2" t="s">
        <v>4</v>
      </c>
      <c r="B990" s="2">
        <v>1</v>
      </c>
      <c r="C990" s="2">
        <v>9</v>
      </c>
      <c r="D990" s="2">
        <v>2020</v>
      </c>
      <c r="E990" s="2">
        <v>0</v>
      </c>
      <c r="F990" s="2">
        <v>101.4</v>
      </c>
      <c r="H990" s="1">
        <f>_xlfn.XLOOKUP('Customer Info'!A1194,'Customer Info'!A1194:A1293,'Customer Info'!E1194:E1293,0,0)</f>
        <v>0</v>
      </c>
      <c r="J990" s="1">
        <f>_xlfn.XLOOKUP('Customer Info'!A1194,'Customer Info'!A1194:A1293,'Customer Info'!M1194:M1293)</f>
        <v>0</v>
      </c>
    </row>
    <row r="991" spans="1:10" ht="14" x14ac:dyDescent="0.2">
      <c r="A991" s="2" t="s">
        <v>97</v>
      </c>
      <c r="B991" s="2">
        <v>12</v>
      </c>
      <c r="C991" s="2">
        <v>8</v>
      </c>
      <c r="D991" s="2">
        <v>2021</v>
      </c>
      <c r="E991" s="1" t="s">
        <v>94</v>
      </c>
      <c r="F991" s="2">
        <v>101.37</v>
      </c>
      <c r="H991" s="1">
        <f>_xlfn.XLOOKUP('Customer Info'!A1296,'Customer Info'!A1296:A1395,'Customer Info'!E1296:E1395,0,0)</f>
        <v>0</v>
      </c>
      <c r="J991" s="1">
        <f>_xlfn.XLOOKUP('Customer Info'!A1296,'Customer Info'!A1296:A1395,'Customer Info'!M1296:M1395)</f>
        <v>0</v>
      </c>
    </row>
    <row r="992" spans="1:10" ht="14" x14ac:dyDescent="0.2">
      <c r="A992" s="2" t="s">
        <v>88</v>
      </c>
      <c r="B992" s="2">
        <v>23</v>
      </c>
      <c r="C992" s="2">
        <v>10</v>
      </c>
      <c r="D992" s="2">
        <v>2021</v>
      </c>
      <c r="E992" s="2">
        <v>110.36</v>
      </c>
      <c r="F992" s="2">
        <v>101.37</v>
      </c>
      <c r="H992" s="1">
        <f>_xlfn.XLOOKUP('Customer Info'!A1494,'Customer Info'!A1494:A1593,'Customer Info'!E1494:E1593,0,0)</f>
        <v>0</v>
      </c>
      <c r="J992" s="1">
        <f>_xlfn.XLOOKUP('Customer Info'!A1494,'Customer Info'!A1494:A1593,'Customer Info'!M1494:M1593)</f>
        <v>0</v>
      </c>
    </row>
    <row r="993" spans="1:10" ht="14" x14ac:dyDescent="0.2">
      <c r="A993" s="2" t="s">
        <v>59</v>
      </c>
      <c r="B993" s="2">
        <v>11</v>
      </c>
      <c r="C993" s="2">
        <v>7</v>
      </c>
      <c r="D993" s="2">
        <v>2021</v>
      </c>
      <c r="E993" s="2">
        <v>47.74</v>
      </c>
      <c r="F993" s="2">
        <v>101.37</v>
      </c>
      <c r="H993" s="1">
        <f>_xlfn.XLOOKUP('Customer Info'!A1881,'Customer Info'!A1881:A1980,'Customer Info'!E1881:E1980,0,0)</f>
        <v>0</v>
      </c>
      <c r="J993" s="1">
        <f>_xlfn.XLOOKUP('Customer Info'!A1881,'Customer Info'!A1881:A1980,'Customer Info'!M1881:M1980)</f>
        <v>0</v>
      </c>
    </row>
    <row r="994" spans="1:10" ht="14" x14ac:dyDescent="0.2">
      <c r="A994" s="2" t="s">
        <v>52</v>
      </c>
      <c r="B994" s="2">
        <v>1</v>
      </c>
      <c r="C994" s="2">
        <v>5</v>
      </c>
      <c r="D994" s="2">
        <v>2021</v>
      </c>
      <c r="E994" s="2">
        <v>47.43</v>
      </c>
      <c r="F994" s="2">
        <v>101.37</v>
      </c>
      <c r="H994" s="1">
        <f>_xlfn.XLOOKUP('Customer Info'!A1884,'Customer Info'!A1884:A1983,'Customer Info'!E1884:E1983,0,0)</f>
        <v>0</v>
      </c>
      <c r="J994" s="1">
        <f>_xlfn.XLOOKUP('Customer Info'!A1884,'Customer Info'!A1884:A1983,'Customer Info'!M1884:M1983)</f>
        <v>0</v>
      </c>
    </row>
    <row r="995" spans="1:10" ht="14" hidden="1" x14ac:dyDescent="0.2">
      <c r="A995" s="2" t="s">
        <v>8</v>
      </c>
      <c r="B995" s="2">
        <v>5</v>
      </c>
      <c r="C995" s="2">
        <v>7</v>
      </c>
      <c r="D995" s="2">
        <v>2020</v>
      </c>
      <c r="E995" s="2">
        <v>0</v>
      </c>
      <c r="F995" s="2">
        <v>101.37</v>
      </c>
      <c r="H995" s="1">
        <f>_xlfn.XLOOKUP('Customer Info'!A1195,'Customer Info'!A1195:A1294,'Customer Info'!E1195:E1294,0,0)</f>
        <v>0</v>
      </c>
      <c r="J995" s="1">
        <f>_xlfn.XLOOKUP('Customer Info'!A1195,'Customer Info'!A1195:A1294,'Customer Info'!M1195:M1294)</f>
        <v>0</v>
      </c>
    </row>
    <row r="996" spans="1:10" ht="14" hidden="1" x14ac:dyDescent="0.2">
      <c r="A996" s="2" t="s">
        <v>77</v>
      </c>
      <c r="B996" s="2">
        <v>16</v>
      </c>
      <c r="C996" s="2">
        <v>4</v>
      </c>
      <c r="D996" s="2">
        <v>2020</v>
      </c>
      <c r="E996" s="2">
        <v>71.7</v>
      </c>
      <c r="F996" s="2">
        <v>101.1</v>
      </c>
      <c r="H996" s="1">
        <f>_xlfn.XLOOKUP('Customer Info'!A488,'Customer Info'!A488:A587,'Customer Info'!E488:E587,0,0)</f>
        <v>0</v>
      </c>
      <c r="J996" s="1">
        <f>_xlfn.XLOOKUP('Customer Info'!A488,'Customer Info'!A488:A587,'Customer Info'!M488:M587)</f>
        <v>0</v>
      </c>
    </row>
    <row r="997" spans="1:10" ht="14" x14ac:dyDescent="0.2">
      <c r="A997" s="2" t="s">
        <v>70</v>
      </c>
      <c r="B997" s="2">
        <v>16</v>
      </c>
      <c r="C997" s="2">
        <v>10</v>
      </c>
      <c r="D997" s="2">
        <v>2021</v>
      </c>
      <c r="E997" s="2">
        <v>94.55</v>
      </c>
      <c r="F997" s="2">
        <v>101.06</v>
      </c>
      <c r="H997" s="1">
        <f>_xlfn.XLOOKUP('Customer Info'!A1587,'Customer Info'!A1587:A1686,'Customer Info'!E1587:E1686,0,0)</f>
        <v>0</v>
      </c>
      <c r="J997" s="1">
        <f>_xlfn.XLOOKUP('Customer Info'!A1587,'Customer Info'!A1587:A1686,'Customer Info'!M1587:M1686)</f>
        <v>0</v>
      </c>
    </row>
    <row r="998" spans="1:10" ht="14" x14ac:dyDescent="0.2">
      <c r="A998" s="2" t="s">
        <v>56</v>
      </c>
      <c r="B998" s="2">
        <v>14</v>
      </c>
      <c r="C998" s="2">
        <v>8</v>
      </c>
      <c r="D998" s="2">
        <v>2021</v>
      </c>
      <c r="E998" s="2">
        <v>40.299999999999997</v>
      </c>
      <c r="F998" s="2">
        <v>101.06</v>
      </c>
      <c r="H998" s="1">
        <f>_xlfn.XLOOKUP('Customer Info'!A1938,'Customer Info'!A1938:A2037,'Customer Info'!E1938:E2037,0,0)</f>
        <v>0</v>
      </c>
      <c r="J998" s="1">
        <f>_xlfn.XLOOKUP('Customer Info'!A1938,'Customer Info'!A1938:A2037,'Customer Info'!M1938:M2037)</f>
        <v>0</v>
      </c>
    </row>
    <row r="999" spans="1:10" ht="14" hidden="1" x14ac:dyDescent="0.2">
      <c r="A999" s="2" t="s">
        <v>20</v>
      </c>
      <c r="B999" s="2">
        <v>12</v>
      </c>
      <c r="C999" s="2">
        <v>6</v>
      </c>
      <c r="D999" s="2">
        <v>2020</v>
      </c>
      <c r="E999" s="1" t="s">
        <v>94</v>
      </c>
      <c r="F999" s="2">
        <v>100.8</v>
      </c>
      <c r="H999" s="1">
        <f>_xlfn.XLOOKUP('Customer Info'!A101,'Customer Info'!A101:A200,'Customer Info'!E101:E200,0,0)</f>
        <v>2</v>
      </c>
      <c r="I999" s="1" t="str">
        <f>_xlfn.XLOOKUP('Customer Info'!A101,'Customer Info'!A101:A200,'Customer Info'!J101:J200,0)</f>
        <v>Mpower</v>
      </c>
      <c r="J999" s="1" t="b">
        <f>_xlfn.XLOOKUP('Customer Info'!A101,'Customer Info'!A101:A200,'Customer Info'!M101:M200)</f>
        <v>0</v>
      </c>
    </row>
    <row r="1000" spans="1:10" ht="14" x14ac:dyDescent="0.2">
      <c r="A1000" s="2" t="s">
        <v>83</v>
      </c>
      <c r="B1000" s="2">
        <v>25</v>
      </c>
      <c r="C1000" s="2">
        <v>2</v>
      </c>
      <c r="D1000" s="2">
        <v>2021</v>
      </c>
      <c r="E1000" s="2">
        <v>133.84</v>
      </c>
      <c r="F1000" s="2">
        <v>100.8</v>
      </c>
      <c r="H1000" s="1">
        <f>_xlfn.XLOOKUP('Customer Info'!A1383,'Customer Info'!A1383:A1482,'Customer Info'!E1383:E1482,0,0)</f>
        <v>0</v>
      </c>
      <c r="J1000" s="1">
        <f>_xlfn.XLOOKUP('Customer Info'!A1383,'Customer Info'!A1383:A1482,'Customer Info'!M1383:M1482)</f>
        <v>0</v>
      </c>
    </row>
    <row r="1001" spans="1:10" ht="14" x14ac:dyDescent="0.2">
      <c r="A1001" s="2" t="s">
        <v>86</v>
      </c>
      <c r="B1001" s="2">
        <v>6</v>
      </c>
      <c r="C1001" s="2">
        <v>11</v>
      </c>
      <c r="D1001" s="2">
        <v>2021</v>
      </c>
      <c r="E1001" s="2">
        <v>126.6</v>
      </c>
      <c r="F1001" s="2">
        <v>100.8</v>
      </c>
      <c r="H1001" s="1">
        <f>_xlfn.XLOOKUP('Customer Info'!A1416,'Customer Info'!A1416:A1515,'Customer Info'!E1416:E1515,0,0)</f>
        <v>0</v>
      </c>
      <c r="J1001" s="1">
        <f>_xlfn.XLOOKUP('Customer Info'!A1416,'Customer Info'!A1416:A1515,'Customer Info'!M1416:M1515)</f>
        <v>0</v>
      </c>
    </row>
    <row r="1002" spans="1:10" ht="14" hidden="1" x14ac:dyDescent="0.2">
      <c r="A1002" s="2" t="s">
        <v>72</v>
      </c>
      <c r="B1002" s="2">
        <v>22</v>
      </c>
      <c r="C1002" s="2">
        <v>6</v>
      </c>
      <c r="D1002" s="2">
        <v>2020</v>
      </c>
      <c r="E1002" s="2">
        <v>44.1</v>
      </c>
      <c r="F1002" s="2">
        <v>100.8</v>
      </c>
      <c r="H1002" s="1">
        <f>_xlfn.XLOOKUP('Customer Info'!A694,'Customer Info'!A694:A793,'Customer Info'!E694:E793,0,0)</f>
        <v>0</v>
      </c>
      <c r="J1002" s="1">
        <f>_xlfn.XLOOKUP('Customer Info'!A694,'Customer Info'!A694:A793,'Customer Info'!M694:M793)</f>
        <v>0</v>
      </c>
    </row>
    <row r="1003" spans="1:10" ht="14" x14ac:dyDescent="0.2">
      <c r="A1003" s="2" t="s">
        <v>68</v>
      </c>
      <c r="B1003" s="2">
        <v>11</v>
      </c>
      <c r="C1003" s="2">
        <v>1</v>
      </c>
      <c r="D1003" s="2">
        <v>2021</v>
      </c>
      <c r="E1003" s="2">
        <v>140.43</v>
      </c>
      <c r="F1003" s="2">
        <v>100.75</v>
      </c>
      <c r="H1003" s="1">
        <f>_xlfn.XLOOKUP('Customer Info'!A1364,'Customer Info'!A1364:A1463,'Customer Info'!E1364:E1463,0,0)</f>
        <v>0</v>
      </c>
      <c r="J1003" s="1">
        <f>_xlfn.XLOOKUP('Customer Info'!A1364,'Customer Info'!A1364:A1463,'Customer Info'!M1364:M1463)</f>
        <v>0</v>
      </c>
    </row>
    <row r="1004" spans="1:10" ht="14" x14ac:dyDescent="0.2">
      <c r="A1004" s="2" t="s">
        <v>56</v>
      </c>
      <c r="B1004" s="2">
        <v>14</v>
      </c>
      <c r="C1004" s="2">
        <v>12</v>
      </c>
      <c r="D1004" s="2">
        <v>2021</v>
      </c>
      <c r="E1004" s="2">
        <v>128.34</v>
      </c>
      <c r="F1004" s="2">
        <v>100.75</v>
      </c>
      <c r="H1004" s="1">
        <f>_xlfn.XLOOKUP('Customer Info'!A1406,'Customer Info'!A1406:A1505,'Customer Info'!E1406:E1505,0,0)</f>
        <v>0</v>
      </c>
      <c r="J1004" s="1">
        <f>_xlfn.XLOOKUP('Customer Info'!A1406,'Customer Info'!A1406:A1505,'Customer Info'!M1406:M1505)</f>
        <v>0</v>
      </c>
    </row>
    <row r="1005" spans="1:10" ht="14" x14ac:dyDescent="0.2">
      <c r="A1005" s="2" t="s">
        <v>41</v>
      </c>
      <c r="B1005" s="2">
        <v>15</v>
      </c>
      <c r="C1005" s="2">
        <v>1</v>
      </c>
      <c r="D1005" s="2">
        <v>2021</v>
      </c>
      <c r="E1005" s="2">
        <v>114.39</v>
      </c>
      <c r="F1005" s="2">
        <v>100.75</v>
      </c>
      <c r="H1005" s="1">
        <f>_xlfn.XLOOKUP('Customer Info'!A1469,'Customer Info'!A1469:A1568,'Customer Info'!E1469:E1568,0,0)</f>
        <v>0</v>
      </c>
      <c r="J1005" s="1">
        <f>_xlfn.XLOOKUP('Customer Info'!A1469,'Customer Info'!A1469:A1568,'Customer Info'!M1469:M1568)</f>
        <v>0</v>
      </c>
    </row>
    <row r="1006" spans="1:10" ht="14" hidden="1" x14ac:dyDescent="0.2">
      <c r="A1006" s="2" t="s">
        <v>41</v>
      </c>
      <c r="B1006" s="2">
        <v>15</v>
      </c>
      <c r="C1006" s="2">
        <v>12</v>
      </c>
      <c r="D1006" s="2">
        <v>2020</v>
      </c>
      <c r="E1006" s="2">
        <v>99.82</v>
      </c>
      <c r="F1006" s="2">
        <v>100.75</v>
      </c>
      <c r="H1006" s="1">
        <f>_xlfn.XLOOKUP('Customer Info'!A331,'Customer Info'!A331:A430,'Customer Info'!E331:E430,0,0)</f>
        <v>0</v>
      </c>
      <c r="J1006" s="1">
        <f>_xlfn.XLOOKUP('Customer Info'!A331,'Customer Info'!A331:A430,'Customer Info'!M331:M430)</f>
        <v>0</v>
      </c>
    </row>
    <row r="1007" spans="1:10" ht="14" x14ac:dyDescent="0.2">
      <c r="A1007" s="2" t="s">
        <v>63</v>
      </c>
      <c r="B1007" s="2">
        <v>25</v>
      </c>
      <c r="C1007" s="2">
        <v>3</v>
      </c>
      <c r="D1007" s="2">
        <v>2021</v>
      </c>
      <c r="E1007" s="2">
        <v>75.33</v>
      </c>
      <c r="F1007" s="2">
        <v>100.75</v>
      </c>
      <c r="H1007" s="1">
        <f>_xlfn.XLOOKUP('Customer Info'!A1695,'Customer Info'!A1695:A1794,'Customer Info'!E1695:E1794,0,0)</f>
        <v>0</v>
      </c>
      <c r="J1007" s="1">
        <f>_xlfn.XLOOKUP('Customer Info'!A1695,'Customer Info'!A1695:A1794,'Customer Info'!M1695:M1794)</f>
        <v>0</v>
      </c>
    </row>
    <row r="1008" spans="1:10" ht="14" x14ac:dyDescent="0.2">
      <c r="A1008" s="2" t="s">
        <v>56</v>
      </c>
      <c r="B1008" s="2">
        <v>14</v>
      </c>
      <c r="C1008" s="2">
        <v>3</v>
      </c>
      <c r="D1008" s="2">
        <v>2021</v>
      </c>
      <c r="E1008" s="2">
        <v>73.47</v>
      </c>
      <c r="F1008" s="2">
        <v>100.75</v>
      </c>
      <c r="H1008" s="1">
        <f>_xlfn.XLOOKUP('Customer Info'!A1708,'Customer Info'!A1708:A1807,'Customer Info'!E1708:E1807,0,0)</f>
        <v>0</v>
      </c>
      <c r="J1008" s="1">
        <f>_xlfn.XLOOKUP('Customer Info'!A1708,'Customer Info'!A1708:A1807,'Customer Info'!M1708:M1807)</f>
        <v>0</v>
      </c>
    </row>
    <row r="1009" spans="1:10" ht="14" x14ac:dyDescent="0.2">
      <c r="A1009" s="2" t="s">
        <v>60</v>
      </c>
      <c r="B1009" s="2">
        <v>20</v>
      </c>
      <c r="C1009" s="2">
        <v>7</v>
      </c>
      <c r="D1009" s="2">
        <v>2021</v>
      </c>
      <c r="E1009" s="2">
        <v>36.58</v>
      </c>
      <c r="F1009" s="2">
        <v>100.75</v>
      </c>
      <c r="H1009" s="1">
        <f>_xlfn.XLOOKUP('Customer Info'!A1977,'Customer Info'!A1977:A2076,'Customer Info'!E1977:E2076,0,0)</f>
        <v>0</v>
      </c>
      <c r="J1009" s="1">
        <f>_xlfn.XLOOKUP('Customer Info'!A1977,'Customer Info'!A1977:A2076,'Customer Info'!M1977:M2076)</f>
        <v>0</v>
      </c>
    </row>
    <row r="1010" spans="1:10" ht="14" hidden="1" x14ac:dyDescent="0.2">
      <c r="A1010" s="2" t="s">
        <v>100</v>
      </c>
      <c r="B1010" s="2">
        <v>1</v>
      </c>
      <c r="C1010" s="2">
        <v>6</v>
      </c>
      <c r="D1010" s="2">
        <v>2020</v>
      </c>
      <c r="E1010" s="1" t="s">
        <v>94</v>
      </c>
      <c r="F1010" s="2">
        <v>100.5</v>
      </c>
      <c r="H1010" s="1">
        <f>_xlfn.XLOOKUP('Customer Info'!A102,'Customer Info'!A102:A201,'Customer Info'!E102:E201,0,0)</f>
        <v>0</v>
      </c>
      <c r="J1010" s="1">
        <f>_xlfn.XLOOKUP('Customer Info'!A102,'Customer Info'!A102:A201,'Customer Info'!M102:M201)</f>
        <v>0</v>
      </c>
    </row>
    <row r="1011" spans="1:10" ht="14" x14ac:dyDescent="0.2">
      <c r="A1011" s="2" t="s">
        <v>77</v>
      </c>
      <c r="B1011" s="2">
        <v>16</v>
      </c>
      <c r="C1011" s="2">
        <v>4</v>
      </c>
      <c r="D1011" s="2">
        <v>2021</v>
      </c>
      <c r="E1011" s="2">
        <v>91.8</v>
      </c>
      <c r="F1011" s="2">
        <v>100.5</v>
      </c>
      <c r="H1011" s="1">
        <f>_xlfn.XLOOKUP('Customer Info'!A1603,'Customer Info'!A1603:A1702,'Customer Info'!E1603:E1702,0,0)</f>
        <v>0</v>
      </c>
      <c r="J1011" s="1">
        <f>_xlfn.XLOOKUP('Customer Info'!A1603,'Customer Info'!A1603:A1702,'Customer Info'!M1603:M1702)</f>
        <v>0</v>
      </c>
    </row>
    <row r="1012" spans="1:10" ht="14" x14ac:dyDescent="0.2">
      <c r="A1012" s="2" t="s">
        <v>78</v>
      </c>
      <c r="B1012" s="2">
        <v>18</v>
      </c>
      <c r="C1012" s="2">
        <v>9</v>
      </c>
      <c r="D1012" s="2">
        <v>2021</v>
      </c>
      <c r="E1012" s="2">
        <v>51.9</v>
      </c>
      <c r="F1012" s="2">
        <v>100.5</v>
      </c>
      <c r="H1012" s="1">
        <f>_xlfn.XLOOKUP('Customer Info'!A1851,'Customer Info'!A1851:A1950,'Customer Info'!E1851:E1950,0,0)</f>
        <v>0</v>
      </c>
      <c r="J1012" s="1">
        <f>_xlfn.XLOOKUP('Customer Info'!A1851,'Customer Info'!A1851:A1950,'Customer Info'!M1851:M1950)</f>
        <v>0</v>
      </c>
    </row>
    <row r="1013" spans="1:10" ht="14" x14ac:dyDescent="0.2">
      <c r="A1013" s="2" t="s">
        <v>70</v>
      </c>
      <c r="B1013" s="2">
        <v>16</v>
      </c>
      <c r="C1013" s="2">
        <v>8</v>
      </c>
      <c r="D1013" s="2">
        <v>2021</v>
      </c>
      <c r="E1013" s="2">
        <v>45.88</v>
      </c>
      <c r="F1013" s="2">
        <v>100.44</v>
      </c>
      <c r="H1013" s="1">
        <f>_xlfn.XLOOKUP('Customer Info'!A1897,'Customer Info'!A1897:A1996,'Customer Info'!E1897:E1996,0,0)</f>
        <v>0</v>
      </c>
      <c r="J1013" s="1">
        <f>_xlfn.XLOOKUP('Customer Info'!A1897,'Customer Info'!A1897:A1996,'Customer Info'!M1897:M1996)</f>
        <v>0</v>
      </c>
    </row>
    <row r="1014" spans="1:10" ht="14" x14ac:dyDescent="0.2">
      <c r="A1014" s="2" t="s">
        <v>84</v>
      </c>
      <c r="B1014" s="2">
        <v>20</v>
      </c>
      <c r="C1014" s="2">
        <v>3</v>
      </c>
      <c r="D1014" s="2">
        <v>2021</v>
      </c>
      <c r="E1014" s="2">
        <v>95.79</v>
      </c>
      <c r="F1014" s="2">
        <v>100.13</v>
      </c>
      <c r="H1014" s="1">
        <f>_xlfn.XLOOKUP('Customer Info'!A1577,'Customer Info'!A1577:A1676,'Customer Info'!E1577:E1676,0,0)</f>
        <v>0</v>
      </c>
      <c r="J1014" s="1">
        <f>_xlfn.XLOOKUP('Customer Info'!A1577,'Customer Info'!A1577:A1676,'Customer Info'!M1577:M1676)</f>
        <v>0</v>
      </c>
    </row>
    <row r="1015" spans="1:10" ht="14" hidden="1" x14ac:dyDescent="0.2">
      <c r="A1015" s="2" t="s">
        <v>70</v>
      </c>
      <c r="B1015" s="2">
        <v>16</v>
      </c>
      <c r="C1015" s="2">
        <v>10</v>
      </c>
      <c r="D1015" s="2">
        <v>2020</v>
      </c>
      <c r="E1015" s="2">
        <v>73.47</v>
      </c>
      <c r="F1015" s="2">
        <v>100.13</v>
      </c>
      <c r="H1015" s="1">
        <f>_xlfn.XLOOKUP('Customer Info'!A479,'Customer Info'!A479:A578,'Customer Info'!E479:E578,0,0)</f>
        <v>0</v>
      </c>
      <c r="J1015" s="1">
        <f>_xlfn.XLOOKUP('Customer Info'!A479,'Customer Info'!A479:A578,'Customer Info'!M479:M578)</f>
        <v>0</v>
      </c>
    </row>
    <row r="1016" spans="1:10" ht="14" hidden="1" x14ac:dyDescent="0.2">
      <c r="A1016" s="2" t="s">
        <v>54</v>
      </c>
      <c r="B1016" s="2">
        <v>5</v>
      </c>
      <c r="C1016" s="2">
        <v>5</v>
      </c>
      <c r="D1016" s="2">
        <v>2020</v>
      </c>
      <c r="E1016" s="2">
        <v>39.99</v>
      </c>
      <c r="F1016" s="2">
        <v>100.13</v>
      </c>
      <c r="H1016" s="1">
        <f>_xlfn.XLOOKUP('Customer Info'!A732,'Customer Info'!A732:A831,'Customer Info'!E732:E831,0,0)</f>
        <v>0</v>
      </c>
      <c r="J1016" s="1">
        <f>_xlfn.XLOOKUP('Customer Info'!A732,'Customer Info'!A732:A831,'Customer Info'!M732:M831)</f>
        <v>0</v>
      </c>
    </row>
    <row r="1017" spans="1:10" ht="14" x14ac:dyDescent="0.2">
      <c r="A1017" s="2" t="s">
        <v>71</v>
      </c>
      <c r="B1017" s="2">
        <v>21</v>
      </c>
      <c r="C1017" s="2">
        <v>11</v>
      </c>
      <c r="D1017" s="2">
        <v>2021</v>
      </c>
      <c r="E1017" s="2">
        <v>115.2</v>
      </c>
      <c r="F1017" s="2">
        <v>99.9</v>
      </c>
      <c r="H1017" s="1">
        <f>_xlfn.XLOOKUP('Customer Info'!A1465,'Customer Info'!A1465:A1564,'Customer Info'!E1465:E1564,0,0)</f>
        <v>0</v>
      </c>
      <c r="J1017" s="1">
        <f>_xlfn.XLOOKUP('Customer Info'!A1465,'Customer Info'!A1465:A1564,'Customer Info'!M1465:M1564)</f>
        <v>0</v>
      </c>
    </row>
    <row r="1018" spans="1:10" ht="14" hidden="1" x14ac:dyDescent="0.2">
      <c r="A1018" s="2" t="s">
        <v>54</v>
      </c>
      <c r="B1018" s="2">
        <v>5</v>
      </c>
      <c r="C1018" s="2">
        <v>11</v>
      </c>
      <c r="D1018" s="2">
        <v>2020</v>
      </c>
      <c r="E1018" s="2">
        <v>114.3</v>
      </c>
      <c r="F1018" s="2">
        <v>99.9</v>
      </c>
      <c r="H1018" s="1">
        <f>_xlfn.XLOOKUP('Customer Info'!A235,'Customer Info'!A235:A334,'Customer Info'!E235:E334,0,0)</f>
        <v>0</v>
      </c>
      <c r="J1018" s="1">
        <f>_xlfn.XLOOKUP('Customer Info'!A235,'Customer Info'!A235:A334,'Customer Info'!M235:M334)</f>
        <v>0</v>
      </c>
    </row>
    <row r="1019" spans="1:10" ht="14" hidden="1" x14ac:dyDescent="0.2">
      <c r="A1019" s="2" t="s">
        <v>88</v>
      </c>
      <c r="B1019" s="2">
        <v>23</v>
      </c>
      <c r="C1019" s="2">
        <v>9</v>
      </c>
      <c r="D1019" s="2">
        <v>2020</v>
      </c>
      <c r="E1019" s="2">
        <v>58.2</v>
      </c>
      <c r="F1019" s="2">
        <v>99.9</v>
      </c>
      <c r="H1019" s="1">
        <f>_xlfn.XLOOKUP('Customer Info'!A596,'Customer Info'!A596:A695,'Customer Info'!E596:E695,0,0)</f>
        <v>0</v>
      </c>
      <c r="J1019" s="1">
        <f>_xlfn.XLOOKUP('Customer Info'!A596,'Customer Info'!A596:A695,'Customer Info'!M596:M695)</f>
        <v>0</v>
      </c>
    </row>
    <row r="1020" spans="1:10" ht="14" x14ac:dyDescent="0.2">
      <c r="A1020" s="2" t="s">
        <v>68</v>
      </c>
      <c r="B1020" s="2">
        <v>11</v>
      </c>
      <c r="C1020" s="2">
        <v>6</v>
      </c>
      <c r="D1020" s="2">
        <v>2021</v>
      </c>
      <c r="E1020" s="2">
        <v>50.1</v>
      </c>
      <c r="F1020" s="2">
        <v>99.9</v>
      </c>
      <c r="H1020" s="1">
        <f>_xlfn.XLOOKUP('Customer Info'!A1865,'Customer Info'!A1865:A1964,'Customer Info'!E1865:E1964,0,0)</f>
        <v>0</v>
      </c>
      <c r="J1020" s="1">
        <f>_xlfn.XLOOKUP('Customer Info'!A1865,'Customer Info'!A1865:A1964,'Customer Info'!M1865:M1964)</f>
        <v>0</v>
      </c>
    </row>
    <row r="1021" spans="1:10" ht="14" x14ac:dyDescent="0.2">
      <c r="A1021" s="2" t="s">
        <v>7</v>
      </c>
      <c r="B1021" s="2">
        <v>20</v>
      </c>
      <c r="C1021" s="2">
        <v>6</v>
      </c>
      <c r="D1021" s="2">
        <v>2021</v>
      </c>
      <c r="E1021" s="2">
        <v>0</v>
      </c>
      <c r="F1021" s="2">
        <v>99.9</v>
      </c>
      <c r="H1021" s="1">
        <f>_xlfn.XLOOKUP('Customer Info'!A2392,'Customer Info'!A2392:A2491,'Customer Info'!E2392:E2491,0,0)</f>
        <v>0</v>
      </c>
      <c r="J1021" s="1">
        <f>_xlfn.XLOOKUP('Customer Info'!A2392,'Customer Info'!A2392:A2491,'Customer Info'!M2392:M2491)</f>
        <v>0</v>
      </c>
    </row>
    <row r="1022" spans="1:10" ht="14" x14ac:dyDescent="0.2">
      <c r="A1022" s="2" t="s">
        <v>60</v>
      </c>
      <c r="B1022" s="2">
        <v>20</v>
      </c>
      <c r="C1022" s="2">
        <v>10</v>
      </c>
      <c r="D1022" s="2">
        <v>2021</v>
      </c>
      <c r="E1022" s="2">
        <v>76.260000000000005</v>
      </c>
      <c r="F1022" s="2">
        <v>99.82</v>
      </c>
      <c r="H1022" s="1">
        <f>_xlfn.XLOOKUP('Customer Info'!A1692,'Customer Info'!A1692:A1791,'Customer Info'!E1692:E1791,0,0)</f>
        <v>0</v>
      </c>
      <c r="J1022" s="1">
        <f>_xlfn.XLOOKUP('Customer Info'!A1692,'Customer Info'!A1692:A1791,'Customer Info'!M1692:M1791)</f>
        <v>0</v>
      </c>
    </row>
    <row r="1023" spans="1:10" ht="14" x14ac:dyDescent="0.2">
      <c r="A1023" s="2" t="s">
        <v>88</v>
      </c>
      <c r="B1023" s="2">
        <v>23</v>
      </c>
      <c r="C1023" s="2">
        <v>5</v>
      </c>
      <c r="D1023" s="2">
        <v>2021</v>
      </c>
      <c r="E1023" s="2">
        <v>75.02</v>
      </c>
      <c r="F1023" s="2">
        <v>99.82</v>
      </c>
      <c r="H1023" s="1">
        <f>_xlfn.XLOOKUP('Customer Info'!A1696,'Customer Info'!A1696:A1795,'Customer Info'!E1696:E1795,0,0)</f>
        <v>0</v>
      </c>
      <c r="J1023" s="1">
        <f>_xlfn.XLOOKUP('Customer Info'!A1696,'Customer Info'!A1696:A1795,'Customer Info'!M1696:M1795)</f>
        <v>0</v>
      </c>
    </row>
    <row r="1024" spans="1:10" ht="14" x14ac:dyDescent="0.2">
      <c r="A1024" s="2" t="s">
        <v>90</v>
      </c>
      <c r="B1024" s="2">
        <v>18</v>
      </c>
      <c r="C1024" s="2">
        <v>8</v>
      </c>
      <c r="D1024" s="2">
        <v>2021</v>
      </c>
      <c r="E1024" s="2">
        <v>66.650000000000006</v>
      </c>
      <c r="F1024" s="2">
        <v>99.82</v>
      </c>
      <c r="H1024" s="1">
        <f>_xlfn.XLOOKUP('Customer Info'!A1752,'Customer Info'!A1752:A1851,'Customer Info'!E1752:E1851,0,0)</f>
        <v>0</v>
      </c>
      <c r="J1024" s="1">
        <f>_xlfn.XLOOKUP('Customer Info'!A1752,'Customer Info'!A1752:A1851,'Customer Info'!M1752:M1851)</f>
        <v>0</v>
      </c>
    </row>
    <row r="1025" spans="1:10" ht="14" x14ac:dyDescent="0.2">
      <c r="A1025" s="2" t="s">
        <v>44</v>
      </c>
      <c r="B1025" s="2">
        <v>1</v>
      </c>
      <c r="C1025" s="2">
        <v>8</v>
      </c>
      <c r="D1025" s="2">
        <v>2021</v>
      </c>
      <c r="E1025" s="2">
        <v>32.24</v>
      </c>
      <c r="F1025" s="2">
        <v>99.82</v>
      </c>
      <c r="H1025" s="1">
        <f>_xlfn.XLOOKUP('Customer Info'!A2004,'Customer Info'!A2004:A2103,'Customer Info'!E2004:E2103,0,0)</f>
        <v>0</v>
      </c>
      <c r="J1025" s="1">
        <f>_xlfn.XLOOKUP('Customer Info'!A2004,'Customer Info'!A2004:A2103,'Customer Info'!M2004:M2103)</f>
        <v>0</v>
      </c>
    </row>
    <row r="1026" spans="1:10" ht="14" x14ac:dyDescent="0.2">
      <c r="A1026" s="2" t="s">
        <v>61</v>
      </c>
      <c r="B1026" s="2">
        <v>23</v>
      </c>
      <c r="C1026" s="2">
        <v>11</v>
      </c>
      <c r="D1026" s="2">
        <v>2021</v>
      </c>
      <c r="E1026" s="2">
        <v>115.2</v>
      </c>
      <c r="F1026" s="2">
        <v>99.6</v>
      </c>
      <c r="H1026" s="1">
        <f>_xlfn.XLOOKUP('Customer Info'!A1466,'Customer Info'!A1466:A1565,'Customer Info'!E1466:E1565,0,0)</f>
        <v>0</v>
      </c>
      <c r="J1026" s="1">
        <f>_xlfn.XLOOKUP('Customer Info'!A1466,'Customer Info'!A1466:A1565,'Customer Info'!M1466:M1565)</f>
        <v>0</v>
      </c>
    </row>
    <row r="1027" spans="1:10" ht="14" x14ac:dyDescent="0.2">
      <c r="A1027" s="2" t="s">
        <v>6</v>
      </c>
      <c r="B1027" s="2">
        <v>7</v>
      </c>
      <c r="C1027" s="2">
        <v>6</v>
      </c>
      <c r="D1027" s="2">
        <v>2021</v>
      </c>
      <c r="E1027" s="2">
        <v>0</v>
      </c>
      <c r="F1027" s="2">
        <v>99.6</v>
      </c>
      <c r="H1027" s="1">
        <f>_xlfn.XLOOKUP('Customer Info'!A2393,'Customer Info'!A2393:A2492,'Customer Info'!E2393:E2492,0,0)</f>
        <v>0</v>
      </c>
      <c r="J1027" s="1">
        <f>_xlfn.XLOOKUP('Customer Info'!A2393,'Customer Info'!A2393:A2492,'Customer Info'!M2393:M2492)</f>
        <v>0</v>
      </c>
    </row>
    <row r="1028" spans="1:10" ht="14" x14ac:dyDescent="0.2">
      <c r="A1028" s="2" t="s">
        <v>59</v>
      </c>
      <c r="B1028" s="2">
        <v>11</v>
      </c>
      <c r="C1028" s="2">
        <v>4</v>
      </c>
      <c r="D1028" s="2">
        <v>2021</v>
      </c>
      <c r="E1028" s="2">
        <v>78.3</v>
      </c>
      <c r="F1028" s="2">
        <v>99.3</v>
      </c>
      <c r="H1028" s="1">
        <f>_xlfn.XLOOKUP('Customer Info'!A1677,'Customer Info'!A1677:A1776,'Customer Info'!E1677:E1776,0,0)</f>
        <v>0</v>
      </c>
      <c r="J1028" s="1">
        <f>_xlfn.XLOOKUP('Customer Info'!A1677,'Customer Info'!A1677:A1776,'Customer Info'!M1677:M1776)</f>
        <v>0</v>
      </c>
    </row>
    <row r="1029" spans="1:10" ht="14" hidden="1" x14ac:dyDescent="0.2">
      <c r="A1029" s="2" t="s">
        <v>88</v>
      </c>
      <c r="B1029" s="2">
        <v>23</v>
      </c>
      <c r="C1029" s="2">
        <v>6</v>
      </c>
      <c r="D1029" s="2">
        <v>2020</v>
      </c>
      <c r="E1029" s="2">
        <v>62.7</v>
      </c>
      <c r="F1029" s="2">
        <v>99.3</v>
      </c>
      <c r="H1029" s="1">
        <f>_xlfn.XLOOKUP('Customer Info'!A565,'Customer Info'!A565:A664,'Customer Info'!E565:E664,0,0)</f>
        <v>0</v>
      </c>
      <c r="J1029" s="1">
        <f>_xlfn.XLOOKUP('Customer Info'!A565,'Customer Info'!A565:A664,'Customer Info'!M565:M664)</f>
        <v>0</v>
      </c>
    </row>
    <row r="1030" spans="1:10" ht="14" x14ac:dyDescent="0.2">
      <c r="A1030" s="2" t="s">
        <v>70</v>
      </c>
      <c r="B1030" s="2">
        <v>16</v>
      </c>
      <c r="C1030" s="2">
        <v>6</v>
      </c>
      <c r="D1030" s="2">
        <v>2021</v>
      </c>
      <c r="E1030" s="2">
        <v>44.1</v>
      </c>
      <c r="F1030" s="2">
        <v>99.3</v>
      </c>
      <c r="H1030" s="1">
        <f>_xlfn.XLOOKUP('Customer Info'!A1912,'Customer Info'!A1912:A2011,'Customer Info'!E1912:E2011,0,0)</f>
        <v>0</v>
      </c>
      <c r="J1030" s="1">
        <f>_xlfn.XLOOKUP('Customer Info'!A1912,'Customer Info'!A1912:A2011,'Customer Info'!M1912:M2011)</f>
        <v>0</v>
      </c>
    </row>
    <row r="1031" spans="1:10" ht="14" x14ac:dyDescent="0.2">
      <c r="A1031" s="2" t="s">
        <v>52</v>
      </c>
      <c r="B1031" s="2">
        <v>1</v>
      </c>
      <c r="C1031" s="2">
        <v>10</v>
      </c>
      <c r="D1031" s="2">
        <v>2021</v>
      </c>
      <c r="E1031" s="2">
        <v>76.88</v>
      </c>
      <c r="F1031" s="2">
        <v>99.2</v>
      </c>
      <c r="H1031" s="1">
        <f>_xlfn.XLOOKUP('Customer Info'!A1687,'Customer Info'!A1687:A1786,'Customer Info'!E1687:E1786,0,0)</f>
        <v>0</v>
      </c>
      <c r="J1031" s="1">
        <f>_xlfn.XLOOKUP('Customer Info'!A1687,'Customer Info'!A1687:A1786,'Customer Info'!M1687:M1786)</f>
        <v>0</v>
      </c>
    </row>
    <row r="1032" spans="1:10" ht="14" x14ac:dyDescent="0.2">
      <c r="A1032" s="2" t="s">
        <v>74</v>
      </c>
      <c r="B1032" s="2">
        <v>5</v>
      </c>
      <c r="C1032" s="2">
        <v>4</v>
      </c>
      <c r="D1032" s="2">
        <v>2021</v>
      </c>
      <c r="E1032" s="2">
        <v>75</v>
      </c>
      <c r="F1032" s="2">
        <v>99</v>
      </c>
      <c r="H1032" s="1">
        <f>_xlfn.XLOOKUP('Customer Info'!A1698,'Customer Info'!A1698:A1797,'Customer Info'!E1698:E1797,0,0)</f>
        <v>0</v>
      </c>
      <c r="J1032" s="1">
        <f>_xlfn.XLOOKUP('Customer Info'!A1698,'Customer Info'!A1698:A1797,'Customer Info'!M1698:M1797)</f>
        <v>0</v>
      </c>
    </row>
    <row r="1033" spans="1:10" ht="14" x14ac:dyDescent="0.2">
      <c r="A1033" s="2" t="s">
        <v>84</v>
      </c>
      <c r="B1033" s="2">
        <v>20</v>
      </c>
      <c r="C1033" s="2">
        <v>9</v>
      </c>
      <c r="D1033" s="2">
        <v>2021</v>
      </c>
      <c r="E1033" s="2">
        <v>60</v>
      </c>
      <c r="F1033" s="2">
        <v>99</v>
      </c>
      <c r="H1033" s="1">
        <f>_xlfn.XLOOKUP('Customer Info'!A1805,'Customer Info'!A1805:A1904,'Customer Info'!E1805:E1904,0,0)</f>
        <v>0</v>
      </c>
      <c r="J1033" s="1">
        <f>_xlfn.XLOOKUP('Customer Info'!A1805,'Customer Info'!A1805:A1904,'Customer Info'!M1805:M1904)</f>
        <v>0</v>
      </c>
    </row>
    <row r="1034" spans="1:10" ht="14" x14ac:dyDescent="0.2">
      <c r="A1034" s="2" t="s">
        <v>83</v>
      </c>
      <c r="B1034" s="2">
        <v>25</v>
      </c>
      <c r="C1034" s="2">
        <v>1</v>
      </c>
      <c r="D1034" s="2">
        <v>2021</v>
      </c>
      <c r="E1034" s="2">
        <v>157.16999999999999</v>
      </c>
      <c r="F1034" s="2">
        <v>98.89</v>
      </c>
      <c r="H1034" s="1">
        <f>_xlfn.XLOOKUP('Customer Info'!A1344,'Customer Info'!A1344:A1443,'Customer Info'!E1344:E1443,0,0)</f>
        <v>0</v>
      </c>
      <c r="J1034" s="1">
        <f>_xlfn.XLOOKUP('Customer Info'!A1344,'Customer Info'!A1344:A1443,'Customer Info'!M1344:M1443)</f>
        <v>0</v>
      </c>
    </row>
    <row r="1035" spans="1:10" ht="14" hidden="1" x14ac:dyDescent="0.2">
      <c r="A1035" s="2" t="s">
        <v>90</v>
      </c>
      <c r="B1035" s="2">
        <v>18</v>
      </c>
      <c r="C1035" s="2">
        <v>12</v>
      </c>
      <c r="D1035" s="2">
        <v>2020</v>
      </c>
      <c r="E1035" s="2">
        <v>138.88</v>
      </c>
      <c r="F1035" s="2">
        <v>98.89</v>
      </c>
      <c r="H1035" s="1">
        <f>_xlfn.XLOOKUP('Customer Info'!A164,'Customer Info'!A164:A263,'Customer Info'!E164:E263,0,0)</f>
        <v>0</v>
      </c>
      <c r="J1035" s="1">
        <f>_xlfn.XLOOKUP('Customer Info'!A164,'Customer Info'!A164:A263,'Customer Info'!M164:M263)</f>
        <v>0</v>
      </c>
    </row>
    <row r="1036" spans="1:10" ht="14" x14ac:dyDescent="0.2">
      <c r="A1036" s="2" t="s">
        <v>68</v>
      </c>
      <c r="B1036" s="2">
        <v>11</v>
      </c>
      <c r="C1036" s="2">
        <v>12</v>
      </c>
      <c r="D1036" s="2">
        <v>2021</v>
      </c>
      <c r="E1036" s="2">
        <v>112.84</v>
      </c>
      <c r="F1036" s="2">
        <v>98.89</v>
      </c>
      <c r="H1036" s="1">
        <f>_xlfn.XLOOKUP('Customer Info'!A1479,'Customer Info'!A1479:A1578,'Customer Info'!E1479:E1578,0,0)</f>
        <v>0</v>
      </c>
      <c r="J1036" s="1">
        <f>_xlfn.XLOOKUP('Customer Info'!A1479,'Customer Info'!A1479:A1578,'Customer Info'!M1479:M1578)</f>
        <v>0</v>
      </c>
    </row>
    <row r="1037" spans="1:10" ht="14" x14ac:dyDescent="0.2">
      <c r="A1037" s="2" t="s">
        <v>83</v>
      </c>
      <c r="B1037" s="2">
        <v>25</v>
      </c>
      <c r="C1037" s="2">
        <v>10</v>
      </c>
      <c r="D1037" s="2">
        <v>2021</v>
      </c>
      <c r="E1037" s="2">
        <v>104.16</v>
      </c>
      <c r="F1037" s="2">
        <v>98.89</v>
      </c>
      <c r="H1037" s="1">
        <f>_xlfn.XLOOKUP('Customer Info'!A1533,'Customer Info'!A1533:A1632,'Customer Info'!E1533:E1632,0,0)</f>
        <v>0</v>
      </c>
      <c r="J1037" s="1">
        <f>_xlfn.XLOOKUP('Customer Info'!A1533,'Customer Info'!A1533:A1632,'Customer Info'!M1533:M1632)</f>
        <v>0</v>
      </c>
    </row>
    <row r="1038" spans="1:10" ht="14" hidden="1" x14ac:dyDescent="0.2">
      <c r="A1038" s="2" t="s">
        <v>69</v>
      </c>
      <c r="B1038" s="2">
        <v>12</v>
      </c>
      <c r="C1038" s="2">
        <v>12</v>
      </c>
      <c r="D1038" s="2">
        <v>2020</v>
      </c>
      <c r="E1038" s="2">
        <v>103.85</v>
      </c>
      <c r="F1038" s="2">
        <v>98.89</v>
      </c>
      <c r="H1038" s="1">
        <f>_xlfn.XLOOKUP('Customer Info'!A304,'Customer Info'!A304:A403,'Customer Info'!E304:E403,0,0)</f>
        <v>0</v>
      </c>
      <c r="J1038" s="1">
        <f>_xlfn.XLOOKUP('Customer Info'!A304,'Customer Info'!A304:A403,'Customer Info'!M304:M403)</f>
        <v>0</v>
      </c>
    </row>
    <row r="1039" spans="1:10" ht="14" hidden="1" x14ac:dyDescent="0.2">
      <c r="A1039" s="2" t="s">
        <v>54</v>
      </c>
      <c r="B1039" s="2">
        <v>5</v>
      </c>
      <c r="C1039" s="2">
        <v>10</v>
      </c>
      <c r="D1039" s="2">
        <v>2020</v>
      </c>
      <c r="E1039" s="2">
        <v>75.95</v>
      </c>
      <c r="F1039" s="2">
        <v>98.89</v>
      </c>
      <c r="H1039" s="1">
        <f>_xlfn.XLOOKUP('Customer Info'!A464,'Customer Info'!A464:A563,'Customer Info'!E464:E563,0,0)</f>
        <v>0</v>
      </c>
      <c r="J1039" s="1">
        <f>_xlfn.XLOOKUP('Customer Info'!A464,'Customer Info'!A464:A563,'Customer Info'!M464:M563)</f>
        <v>0</v>
      </c>
    </row>
    <row r="1040" spans="1:10" ht="14" x14ac:dyDescent="0.2">
      <c r="A1040" s="2" t="s">
        <v>38</v>
      </c>
      <c r="B1040" s="2">
        <v>21</v>
      </c>
      <c r="C1040" s="2">
        <v>3</v>
      </c>
      <c r="D1040" s="2">
        <v>2021</v>
      </c>
      <c r="E1040" s="2">
        <v>74.400000000000006</v>
      </c>
      <c r="F1040" s="2">
        <v>98.89</v>
      </c>
      <c r="H1040" s="1">
        <f>_xlfn.XLOOKUP('Customer Info'!A1699,'Customer Info'!A1699:A1798,'Customer Info'!E1699:E1798,0,0)</f>
        <v>0</v>
      </c>
      <c r="J1040" s="1">
        <f>_xlfn.XLOOKUP('Customer Info'!A1699,'Customer Info'!A1699:A1798,'Customer Info'!M1699:M1798)</f>
        <v>0</v>
      </c>
    </row>
    <row r="1041" spans="1:10" ht="14" x14ac:dyDescent="0.2">
      <c r="A1041" s="2" t="s">
        <v>67</v>
      </c>
      <c r="B1041" s="2">
        <v>13</v>
      </c>
      <c r="C1041" s="2">
        <v>3</v>
      </c>
      <c r="D1041" s="2">
        <v>2021</v>
      </c>
      <c r="E1041" s="2">
        <v>71.3</v>
      </c>
      <c r="F1041" s="2">
        <v>98.89</v>
      </c>
      <c r="H1041" s="1">
        <f>_xlfn.XLOOKUP('Customer Info'!A1725,'Customer Info'!A1725:A1824,'Customer Info'!E1725:E1824,0,0)</f>
        <v>0</v>
      </c>
      <c r="J1041" s="1">
        <f>_xlfn.XLOOKUP('Customer Info'!A1725,'Customer Info'!A1725:A1824,'Customer Info'!M1725:M1824)</f>
        <v>0</v>
      </c>
    </row>
    <row r="1042" spans="1:10" ht="14" hidden="1" x14ac:dyDescent="0.2">
      <c r="A1042" s="2" t="s">
        <v>72</v>
      </c>
      <c r="B1042" s="2">
        <v>22</v>
      </c>
      <c r="C1042" s="2">
        <v>5</v>
      </c>
      <c r="D1042" s="2">
        <v>2020</v>
      </c>
      <c r="E1042" s="2">
        <v>57.66</v>
      </c>
      <c r="F1042" s="2">
        <v>98.89</v>
      </c>
      <c r="H1042" s="1">
        <f>_xlfn.XLOOKUP('Customer Info'!A601,'Customer Info'!A601:A700,'Customer Info'!E601:E700,0,0)</f>
        <v>0</v>
      </c>
      <c r="J1042" s="1">
        <f>_xlfn.XLOOKUP('Customer Info'!A601,'Customer Info'!A601:A700,'Customer Info'!M601:M700)</f>
        <v>0</v>
      </c>
    </row>
    <row r="1043" spans="1:10" ht="14" x14ac:dyDescent="0.2">
      <c r="A1043" s="2" t="s">
        <v>75</v>
      </c>
      <c r="B1043" s="2">
        <v>2</v>
      </c>
      <c r="C1043" s="2">
        <v>7</v>
      </c>
      <c r="D1043" s="2">
        <v>2021</v>
      </c>
      <c r="E1043" s="2">
        <v>41.23</v>
      </c>
      <c r="F1043" s="2">
        <v>98.89</v>
      </c>
      <c r="H1043" s="1">
        <f>_xlfn.XLOOKUP('Customer Info'!A1932,'Customer Info'!A1932:A2031,'Customer Info'!E1932:E2031,0,0)</f>
        <v>0</v>
      </c>
      <c r="J1043" s="1">
        <f>_xlfn.XLOOKUP('Customer Info'!A1932,'Customer Info'!A1932:A2031,'Customer Info'!M1932:M2031)</f>
        <v>0</v>
      </c>
    </row>
    <row r="1044" spans="1:10" ht="14" hidden="1" x14ac:dyDescent="0.2">
      <c r="A1044" s="2" t="s">
        <v>61</v>
      </c>
      <c r="B1044" s="2">
        <v>23</v>
      </c>
      <c r="C1044" s="2">
        <v>7</v>
      </c>
      <c r="D1044" s="2">
        <v>2020</v>
      </c>
      <c r="E1044" s="2">
        <v>40.92</v>
      </c>
      <c r="F1044" s="2">
        <v>98.89</v>
      </c>
      <c r="H1044" s="1">
        <f>_xlfn.XLOOKUP('Customer Info'!A724,'Customer Info'!A724:A823,'Customer Info'!E724:E823,0,0)</f>
        <v>0</v>
      </c>
      <c r="J1044" s="1">
        <f>_xlfn.XLOOKUP('Customer Info'!A724,'Customer Info'!A724:A823,'Customer Info'!M724:M823)</f>
        <v>0</v>
      </c>
    </row>
    <row r="1045" spans="1:10" ht="14" x14ac:dyDescent="0.2">
      <c r="A1045" s="2" t="s">
        <v>63</v>
      </c>
      <c r="B1045" s="2">
        <v>25</v>
      </c>
      <c r="C1045" s="2">
        <v>7</v>
      </c>
      <c r="D1045" s="2">
        <v>2021</v>
      </c>
      <c r="E1045" s="2">
        <v>38.44</v>
      </c>
      <c r="F1045" s="2">
        <v>98.89</v>
      </c>
      <c r="H1045" s="1">
        <f>_xlfn.XLOOKUP('Customer Info'!A1952,'Customer Info'!A1952:A2051,'Customer Info'!E1952:E2051,0,0)</f>
        <v>0</v>
      </c>
      <c r="J1045" s="1">
        <f>_xlfn.XLOOKUP('Customer Info'!A1952,'Customer Info'!A1952:A2051,'Customer Info'!M1952:M2051)</f>
        <v>0</v>
      </c>
    </row>
    <row r="1046" spans="1:10" ht="14" hidden="1" x14ac:dyDescent="0.2">
      <c r="A1046" s="2" t="s">
        <v>77</v>
      </c>
      <c r="B1046" s="2">
        <v>16</v>
      </c>
      <c r="C1046" s="2">
        <v>6</v>
      </c>
      <c r="D1046" s="2">
        <v>2020</v>
      </c>
      <c r="E1046" s="2">
        <v>40.799999999999997</v>
      </c>
      <c r="F1046" s="2">
        <v>98.7</v>
      </c>
      <c r="H1046" s="1">
        <f>_xlfn.XLOOKUP('Customer Info'!A725,'Customer Info'!A725:A824,'Customer Info'!E725:E824,0,0)</f>
        <v>0</v>
      </c>
      <c r="J1046" s="1">
        <f>_xlfn.XLOOKUP('Customer Info'!A725,'Customer Info'!A725:A824,'Customer Info'!M725:M824)</f>
        <v>0</v>
      </c>
    </row>
    <row r="1047" spans="1:10" ht="14" x14ac:dyDescent="0.2">
      <c r="A1047" s="2" t="s">
        <v>1</v>
      </c>
      <c r="B1047" s="2">
        <v>21</v>
      </c>
      <c r="C1047" s="2">
        <v>9</v>
      </c>
      <c r="D1047" s="2">
        <v>2021</v>
      </c>
      <c r="E1047" s="2">
        <v>0</v>
      </c>
      <c r="F1047" s="2">
        <v>98.7</v>
      </c>
      <c r="H1047" s="1">
        <f>_xlfn.XLOOKUP('Customer Info'!A2394,'Customer Info'!A2394:A2493,'Customer Info'!E2394:E2493,0,0)</f>
        <v>0</v>
      </c>
      <c r="J1047" s="1">
        <f>_xlfn.XLOOKUP('Customer Info'!A2394,'Customer Info'!A2394:A2493,'Customer Info'!M2394:M2493)</f>
        <v>0</v>
      </c>
    </row>
    <row r="1048" spans="1:10" ht="14" x14ac:dyDescent="0.2">
      <c r="A1048" s="2" t="s">
        <v>1</v>
      </c>
      <c r="B1048" s="2">
        <v>21</v>
      </c>
      <c r="C1048" s="2">
        <v>8</v>
      </c>
      <c r="D1048" s="2">
        <v>2021</v>
      </c>
      <c r="E1048" s="1" t="s">
        <v>94</v>
      </c>
      <c r="F1048" s="2">
        <v>98.58</v>
      </c>
      <c r="H1048" s="1">
        <f>_xlfn.XLOOKUP('Customer Info'!A1297,'Customer Info'!A1297:A1396,'Customer Info'!E1297:E1396,0,0)</f>
        <v>0</v>
      </c>
      <c r="J1048" s="1">
        <f>_xlfn.XLOOKUP('Customer Info'!A1297,'Customer Info'!A1297:A1396,'Customer Info'!M1297:M1396)</f>
        <v>0</v>
      </c>
    </row>
    <row r="1049" spans="1:10" ht="14" hidden="1" x14ac:dyDescent="0.2">
      <c r="A1049" s="2" t="s">
        <v>77</v>
      </c>
      <c r="B1049" s="2">
        <v>16</v>
      </c>
      <c r="C1049" s="2">
        <v>1</v>
      </c>
      <c r="D1049" s="2">
        <v>2020</v>
      </c>
      <c r="E1049" s="2">
        <v>123.38</v>
      </c>
      <c r="F1049" s="2">
        <v>98.58</v>
      </c>
      <c r="H1049" s="1">
        <f>_xlfn.XLOOKUP('Customer Info'!A191,'Customer Info'!A191:A290,'Customer Info'!E191:E290,0,0)</f>
        <v>0</v>
      </c>
      <c r="J1049" s="1">
        <f>_xlfn.XLOOKUP('Customer Info'!A191,'Customer Info'!A191:A290,'Customer Info'!M191:M290)</f>
        <v>0</v>
      </c>
    </row>
    <row r="1050" spans="1:10" ht="14" hidden="1" x14ac:dyDescent="0.2">
      <c r="A1050" s="2" t="s">
        <v>68</v>
      </c>
      <c r="B1050" s="2">
        <v>11</v>
      </c>
      <c r="C1050" s="2">
        <v>3</v>
      </c>
      <c r="D1050" s="2">
        <v>2020</v>
      </c>
      <c r="E1050" s="2">
        <v>73.78</v>
      </c>
      <c r="F1050" s="2">
        <v>98.58</v>
      </c>
      <c r="H1050" s="1">
        <f>_xlfn.XLOOKUP('Customer Info'!A475,'Customer Info'!A475:A574,'Customer Info'!E475:E574,0,0)</f>
        <v>0</v>
      </c>
      <c r="J1050" s="1">
        <f>_xlfn.XLOOKUP('Customer Info'!A475,'Customer Info'!A475:A574,'Customer Info'!M475:M574)</f>
        <v>0</v>
      </c>
    </row>
    <row r="1051" spans="1:10" ht="14" x14ac:dyDescent="0.2">
      <c r="A1051" s="2" t="s">
        <v>61</v>
      </c>
      <c r="B1051" s="2">
        <v>23</v>
      </c>
      <c r="C1051" s="2">
        <v>7</v>
      </c>
      <c r="D1051" s="2">
        <v>2021</v>
      </c>
      <c r="E1051" s="2">
        <v>44.02</v>
      </c>
      <c r="F1051" s="2">
        <v>98.58</v>
      </c>
      <c r="H1051" s="1">
        <f>_xlfn.XLOOKUP('Customer Info'!A1913,'Customer Info'!A1913:A2012,'Customer Info'!E1913:E2012,0,0)</f>
        <v>0</v>
      </c>
      <c r="J1051" s="1">
        <f>_xlfn.XLOOKUP('Customer Info'!A1913,'Customer Info'!A1913:A2012,'Customer Info'!M1913:M2012)</f>
        <v>0</v>
      </c>
    </row>
    <row r="1052" spans="1:10" ht="14" x14ac:dyDescent="0.2">
      <c r="A1052" s="2" t="s">
        <v>80</v>
      </c>
      <c r="B1052" s="2">
        <v>12</v>
      </c>
      <c r="C1052" s="2">
        <v>11</v>
      </c>
      <c r="D1052" s="2">
        <v>2021</v>
      </c>
      <c r="E1052" s="2">
        <v>114.6</v>
      </c>
      <c r="F1052" s="2">
        <v>98.4</v>
      </c>
      <c r="H1052" s="1">
        <f>_xlfn.XLOOKUP('Customer Info'!A1468,'Customer Info'!A1468:A1567,'Customer Info'!E1468:E1567,0,0)</f>
        <v>0</v>
      </c>
      <c r="J1052" s="1">
        <f>_xlfn.XLOOKUP('Customer Info'!A1468,'Customer Info'!A1468:A1567,'Customer Info'!M1468:M1567)</f>
        <v>0</v>
      </c>
    </row>
    <row r="1053" spans="1:10" ht="14" hidden="1" x14ac:dyDescent="0.2">
      <c r="A1053" s="2" t="s">
        <v>41</v>
      </c>
      <c r="B1053" s="2">
        <v>15</v>
      </c>
      <c r="C1053" s="2">
        <v>6</v>
      </c>
      <c r="D1053" s="2">
        <v>2020</v>
      </c>
      <c r="E1053" s="2">
        <v>27.3</v>
      </c>
      <c r="F1053" s="2">
        <v>98.4</v>
      </c>
      <c r="H1053" s="1">
        <f>_xlfn.XLOOKUP('Customer Info'!A836,'Customer Info'!A836:A935,'Customer Info'!E836:E935,0,0)</f>
        <v>0</v>
      </c>
      <c r="J1053" s="1">
        <f>_xlfn.XLOOKUP('Customer Info'!A836,'Customer Info'!A836:A935,'Customer Info'!M836:M935)</f>
        <v>0</v>
      </c>
    </row>
    <row r="1054" spans="1:10" ht="14" x14ac:dyDescent="0.2">
      <c r="A1054" s="2" t="s">
        <v>90</v>
      </c>
      <c r="B1054" s="2">
        <v>18</v>
      </c>
      <c r="C1054" s="2">
        <v>2</v>
      </c>
      <c r="D1054" s="2">
        <v>2021</v>
      </c>
      <c r="E1054" s="2">
        <v>132.72</v>
      </c>
      <c r="F1054" s="2">
        <v>98.28</v>
      </c>
      <c r="H1054" s="1">
        <f>_xlfn.XLOOKUP('Customer Info'!A1391,'Customer Info'!A1391:A1490,'Customer Info'!E1391:E1490,0,0)</f>
        <v>0</v>
      </c>
      <c r="J1054" s="1">
        <f>_xlfn.XLOOKUP('Customer Info'!A1391,'Customer Info'!A1391:A1490,'Customer Info'!M1391:M1490)</f>
        <v>0</v>
      </c>
    </row>
    <row r="1055" spans="1:10" ht="14" x14ac:dyDescent="0.2">
      <c r="A1055" s="2" t="s">
        <v>65</v>
      </c>
      <c r="B1055" s="2">
        <v>11</v>
      </c>
      <c r="C1055" s="2">
        <v>2</v>
      </c>
      <c r="D1055" s="2">
        <v>2021</v>
      </c>
      <c r="E1055" s="2">
        <v>127.96</v>
      </c>
      <c r="F1055" s="2">
        <v>98.28</v>
      </c>
      <c r="H1055" s="1">
        <f>_xlfn.XLOOKUP('Customer Info'!A1411,'Customer Info'!A1411:A1510,'Customer Info'!E1411:E1510,0,0)</f>
        <v>0</v>
      </c>
      <c r="J1055" s="1">
        <f>_xlfn.XLOOKUP('Customer Info'!A1411,'Customer Info'!A1411:A1510,'Customer Info'!M1411:M1510)</f>
        <v>0</v>
      </c>
    </row>
    <row r="1056" spans="1:10" ht="14" x14ac:dyDescent="0.2">
      <c r="A1056" s="2" t="s">
        <v>90</v>
      </c>
      <c r="B1056" s="2">
        <v>18</v>
      </c>
      <c r="C1056" s="2">
        <v>3</v>
      </c>
      <c r="D1056" s="2">
        <v>2021</v>
      </c>
      <c r="E1056" s="2">
        <v>112.84</v>
      </c>
      <c r="F1056" s="2">
        <v>98.27</v>
      </c>
      <c r="H1056" s="1">
        <f>_xlfn.XLOOKUP('Customer Info'!A1480,'Customer Info'!A1480:A1579,'Customer Info'!E1480:E1579,0,0)</f>
        <v>0</v>
      </c>
      <c r="J1056" s="1">
        <f>_xlfn.XLOOKUP('Customer Info'!A1480,'Customer Info'!A1480:A1579,'Customer Info'!M1480:M1579)</f>
        <v>0</v>
      </c>
    </row>
    <row r="1057" spans="1:10" ht="14" x14ac:dyDescent="0.2">
      <c r="A1057" s="2" t="s">
        <v>64</v>
      </c>
      <c r="B1057" s="2">
        <v>21</v>
      </c>
      <c r="C1057" s="2">
        <v>12</v>
      </c>
      <c r="D1057" s="2">
        <v>2021</v>
      </c>
      <c r="E1057" s="2">
        <v>112.53</v>
      </c>
      <c r="F1057" s="2">
        <v>98.27</v>
      </c>
      <c r="H1057" s="1">
        <f>_xlfn.XLOOKUP('Customer Info'!A1482,'Customer Info'!A1482:A1581,'Customer Info'!E1482:E1581,0,0)</f>
        <v>0</v>
      </c>
      <c r="J1057" s="1">
        <f>_xlfn.XLOOKUP('Customer Info'!A1482,'Customer Info'!A1482:A1581,'Customer Info'!M1482:M1581)</f>
        <v>0</v>
      </c>
    </row>
    <row r="1058" spans="1:10" ht="14" hidden="1" x14ac:dyDescent="0.2">
      <c r="A1058" s="2" t="s">
        <v>65</v>
      </c>
      <c r="B1058" s="2">
        <v>11</v>
      </c>
      <c r="C1058" s="2">
        <v>10</v>
      </c>
      <c r="D1058" s="2">
        <v>2020</v>
      </c>
      <c r="E1058" s="2">
        <v>76.569999999999993</v>
      </c>
      <c r="F1058" s="2">
        <v>98.27</v>
      </c>
      <c r="H1058" s="1">
        <f>_xlfn.XLOOKUP('Customer Info'!A457,'Customer Info'!A457:A556,'Customer Info'!E457:E556,0,0)</f>
        <v>0</v>
      </c>
      <c r="J1058" s="1">
        <f>_xlfn.XLOOKUP('Customer Info'!A457,'Customer Info'!A457:A556,'Customer Info'!M457:M556)</f>
        <v>0</v>
      </c>
    </row>
    <row r="1059" spans="1:10" ht="14" hidden="1" x14ac:dyDescent="0.2">
      <c r="A1059" s="2" t="s">
        <v>43</v>
      </c>
      <c r="B1059" s="2">
        <v>15</v>
      </c>
      <c r="C1059" s="2">
        <v>3</v>
      </c>
      <c r="D1059" s="2">
        <v>2020</v>
      </c>
      <c r="E1059" s="2">
        <v>64.17</v>
      </c>
      <c r="F1059" s="2">
        <v>98.27</v>
      </c>
      <c r="H1059" s="1">
        <f>_xlfn.XLOOKUP('Customer Info'!A556,'Customer Info'!A556:A655,'Customer Info'!E556:E655,0,0)</f>
        <v>0</v>
      </c>
      <c r="J1059" s="1">
        <f>_xlfn.XLOOKUP('Customer Info'!A556,'Customer Info'!A556:A655,'Customer Info'!M556:M655)</f>
        <v>0</v>
      </c>
    </row>
    <row r="1060" spans="1:10" ht="14" x14ac:dyDescent="0.2">
      <c r="A1060" s="2" t="s">
        <v>79</v>
      </c>
      <c r="B1060" s="2">
        <v>3</v>
      </c>
      <c r="C1060" s="2">
        <v>8</v>
      </c>
      <c r="D1060" s="2">
        <v>2021</v>
      </c>
      <c r="E1060" s="2">
        <v>62.62</v>
      </c>
      <c r="F1060" s="2">
        <v>98.27</v>
      </c>
      <c r="H1060" s="1">
        <f>_xlfn.XLOOKUP('Customer Info'!A1790,'Customer Info'!A1790:A1889,'Customer Info'!E1790:E1889,0,0)</f>
        <v>0</v>
      </c>
      <c r="J1060" s="1">
        <f>_xlfn.XLOOKUP('Customer Info'!A1790,'Customer Info'!A1790:A1889,'Customer Info'!M1790:M1889)</f>
        <v>0</v>
      </c>
    </row>
    <row r="1061" spans="1:10" ht="14" x14ac:dyDescent="0.2">
      <c r="A1061" s="2" t="s">
        <v>70</v>
      </c>
      <c r="B1061" s="2">
        <v>16</v>
      </c>
      <c r="C1061" s="2">
        <v>5</v>
      </c>
      <c r="D1061" s="2">
        <v>2021</v>
      </c>
      <c r="E1061" s="2">
        <v>51.46</v>
      </c>
      <c r="F1061" s="2">
        <v>98.27</v>
      </c>
      <c r="H1061" s="1">
        <f>_xlfn.XLOOKUP('Customer Info'!A1858,'Customer Info'!A1858:A1957,'Customer Info'!E1858:E1957,0,0)</f>
        <v>0</v>
      </c>
      <c r="J1061" s="1">
        <f>_xlfn.XLOOKUP('Customer Info'!A1858,'Customer Info'!A1858:A1957,'Customer Info'!M1858:M1957)</f>
        <v>0</v>
      </c>
    </row>
    <row r="1062" spans="1:10" ht="14" x14ac:dyDescent="0.2">
      <c r="A1062" s="2" t="s">
        <v>60</v>
      </c>
      <c r="B1062" s="2">
        <v>20</v>
      </c>
      <c r="C1062" s="2">
        <v>8</v>
      </c>
      <c r="D1062" s="2">
        <v>2021</v>
      </c>
      <c r="E1062" s="2">
        <v>48.98</v>
      </c>
      <c r="F1062" s="2">
        <v>98.27</v>
      </c>
      <c r="H1062" s="1">
        <f>_xlfn.XLOOKUP('Customer Info'!A1874,'Customer Info'!A1874:A1973,'Customer Info'!E1874:E1973,0,0)</f>
        <v>0</v>
      </c>
      <c r="J1062" s="1">
        <f>_xlfn.XLOOKUP('Customer Info'!A1874,'Customer Info'!A1874:A1973,'Customer Info'!M1874:M1973)</f>
        <v>0</v>
      </c>
    </row>
    <row r="1063" spans="1:10" ht="14" x14ac:dyDescent="0.2">
      <c r="A1063" s="2" t="s">
        <v>76</v>
      </c>
      <c r="B1063" s="2">
        <v>9</v>
      </c>
      <c r="C1063" s="2">
        <v>8</v>
      </c>
      <c r="D1063" s="2">
        <v>2021</v>
      </c>
      <c r="E1063" s="2">
        <v>47.43</v>
      </c>
      <c r="F1063" s="2">
        <v>98.27</v>
      </c>
      <c r="H1063" s="1">
        <f>_xlfn.XLOOKUP('Customer Info'!A1885,'Customer Info'!A1885:A1984,'Customer Info'!E1885:E1984,0,0)</f>
        <v>0</v>
      </c>
      <c r="J1063" s="1">
        <f>_xlfn.XLOOKUP('Customer Info'!A1885,'Customer Info'!A1885:A1984,'Customer Info'!M1885:M1984)</f>
        <v>0</v>
      </c>
    </row>
    <row r="1064" spans="1:10" ht="14" x14ac:dyDescent="0.2">
      <c r="A1064" s="2" t="s">
        <v>81</v>
      </c>
      <c r="B1064" s="2">
        <v>19</v>
      </c>
      <c r="C1064" s="2">
        <v>5</v>
      </c>
      <c r="D1064" s="2">
        <v>2021</v>
      </c>
      <c r="E1064" s="2">
        <v>70.989999999999995</v>
      </c>
      <c r="F1064" s="2">
        <v>97.96</v>
      </c>
      <c r="H1064" s="1">
        <f>_xlfn.XLOOKUP('Customer Info'!A1728,'Customer Info'!A1728:A1827,'Customer Info'!E1728:E1827,0,0)</f>
        <v>0</v>
      </c>
      <c r="J1064" s="1">
        <f>_xlfn.XLOOKUP('Customer Info'!A1728,'Customer Info'!A1728:A1827,'Customer Info'!M1728:M1827)</f>
        <v>0</v>
      </c>
    </row>
    <row r="1065" spans="1:10" ht="14" x14ac:dyDescent="0.2">
      <c r="A1065" s="2" t="s">
        <v>83</v>
      </c>
      <c r="B1065" s="2">
        <v>25</v>
      </c>
      <c r="C1065" s="2">
        <v>8</v>
      </c>
      <c r="D1065" s="2">
        <v>2021</v>
      </c>
      <c r="E1065" s="2">
        <v>61.07</v>
      </c>
      <c r="F1065" s="2">
        <v>97.96</v>
      </c>
      <c r="H1065" s="1">
        <f>_xlfn.XLOOKUP('Customer Info'!A1797,'Customer Info'!A1797:A1896,'Customer Info'!E1797:E1896,0,0)</f>
        <v>0</v>
      </c>
      <c r="J1065" s="1">
        <f>_xlfn.XLOOKUP('Customer Info'!A1797,'Customer Info'!A1797:A1896,'Customer Info'!M1797:M1896)</f>
        <v>0</v>
      </c>
    </row>
    <row r="1066" spans="1:10" ht="14" x14ac:dyDescent="0.2">
      <c r="A1066" s="2" t="s">
        <v>80</v>
      </c>
      <c r="B1066" s="2">
        <v>12</v>
      </c>
      <c r="C1066" s="2">
        <v>7</v>
      </c>
      <c r="D1066" s="2">
        <v>2021</v>
      </c>
      <c r="E1066" s="2">
        <v>59.52</v>
      </c>
      <c r="F1066" s="2">
        <v>97.96</v>
      </c>
      <c r="H1066" s="1">
        <f>_xlfn.XLOOKUP('Customer Info'!A1807,'Customer Info'!A1807:A1906,'Customer Info'!E1807:E1906,0,0)</f>
        <v>0</v>
      </c>
      <c r="J1066" s="1">
        <f>_xlfn.XLOOKUP('Customer Info'!A1807,'Customer Info'!A1807:A1906,'Customer Info'!M1807:M1906)</f>
        <v>0</v>
      </c>
    </row>
    <row r="1067" spans="1:10" ht="14" x14ac:dyDescent="0.2">
      <c r="A1067" s="2" t="s">
        <v>64</v>
      </c>
      <c r="B1067" s="2">
        <v>21</v>
      </c>
      <c r="C1067" s="2">
        <v>8</v>
      </c>
      <c r="D1067" s="2">
        <v>2021</v>
      </c>
      <c r="E1067" s="2">
        <v>34.1</v>
      </c>
      <c r="F1067" s="2">
        <v>97.96</v>
      </c>
      <c r="H1067" s="1">
        <f>_xlfn.XLOOKUP('Customer Info'!A1994,'Customer Info'!A1994:A2093,'Customer Info'!E1994:E2093,0,0)</f>
        <v>0</v>
      </c>
      <c r="J1067" s="1">
        <f>_xlfn.XLOOKUP('Customer Info'!A1994,'Customer Info'!A1994:A2093,'Customer Info'!M1994:M2093)</f>
        <v>0</v>
      </c>
    </row>
    <row r="1068" spans="1:10" ht="14" x14ac:dyDescent="0.2">
      <c r="A1068" s="2" t="s">
        <v>67</v>
      </c>
      <c r="B1068" s="2">
        <v>13</v>
      </c>
      <c r="C1068" s="2">
        <v>11</v>
      </c>
      <c r="D1068" s="2">
        <v>2021</v>
      </c>
      <c r="E1068" s="2">
        <v>126.9</v>
      </c>
      <c r="F1068" s="2">
        <v>97.8</v>
      </c>
      <c r="H1068" s="1">
        <f>_xlfn.XLOOKUP('Customer Info'!A1415,'Customer Info'!A1415:A1514,'Customer Info'!E1415:E1514,0,0)</f>
        <v>0</v>
      </c>
      <c r="J1068" s="1">
        <f>_xlfn.XLOOKUP('Customer Info'!A1415,'Customer Info'!A1415:A1514,'Customer Info'!M1415:M1514)</f>
        <v>0</v>
      </c>
    </row>
    <row r="1069" spans="1:10" ht="14" x14ac:dyDescent="0.2">
      <c r="A1069" s="2" t="s">
        <v>83</v>
      </c>
      <c r="B1069" s="2">
        <v>25</v>
      </c>
      <c r="C1069" s="2">
        <v>6</v>
      </c>
      <c r="D1069" s="2">
        <v>2021</v>
      </c>
      <c r="E1069" s="2">
        <v>54.6</v>
      </c>
      <c r="F1069" s="2">
        <v>97.8</v>
      </c>
      <c r="H1069" s="1">
        <f>_xlfn.XLOOKUP('Customer Info'!A1833,'Customer Info'!A1833:A1932,'Customer Info'!E1833:E1932,0,0)</f>
        <v>0</v>
      </c>
      <c r="J1069" s="1">
        <f>_xlfn.XLOOKUP('Customer Info'!A1833,'Customer Info'!A1833:A1932,'Customer Info'!M1833:M1932)</f>
        <v>0</v>
      </c>
    </row>
    <row r="1070" spans="1:10" ht="14" hidden="1" x14ac:dyDescent="0.2">
      <c r="A1070" s="2" t="s">
        <v>71</v>
      </c>
      <c r="B1070" s="2">
        <v>21</v>
      </c>
      <c r="C1070" s="2">
        <v>6</v>
      </c>
      <c r="D1070" s="2">
        <v>2020</v>
      </c>
      <c r="E1070" s="2">
        <v>37.200000000000003</v>
      </c>
      <c r="F1070" s="2">
        <v>97.8</v>
      </c>
      <c r="H1070" s="1">
        <f>_xlfn.XLOOKUP('Customer Info'!A760,'Customer Info'!A760:A859,'Customer Info'!E760:E859,0,0)</f>
        <v>0</v>
      </c>
      <c r="J1070" s="1">
        <f>_xlfn.XLOOKUP('Customer Info'!A760,'Customer Info'!A760:A859,'Customer Info'!M760:M859)</f>
        <v>0</v>
      </c>
    </row>
    <row r="1071" spans="1:10" ht="14" hidden="1" x14ac:dyDescent="0.2">
      <c r="A1071" s="2" t="s">
        <v>65</v>
      </c>
      <c r="B1071" s="2">
        <v>11</v>
      </c>
      <c r="C1071" s="2">
        <v>1</v>
      </c>
      <c r="D1071" s="2">
        <v>2020</v>
      </c>
      <c r="E1071" s="2">
        <v>115.94</v>
      </c>
      <c r="F1071" s="2">
        <v>97.65</v>
      </c>
      <c r="H1071" s="1">
        <f>_xlfn.XLOOKUP('Customer Info'!A223,'Customer Info'!A223:A322,'Customer Info'!E223:E322,0,0)</f>
        <v>0</v>
      </c>
      <c r="J1071" s="1">
        <f>_xlfn.XLOOKUP('Customer Info'!A223,'Customer Info'!A223:A322,'Customer Info'!M223:M322)</f>
        <v>0</v>
      </c>
    </row>
    <row r="1072" spans="1:10" ht="14" hidden="1" x14ac:dyDescent="0.2">
      <c r="A1072" s="2" t="s">
        <v>52</v>
      </c>
      <c r="B1072" s="2">
        <v>1</v>
      </c>
      <c r="C1072" s="2">
        <v>1</v>
      </c>
      <c r="D1072" s="2">
        <v>2020</v>
      </c>
      <c r="E1072" s="2">
        <v>85.56</v>
      </c>
      <c r="F1072" s="2">
        <v>97.65</v>
      </c>
      <c r="H1072" s="1">
        <f>_xlfn.XLOOKUP('Customer Info'!A413,'Customer Info'!A413:A512,'Customer Info'!E413:E512,0,0)</f>
        <v>0</v>
      </c>
      <c r="J1072" s="1">
        <f>_xlfn.XLOOKUP('Customer Info'!A413,'Customer Info'!A413:A512,'Customer Info'!M413:M512)</f>
        <v>0</v>
      </c>
    </row>
    <row r="1073" spans="1:10" ht="14" hidden="1" x14ac:dyDescent="0.2">
      <c r="A1073" s="2" t="s">
        <v>77</v>
      </c>
      <c r="B1073" s="2">
        <v>16</v>
      </c>
      <c r="C1073" s="2">
        <v>5</v>
      </c>
      <c r="D1073" s="2">
        <v>2020</v>
      </c>
      <c r="E1073" s="2">
        <v>59.21</v>
      </c>
      <c r="F1073" s="2">
        <v>97.65</v>
      </c>
      <c r="H1073" s="1">
        <f>_xlfn.XLOOKUP('Customer Info'!A590,'Customer Info'!A590:A689,'Customer Info'!E590:E689,0,0)</f>
        <v>0</v>
      </c>
      <c r="J1073" s="1">
        <f>_xlfn.XLOOKUP('Customer Info'!A590,'Customer Info'!A590:A689,'Customer Info'!M590:M689)</f>
        <v>0</v>
      </c>
    </row>
    <row r="1074" spans="1:10" ht="14" x14ac:dyDescent="0.2">
      <c r="A1074" s="2" t="s">
        <v>68</v>
      </c>
      <c r="B1074" s="2">
        <v>11</v>
      </c>
      <c r="C1074" s="2">
        <v>7</v>
      </c>
      <c r="D1074" s="2">
        <v>2021</v>
      </c>
      <c r="E1074" s="2">
        <v>51.46</v>
      </c>
      <c r="F1074" s="2">
        <v>97.65</v>
      </c>
      <c r="H1074" s="1">
        <f>_xlfn.XLOOKUP('Customer Info'!A1859,'Customer Info'!A1859:A1958,'Customer Info'!E1859:E1958,0,0)</f>
        <v>0</v>
      </c>
      <c r="J1074" s="1">
        <f>_xlfn.XLOOKUP('Customer Info'!A1859,'Customer Info'!A1859:A1958,'Customer Info'!M1859:M1958)</f>
        <v>0</v>
      </c>
    </row>
    <row r="1075" spans="1:10" ht="14" hidden="1" x14ac:dyDescent="0.2">
      <c r="A1075" s="2" t="s">
        <v>71</v>
      </c>
      <c r="B1075" s="2">
        <v>21</v>
      </c>
      <c r="C1075" s="2">
        <v>11</v>
      </c>
      <c r="D1075" s="2">
        <v>2020</v>
      </c>
      <c r="E1075" s="2">
        <v>119.1</v>
      </c>
      <c r="F1075" s="2">
        <v>97.5</v>
      </c>
      <c r="H1075" s="1">
        <f>_xlfn.XLOOKUP('Customer Info'!A213,'Customer Info'!A213:A312,'Customer Info'!E213:E312,0,0)</f>
        <v>0</v>
      </c>
      <c r="J1075" s="1">
        <f>_xlfn.XLOOKUP('Customer Info'!A213,'Customer Info'!A213:A312,'Customer Info'!M213:M312)</f>
        <v>0</v>
      </c>
    </row>
    <row r="1076" spans="1:10" ht="14" x14ac:dyDescent="0.2">
      <c r="A1076" s="2" t="s">
        <v>84</v>
      </c>
      <c r="B1076" s="2">
        <v>20</v>
      </c>
      <c r="C1076" s="2">
        <v>2</v>
      </c>
      <c r="D1076" s="2">
        <v>2021</v>
      </c>
      <c r="E1076" s="2">
        <v>115.08</v>
      </c>
      <c r="F1076" s="2">
        <v>97.44</v>
      </c>
      <c r="H1076" s="1">
        <f>_xlfn.XLOOKUP('Customer Info'!A1467,'Customer Info'!A1467:A1566,'Customer Info'!E1467:E1566,0,0)</f>
        <v>0</v>
      </c>
      <c r="J1076" s="1">
        <f>_xlfn.XLOOKUP('Customer Info'!A1467,'Customer Info'!A1467:A1566,'Customer Info'!M1467:M1566)</f>
        <v>0</v>
      </c>
    </row>
    <row r="1077" spans="1:10" ht="14" x14ac:dyDescent="0.2">
      <c r="A1077" s="2" t="s">
        <v>97</v>
      </c>
      <c r="B1077" s="2">
        <v>12</v>
      </c>
      <c r="C1077" s="2">
        <v>7</v>
      </c>
      <c r="D1077" s="2">
        <v>2021</v>
      </c>
      <c r="E1077" s="1" t="s">
        <v>94</v>
      </c>
      <c r="F1077" s="2">
        <v>97.34</v>
      </c>
      <c r="H1077" s="1">
        <f>_xlfn.XLOOKUP('Customer Info'!A1298,'Customer Info'!A1298:A1397,'Customer Info'!E1298:E1397,0,0)</f>
        <v>0</v>
      </c>
      <c r="J1077" s="1">
        <f>_xlfn.XLOOKUP('Customer Info'!A1298,'Customer Info'!A1298:A1397,'Customer Info'!M1298:M1397)</f>
        <v>0</v>
      </c>
    </row>
    <row r="1078" spans="1:10" ht="14" hidden="1" x14ac:dyDescent="0.2">
      <c r="A1078" s="2" t="s">
        <v>79</v>
      </c>
      <c r="B1078" s="2">
        <v>3</v>
      </c>
      <c r="C1078" s="2">
        <v>10</v>
      </c>
      <c r="D1078" s="2">
        <v>2020</v>
      </c>
      <c r="E1078" s="2">
        <v>84.01</v>
      </c>
      <c r="F1078" s="2">
        <v>97.34</v>
      </c>
      <c r="H1078" s="1">
        <f>_xlfn.XLOOKUP('Customer Info'!A422,'Customer Info'!A422:A521,'Customer Info'!E422:E521,0,0)</f>
        <v>0</v>
      </c>
      <c r="J1078" s="1">
        <f>_xlfn.XLOOKUP('Customer Info'!A422,'Customer Info'!A422:A521,'Customer Info'!M422:M521)</f>
        <v>0</v>
      </c>
    </row>
    <row r="1079" spans="1:10" ht="14" hidden="1" x14ac:dyDescent="0.2">
      <c r="A1079" s="2" t="s">
        <v>88</v>
      </c>
      <c r="B1079" s="2">
        <v>23</v>
      </c>
      <c r="C1079" s="2">
        <v>5</v>
      </c>
      <c r="D1079" s="2">
        <v>2020</v>
      </c>
      <c r="E1079" s="2">
        <v>68.2</v>
      </c>
      <c r="F1079" s="2">
        <v>97.34</v>
      </c>
      <c r="H1079" s="1">
        <f>_xlfn.XLOOKUP('Customer Info'!A520,'Customer Info'!A520:A619,'Customer Info'!E520:E619,0,0)</f>
        <v>0</v>
      </c>
      <c r="J1079" s="1">
        <f>_xlfn.XLOOKUP('Customer Info'!A520,'Customer Info'!A520:A619,'Customer Info'!M520:M619)</f>
        <v>0</v>
      </c>
    </row>
    <row r="1080" spans="1:10" ht="14" x14ac:dyDescent="0.2">
      <c r="A1080" s="2" t="s">
        <v>84</v>
      </c>
      <c r="B1080" s="2">
        <v>20</v>
      </c>
      <c r="C1080" s="2">
        <v>8</v>
      </c>
      <c r="D1080" s="2">
        <v>2021</v>
      </c>
      <c r="E1080" s="2">
        <v>58.9</v>
      </c>
      <c r="F1080" s="2">
        <v>97.34</v>
      </c>
      <c r="H1080" s="1">
        <f>_xlfn.XLOOKUP('Customer Info'!A1814,'Customer Info'!A1814:A1913,'Customer Info'!E1814:E1913,0,0)</f>
        <v>0</v>
      </c>
      <c r="J1080" s="1">
        <f>_xlfn.XLOOKUP('Customer Info'!A1814,'Customer Info'!A1814:A1913,'Customer Info'!M1814:M1913)</f>
        <v>0</v>
      </c>
    </row>
    <row r="1081" spans="1:10" ht="14" x14ac:dyDescent="0.2">
      <c r="A1081" s="2" t="s">
        <v>67</v>
      </c>
      <c r="B1081" s="2">
        <v>13</v>
      </c>
      <c r="C1081" s="2">
        <v>5</v>
      </c>
      <c r="D1081" s="2">
        <v>2021</v>
      </c>
      <c r="E1081" s="2">
        <v>47.74</v>
      </c>
      <c r="F1081" s="2">
        <v>97.34</v>
      </c>
      <c r="H1081" s="1">
        <f>_xlfn.XLOOKUP('Customer Info'!A1882,'Customer Info'!A1882:A1981,'Customer Info'!E1882:E1981,0,0)</f>
        <v>0</v>
      </c>
      <c r="J1081" s="1">
        <f>_xlfn.XLOOKUP('Customer Info'!A1882,'Customer Info'!A1882:A1981,'Customer Info'!M1882:M1981)</f>
        <v>0</v>
      </c>
    </row>
    <row r="1082" spans="1:10" ht="14" x14ac:dyDescent="0.2">
      <c r="A1082" s="2" t="s">
        <v>2</v>
      </c>
      <c r="B1082" s="2">
        <v>18</v>
      </c>
      <c r="C1082" s="2">
        <v>7</v>
      </c>
      <c r="D1082" s="2">
        <v>2021</v>
      </c>
      <c r="E1082" s="2">
        <v>0</v>
      </c>
      <c r="F1082" s="2">
        <v>97.34</v>
      </c>
      <c r="H1082" s="1">
        <f>_xlfn.XLOOKUP('Customer Info'!A2395,'Customer Info'!A2395:A2494,'Customer Info'!E2395:E2494,0,0)</f>
        <v>0</v>
      </c>
      <c r="J1082" s="1">
        <f>_xlfn.XLOOKUP('Customer Info'!A2395,'Customer Info'!A2395:A2494,'Customer Info'!M2395:M2494)</f>
        <v>0</v>
      </c>
    </row>
    <row r="1083" spans="1:10" ht="14" hidden="1" x14ac:dyDescent="0.2">
      <c r="A1083" s="2" t="s">
        <v>97</v>
      </c>
      <c r="B1083" s="2">
        <v>12</v>
      </c>
      <c r="C1083" s="2">
        <v>6</v>
      </c>
      <c r="D1083" s="2">
        <v>2020</v>
      </c>
      <c r="E1083" s="1" t="s">
        <v>94</v>
      </c>
      <c r="F1083" s="2">
        <v>97.2</v>
      </c>
      <c r="H1083" s="1">
        <f>_xlfn.XLOOKUP('Customer Info'!A103,'Customer Info'!A103:A202,'Customer Info'!E103:E202,0,0)</f>
        <v>0</v>
      </c>
      <c r="J1083" s="1">
        <f>_xlfn.XLOOKUP('Customer Info'!A103,'Customer Info'!A103:A202,'Customer Info'!M103:M202)</f>
        <v>0</v>
      </c>
    </row>
    <row r="1084" spans="1:10" ht="14" x14ac:dyDescent="0.2">
      <c r="A1084" s="2" t="s">
        <v>88</v>
      </c>
      <c r="B1084" s="2">
        <v>23</v>
      </c>
      <c r="C1084" s="2">
        <v>11</v>
      </c>
      <c r="D1084" s="2">
        <v>2021</v>
      </c>
      <c r="E1084" s="2">
        <v>121.2</v>
      </c>
      <c r="F1084" s="2">
        <v>97.2</v>
      </c>
      <c r="H1084" s="1">
        <f>_xlfn.XLOOKUP('Customer Info'!A1432,'Customer Info'!A1432:A1531,'Customer Info'!E1432:E1531,0,0)</f>
        <v>0</v>
      </c>
      <c r="J1084" s="1">
        <f>_xlfn.XLOOKUP('Customer Info'!A1432,'Customer Info'!A1432:A1531,'Customer Info'!M1432:M1531)</f>
        <v>0</v>
      </c>
    </row>
    <row r="1085" spans="1:10" ht="14" x14ac:dyDescent="0.2">
      <c r="A1085" s="2" t="s">
        <v>52</v>
      </c>
      <c r="B1085" s="2">
        <v>1</v>
      </c>
      <c r="C1085" s="2">
        <v>11</v>
      </c>
      <c r="D1085" s="2">
        <v>2021</v>
      </c>
      <c r="E1085" s="2">
        <v>109.2</v>
      </c>
      <c r="F1085" s="2">
        <v>97.2</v>
      </c>
      <c r="H1085" s="1">
        <f>_xlfn.XLOOKUP('Customer Info'!A1503,'Customer Info'!A1503:A1602,'Customer Info'!E1503:E1602,0,0)</f>
        <v>0</v>
      </c>
      <c r="J1085" s="1">
        <f>_xlfn.XLOOKUP('Customer Info'!A1503,'Customer Info'!A1503:A1602,'Customer Info'!M1503:M1602)</f>
        <v>0</v>
      </c>
    </row>
    <row r="1086" spans="1:10" ht="14" x14ac:dyDescent="0.2">
      <c r="A1086" s="2" t="s">
        <v>52</v>
      </c>
      <c r="B1086" s="2">
        <v>1</v>
      </c>
      <c r="C1086" s="2">
        <v>4</v>
      </c>
      <c r="D1086" s="2">
        <v>2021</v>
      </c>
      <c r="E1086" s="2">
        <v>70.8</v>
      </c>
      <c r="F1086" s="2">
        <v>97.2</v>
      </c>
      <c r="H1086" s="1">
        <f>_xlfn.XLOOKUP('Customer Info'!A1730,'Customer Info'!A1730:A1829,'Customer Info'!E1730:E1829,0,0)</f>
        <v>0</v>
      </c>
      <c r="J1086" s="1">
        <f>_xlfn.XLOOKUP('Customer Info'!A1730,'Customer Info'!A1730:A1829,'Customer Info'!M1730:M1829)</f>
        <v>0</v>
      </c>
    </row>
    <row r="1087" spans="1:10" ht="14" hidden="1" x14ac:dyDescent="0.2">
      <c r="A1087" s="2" t="s">
        <v>79</v>
      </c>
      <c r="B1087" s="2">
        <v>3</v>
      </c>
      <c r="C1087" s="2">
        <v>9</v>
      </c>
      <c r="D1087" s="2">
        <v>2020</v>
      </c>
      <c r="E1087" s="2">
        <v>54.9</v>
      </c>
      <c r="F1087" s="2">
        <v>97.2</v>
      </c>
      <c r="H1087" s="1">
        <f>_xlfn.XLOOKUP('Customer Info'!A613,'Customer Info'!A613:A712,'Customer Info'!E613:E712,0,0)</f>
        <v>0</v>
      </c>
      <c r="J1087" s="1">
        <f>_xlfn.XLOOKUP('Customer Info'!A613,'Customer Info'!A613:A712,'Customer Info'!M613:M712)</f>
        <v>0</v>
      </c>
    </row>
    <row r="1088" spans="1:10" ht="14" hidden="1" x14ac:dyDescent="0.2">
      <c r="A1088" s="2" t="s">
        <v>79</v>
      </c>
      <c r="B1088" s="2">
        <v>3</v>
      </c>
      <c r="C1088" s="2">
        <v>2</v>
      </c>
      <c r="D1088" s="2">
        <v>2020</v>
      </c>
      <c r="E1088" s="2">
        <v>114.52</v>
      </c>
      <c r="F1088" s="2">
        <v>97.16</v>
      </c>
      <c r="H1088" s="1">
        <f>_xlfn.XLOOKUP('Customer Info'!A234,'Customer Info'!A234:A333,'Customer Info'!E234:E333,0,0)</f>
        <v>0</v>
      </c>
      <c r="J1088" s="1">
        <f>_xlfn.XLOOKUP('Customer Info'!A234,'Customer Info'!A234:A333,'Customer Info'!M234:M333)</f>
        <v>0</v>
      </c>
    </row>
    <row r="1089" spans="1:10" ht="14" hidden="1" x14ac:dyDescent="0.2">
      <c r="A1089" s="2" t="s">
        <v>88</v>
      </c>
      <c r="B1089" s="2">
        <v>23</v>
      </c>
      <c r="C1089" s="2">
        <v>2</v>
      </c>
      <c r="D1089" s="2">
        <v>2020</v>
      </c>
      <c r="E1089" s="2">
        <v>108.08</v>
      </c>
      <c r="F1089" s="2">
        <v>97.16</v>
      </c>
      <c r="H1089" s="1">
        <f>_xlfn.XLOOKUP('Customer Info'!A270,'Customer Info'!A270:A369,'Customer Info'!E270:E369,0,0)</f>
        <v>0</v>
      </c>
      <c r="J1089" s="1">
        <f>_xlfn.XLOOKUP('Customer Info'!A270,'Customer Info'!A270:A369,'Customer Info'!M270:M369)</f>
        <v>0</v>
      </c>
    </row>
    <row r="1090" spans="1:10" ht="14" hidden="1" x14ac:dyDescent="0.2">
      <c r="A1090" s="2" t="s">
        <v>16</v>
      </c>
      <c r="B1090" s="2">
        <v>14</v>
      </c>
      <c r="C1090" s="2">
        <v>8</v>
      </c>
      <c r="D1090" s="2">
        <v>2020</v>
      </c>
      <c r="E1090" s="1" t="s">
        <v>94</v>
      </c>
      <c r="F1090" s="2">
        <v>97.03</v>
      </c>
      <c r="H1090" s="1">
        <f>_xlfn.XLOOKUP('Customer Info'!A104,'Customer Info'!A104:A203,'Customer Info'!E104:E203,0,0)</f>
        <v>0</v>
      </c>
      <c r="J1090" s="1">
        <f>_xlfn.XLOOKUP('Customer Info'!A104,'Customer Info'!A104:A203,'Customer Info'!M104:M203)</f>
        <v>0</v>
      </c>
    </row>
    <row r="1091" spans="1:10" ht="14" hidden="1" x14ac:dyDescent="0.2">
      <c r="A1091" s="2" t="s">
        <v>92</v>
      </c>
      <c r="B1091" s="2">
        <v>7</v>
      </c>
      <c r="C1091" s="2">
        <v>1</v>
      </c>
      <c r="D1091" s="2">
        <v>2020</v>
      </c>
      <c r="E1091" s="2">
        <v>145.38999999999999</v>
      </c>
      <c r="F1091" s="2">
        <v>97.03</v>
      </c>
      <c r="H1091" s="1">
        <f>_xlfn.XLOOKUP('Customer Info'!A155,'Customer Info'!A155:A254,'Customer Info'!E155:E254,0,0)</f>
        <v>0</v>
      </c>
      <c r="J1091" s="1">
        <f>_xlfn.XLOOKUP('Customer Info'!A155,'Customer Info'!A155:A254,'Customer Info'!M155:M254)</f>
        <v>0</v>
      </c>
    </row>
    <row r="1092" spans="1:10" ht="14" x14ac:dyDescent="0.2">
      <c r="A1092" s="2" t="s">
        <v>61</v>
      </c>
      <c r="B1092" s="2">
        <v>23</v>
      </c>
      <c r="C1092" s="2">
        <v>1</v>
      </c>
      <c r="D1092" s="2">
        <v>2021</v>
      </c>
      <c r="E1092" s="2">
        <v>134.22999999999999</v>
      </c>
      <c r="F1092" s="2">
        <v>97.03</v>
      </c>
      <c r="H1092" s="1">
        <f>_xlfn.XLOOKUP('Customer Info'!A1380,'Customer Info'!A1380:A1479,'Customer Info'!E1380:E1479,0,0)</f>
        <v>0</v>
      </c>
      <c r="J1092" s="1">
        <f>_xlfn.XLOOKUP('Customer Info'!A1380,'Customer Info'!A1380:A1479,'Customer Info'!M1380:M1479)</f>
        <v>0</v>
      </c>
    </row>
    <row r="1093" spans="1:10" ht="14" hidden="1" x14ac:dyDescent="0.2">
      <c r="A1093" s="2" t="s">
        <v>79</v>
      </c>
      <c r="B1093" s="2">
        <v>3</v>
      </c>
      <c r="C1093" s="2">
        <v>12</v>
      </c>
      <c r="D1093" s="2">
        <v>2020</v>
      </c>
      <c r="E1093" s="2">
        <v>130.19999999999999</v>
      </c>
      <c r="F1093" s="2">
        <v>97.03</v>
      </c>
      <c r="H1093" s="1">
        <f>_xlfn.XLOOKUP('Customer Info'!A177,'Customer Info'!A177:A276,'Customer Info'!E177:E276,0,0)</f>
        <v>0</v>
      </c>
      <c r="J1093" s="1">
        <f>_xlfn.XLOOKUP('Customer Info'!A177,'Customer Info'!A177:A276,'Customer Info'!M177:M276)</f>
        <v>0</v>
      </c>
    </row>
    <row r="1094" spans="1:10" ht="14" x14ac:dyDescent="0.2">
      <c r="A1094" s="2" t="s">
        <v>41</v>
      </c>
      <c r="B1094" s="2">
        <v>15</v>
      </c>
      <c r="C1094" s="2">
        <v>12</v>
      </c>
      <c r="D1094" s="2">
        <v>2021</v>
      </c>
      <c r="E1094" s="2">
        <v>113.77</v>
      </c>
      <c r="F1094" s="2">
        <v>97.03</v>
      </c>
      <c r="H1094" s="1">
        <f>_xlfn.XLOOKUP('Customer Info'!A1473,'Customer Info'!A1473:A1572,'Customer Info'!E1473:E1572,0,0)</f>
        <v>0</v>
      </c>
      <c r="J1094" s="1">
        <f>_xlfn.XLOOKUP('Customer Info'!A1473,'Customer Info'!A1473:A1572,'Customer Info'!M1473:M1572)</f>
        <v>0</v>
      </c>
    </row>
    <row r="1095" spans="1:10" ht="14" x14ac:dyDescent="0.2">
      <c r="A1095" s="2" t="s">
        <v>61</v>
      </c>
      <c r="B1095" s="2">
        <v>23</v>
      </c>
      <c r="C1095" s="2">
        <v>5</v>
      </c>
      <c r="D1095" s="2">
        <v>2021</v>
      </c>
      <c r="E1095" s="2">
        <v>43.09</v>
      </c>
      <c r="F1095" s="2">
        <v>97.03</v>
      </c>
      <c r="H1095" s="1">
        <f>_xlfn.XLOOKUP('Customer Info'!A1921,'Customer Info'!A1921:A2020,'Customer Info'!E1921:E2020,0,0)</f>
        <v>0</v>
      </c>
      <c r="J1095" s="1">
        <f>_xlfn.XLOOKUP('Customer Info'!A1921,'Customer Info'!A1921:A2020,'Customer Info'!M1921:M2020)</f>
        <v>0</v>
      </c>
    </row>
    <row r="1096" spans="1:10" ht="14" x14ac:dyDescent="0.2">
      <c r="A1096" s="2" t="s">
        <v>99</v>
      </c>
      <c r="B1096" s="2">
        <v>10</v>
      </c>
      <c r="C1096" s="2">
        <v>6</v>
      </c>
      <c r="D1096" s="2">
        <v>2021</v>
      </c>
      <c r="E1096" s="1" t="s">
        <v>94</v>
      </c>
      <c r="F1096" s="2">
        <v>96.9</v>
      </c>
      <c r="H1096" s="1">
        <f>_xlfn.XLOOKUP('Customer Info'!A1299,'Customer Info'!A1299:A1398,'Customer Info'!E1299:E1398,0,0)</f>
        <v>0</v>
      </c>
      <c r="J1096" s="1">
        <f>_xlfn.XLOOKUP('Customer Info'!A1299,'Customer Info'!A1299:A1398,'Customer Info'!M1299:M1398)</f>
        <v>0</v>
      </c>
    </row>
    <row r="1097" spans="1:10" ht="14" x14ac:dyDescent="0.2">
      <c r="A1097" s="2" t="s">
        <v>73</v>
      </c>
      <c r="B1097" s="2">
        <v>5</v>
      </c>
      <c r="C1097" s="2">
        <v>11</v>
      </c>
      <c r="D1097" s="2">
        <v>2021</v>
      </c>
      <c r="E1097" s="2">
        <v>124.5</v>
      </c>
      <c r="F1097" s="2">
        <v>96.9</v>
      </c>
      <c r="H1097" s="1">
        <f>_xlfn.XLOOKUP('Customer Info'!A1427,'Customer Info'!A1427:A1526,'Customer Info'!E1427:E1526,0,0)</f>
        <v>0</v>
      </c>
      <c r="J1097" s="1">
        <f>_xlfn.XLOOKUP('Customer Info'!A1427,'Customer Info'!A1427:A1526,'Customer Info'!M1427:M1526)</f>
        <v>0</v>
      </c>
    </row>
    <row r="1098" spans="1:10" ht="14" x14ac:dyDescent="0.2">
      <c r="A1098" s="2" t="s">
        <v>69</v>
      </c>
      <c r="B1098" s="2">
        <v>12</v>
      </c>
      <c r="C1098" s="2">
        <v>12</v>
      </c>
      <c r="D1098" s="2">
        <v>2021</v>
      </c>
      <c r="E1098" s="2">
        <v>114.39</v>
      </c>
      <c r="F1098" s="2">
        <v>96.72</v>
      </c>
      <c r="H1098" s="1">
        <f>_xlfn.XLOOKUP('Customer Info'!A1470,'Customer Info'!A1470:A1569,'Customer Info'!E1470:E1569,0,0)</f>
        <v>0</v>
      </c>
      <c r="J1098" s="1">
        <f>_xlfn.XLOOKUP('Customer Info'!A1470,'Customer Info'!A1470:A1569,'Customer Info'!M1470:M1569)</f>
        <v>0</v>
      </c>
    </row>
    <row r="1099" spans="1:10" ht="14" hidden="1" x14ac:dyDescent="0.2">
      <c r="A1099" s="2" t="s">
        <v>86</v>
      </c>
      <c r="B1099" s="2">
        <v>6</v>
      </c>
      <c r="C1099" s="2">
        <v>8</v>
      </c>
      <c r="D1099" s="2">
        <v>2020</v>
      </c>
      <c r="E1099" s="2">
        <v>53.94</v>
      </c>
      <c r="F1099" s="2">
        <v>96.72</v>
      </c>
      <c r="H1099" s="1">
        <f>_xlfn.XLOOKUP('Customer Info'!A620,'Customer Info'!A620:A719,'Customer Info'!E620:E719,0,0)</f>
        <v>0</v>
      </c>
      <c r="J1099" s="1">
        <f>_xlfn.XLOOKUP('Customer Info'!A620,'Customer Info'!A620:A719,'Customer Info'!M620:M719)</f>
        <v>0</v>
      </c>
    </row>
    <row r="1100" spans="1:10" ht="14" x14ac:dyDescent="0.2">
      <c r="A1100" s="2" t="s">
        <v>73</v>
      </c>
      <c r="B1100" s="2">
        <v>5</v>
      </c>
      <c r="C1100" s="2">
        <v>5</v>
      </c>
      <c r="D1100" s="2">
        <v>2021</v>
      </c>
      <c r="E1100" s="2">
        <v>45.88</v>
      </c>
      <c r="F1100" s="2">
        <v>96.72</v>
      </c>
      <c r="H1100" s="1">
        <f>_xlfn.XLOOKUP('Customer Info'!A1898,'Customer Info'!A1898:A1997,'Customer Info'!E1898:E1997,0,0)</f>
        <v>0</v>
      </c>
      <c r="J1100" s="1">
        <f>_xlfn.XLOOKUP('Customer Info'!A1898,'Customer Info'!A1898:A1997,'Customer Info'!M1898:M1997)</f>
        <v>0</v>
      </c>
    </row>
    <row r="1101" spans="1:10" ht="14" hidden="1" x14ac:dyDescent="0.2">
      <c r="A1101" s="2" t="s">
        <v>57</v>
      </c>
      <c r="B1101" s="2">
        <v>17</v>
      </c>
      <c r="C1101" s="2">
        <v>5</v>
      </c>
      <c r="D1101" s="2">
        <v>2020</v>
      </c>
      <c r="E1101" s="2">
        <v>38.44</v>
      </c>
      <c r="F1101" s="2">
        <v>96.72</v>
      </c>
      <c r="H1101" s="1">
        <f>_xlfn.XLOOKUP('Customer Info'!A745,'Customer Info'!A745:A844,'Customer Info'!E745:E844,0,0)</f>
        <v>0</v>
      </c>
      <c r="J1101" s="1">
        <f>_xlfn.XLOOKUP('Customer Info'!A745,'Customer Info'!A745:A844,'Customer Info'!M745:M844)</f>
        <v>0</v>
      </c>
    </row>
    <row r="1102" spans="1:10" ht="14" hidden="1" x14ac:dyDescent="0.2">
      <c r="A1102" s="2" t="s">
        <v>83</v>
      </c>
      <c r="B1102" s="2">
        <v>25</v>
      </c>
      <c r="C1102" s="2">
        <v>12</v>
      </c>
      <c r="D1102" s="2">
        <v>2020</v>
      </c>
      <c r="E1102" s="2">
        <v>126.79</v>
      </c>
      <c r="F1102" s="2">
        <v>96.41</v>
      </c>
      <c r="H1102" s="1">
        <f>_xlfn.XLOOKUP('Customer Info'!A185,'Customer Info'!A185:A284,'Customer Info'!E185:E284,0,0)</f>
        <v>0</v>
      </c>
      <c r="J1102" s="1">
        <f>_xlfn.XLOOKUP('Customer Info'!A185,'Customer Info'!A185:A284,'Customer Info'!M185:M284)</f>
        <v>0</v>
      </c>
    </row>
    <row r="1103" spans="1:10" ht="14" hidden="1" x14ac:dyDescent="0.2">
      <c r="A1103" s="2" t="s">
        <v>90</v>
      </c>
      <c r="B1103" s="2">
        <v>18</v>
      </c>
      <c r="C1103" s="2">
        <v>10</v>
      </c>
      <c r="D1103" s="2">
        <v>2020</v>
      </c>
      <c r="E1103" s="2">
        <v>96.72</v>
      </c>
      <c r="F1103" s="2">
        <v>96.41</v>
      </c>
      <c r="H1103" s="1">
        <f>_xlfn.XLOOKUP('Customer Info'!A355,'Customer Info'!A355:A454,'Customer Info'!E355:E454,0,0)</f>
        <v>0</v>
      </c>
      <c r="J1103" s="1">
        <f>_xlfn.XLOOKUP('Customer Info'!A355,'Customer Info'!A355:A454,'Customer Info'!M355:M454)</f>
        <v>0</v>
      </c>
    </row>
    <row r="1104" spans="1:10" ht="14" x14ac:dyDescent="0.2">
      <c r="A1104" s="2" t="s">
        <v>81</v>
      </c>
      <c r="B1104" s="2">
        <v>19</v>
      </c>
      <c r="C1104" s="2">
        <v>3</v>
      </c>
      <c r="D1104" s="2">
        <v>2021</v>
      </c>
      <c r="E1104" s="2">
        <v>92.38</v>
      </c>
      <c r="F1104" s="2">
        <v>96.41</v>
      </c>
      <c r="H1104" s="1">
        <f>_xlfn.XLOOKUP('Customer Info'!A1600,'Customer Info'!A1600:A1699,'Customer Info'!E1600:E1699,0,0)</f>
        <v>0</v>
      </c>
      <c r="J1104" s="1">
        <f>_xlfn.XLOOKUP('Customer Info'!A1600,'Customer Info'!A1600:A1699,'Customer Info'!M1600:M1699)</f>
        <v>0</v>
      </c>
    </row>
    <row r="1105" spans="1:10" ht="14" x14ac:dyDescent="0.2">
      <c r="A1105" s="2" t="s">
        <v>74</v>
      </c>
      <c r="B1105" s="2">
        <v>5</v>
      </c>
      <c r="C1105" s="2">
        <v>10</v>
      </c>
      <c r="D1105" s="2">
        <v>2021</v>
      </c>
      <c r="E1105" s="2">
        <v>79.36</v>
      </c>
      <c r="F1105" s="2">
        <v>96.41</v>
      </c>
      <c r="H1105" s="1">
        <f>_xlfn.XLOOKUP('Customer Info'!A1671,'Customer Info'!A1671:A1770,'Customer Info'!E1671:E1770,0,0)</f>
        <v>0</v>
      </c>
      <c r="J1105" s="1">
        <f>_xlfn.XLOOKUP('Customer Info'!A1671,'Customer Info'!A1671:A1770,'Customer Info'!M1671:M1770)</f>
        <v>0</v>
      </c>
    </row>
    <row r="1106" spans="1:10" ht="14" hidden="1" x14ac:dyDescent="0.2">
      <c r="A1106" s="2" t="s">
        <v>68</v>
      </c>
      <c r="B1106" s="2">
        <v>11</v>
      </c>
      <c r="C1106" s="2">
        <v>10</v>
      </c>
      <c r="D1106" s="2">
        <v>2020</v>
      </c>
      <c r="E1106" s="2">
        <v>67.89</v>
      </c>
      <c r="F1106" s="2">
        <v>96.41</v>
      </c>
      <c r="H1106" s="1">
        <f>_xlfn.XLOOKUP('Customer Info'!A522,'Customer Info'!A522:A621,'Customer Info'!E522:E621,0,0)</f>
        <v>0</v>
      </c>
      <c r="J1106" s="1">
        <f>_xlfn.XLOOKUP('Customer Info'!A522,'Customer Info'!A522:A621,'Customer Info'!M522:M621)</f>
        <v>0</v>
      </c>
    </row>
    <row r="1107" spans="1:10" ht="14" hidden="1" x14ac:dyDescent="0.2">
      <c r="A1107" s="2" t="s">
        <v>53</v>
      </c>
      <c r="B1107" s="2">
        <v>18</v>
      </c>
      <c r="C1107" s="2">
        <v>5</v>
      </c>
      <c r="D1107" s="2">
        <v>2020</v>
      </c>
      <c r="E1107" s="2">
        <v>36.58</v>
      </c>
      <c r="F1107" s="2">
        <v>96.41</v>
      </c>
      <c r="H1107" s="1">
        <f>_xlfn.XLOOKUP('Customer Info'!A770,'Customer Info'!A770:A869,'Customer Info'!E770:E869,0,0)</f>
        <v>0</v>
      </c>
      <c r="J1107" s="1">
        <f>_xlfn.XLOOKUP('Customer Info'!A770,'Customer Info'!A770:A869,'Customer Info'!M770:M869)</f>
        <v>0</v>
      </c>
    </row>
    <row r="1108" spans="1:10" ht="14" x14ac:dyDescent="0.2">
      <c r="A1108" s="2" t="s">
        <v>90</v>
      </c>
      <c r="B1108" s="2">
        <v>18</v>
      </c>
      <c r="C1108" s="2">
        <v>11</v>
      </c>
      <c r="D1108" s="2">
        <v>2021</v>
      </c>
      <c r="E1108" s="2">
        <v>133.80000000000001</v>
      </c>
      <c r="F1108" s="2">
        <v>96.3</v>
      </c>
      <c r="H1108" s="1">
        <f>_xlfn.XLOOKUP('Customer Info'!A1384,'Customer Info'!A1384:A1483,'Customer Info'!E1384:E1483,0,0)</f>
        <v>0</v>
      </c>
      <c r="J1108" s="1">
        <f>_xlfn.XLOOKUP('Customer Info'!A1384,'Customer Info'!A1384:A1483,'Customer Info'!M1384:M1483)</f>
        <v>0</v>
      </c>
    </row>
    <row r="1109" spans="1:10" ht="14" x14ac:dyDescent="0.2">
      <c r="A1109" s="2" t="s">
        <v>76</v>
      </c>
      <c r="B1109" s="2">
        <v>9</v>
      </c>
      <c r="C1109" s="2">
        <v>11</v>
      </c>
      <c r="D1109" s="2">
        <v>2021</v>
      </c>
      <c r="E1109" s="2">
        <v>120.9</v>
      </c>
      <c r="F1109" s="2">
        <v>96.3</v>
      </c>
      <c r="H1109" s="1">
        <f>_xlfn.XLOOKUP('Customer Info'!A1434,'Customer Info'!A1434:A1533,'Customer Info'!E1434:E1533,0,0)</f>
        <v>0</v>
      </c>
      <c r="J1109" s="1">
        <f>_xlfn.XLOOKUP('Customer Info'!A1434,'Customer Info'!A1434:A1533,'Customer Info'!M1434:M1533)</f>
        <v>0</v>
      </c>
    </row>
    <row r="1110" spans="1:10" ht="14" hidden="1" x14ac:dyDescent="0.2">
      <c r="A1110" s="2" t="s">
        <v>70</v>
      </c>
      <c r="B1110" s="2">
        <v>16</v>
      </c>
      <c r="C1110" s="2">
        <v>6</v>
      </c>
      <c r="D1110" s="2">
        <v>2020</v>
      </c>
      <c r="E1110" s="2">
        <v>41.7</v>
      </c>
      <c r="F1110" s="2">
        <v>96.3</v>
      </c>
      <c r="H1110" s="1">
        <f>_xlfn.XLOOKUP('Customer Info'!A717,'Customer Info'!A717:A816,'Customer Info'!E717:E816,0,0)</f>
        <v>0</v>
      </c>
      <c r="J1110" s="1">
        <f>_xlfn.XLOOKUP('Customer Info'!A717,'Customer Info'!A717:A816,'Customer Info'!M717:M816)</f>
        <v>0</v>
      </c>
    </row>
    <row r="1111" spans="1:10" ht="14" hidden="1" x14ac:dyDescent="0.2">
      <c r="A1111" s="2" t="s">
        <v>12</v>
      </c>
      <c r="B1111" s="2">
        <v>2</v>
      </c>
      <c r="C1111" s="2">
        <v>7</v>
      </c>
      <c r="D1111" s="2">
        <v>2020</v>
      </c>
      <c r="E1111" s="1" t="s">
        <v>94</v>
      </c>
      <c r="F1111" s="2">
        <v>96.1</v>
      </c>
      <c r="H1111" s="1">
        <f>_xlfn.XLOOKUP('Customer Info'!A105,'Customer Info'!A105:A204,'Customer Info'!E105:E204,0,0)</f>
        <v>0</v>
      </c>
      <c r="J1111" s="1">
        <f>_xlfn.XLOOKUP('Customer Info'!A105,'Customer Info'!A105:A204,'Customer Info'!M105:M204)</f>
        <v>0</v>
      </c>
    </row>
    <row r="1112" spans="1:10" ht="14" x14ac:dyDescent="0.2">
      <c r="A1112" s="2" t="s">
        <v>73</v>
      </c>
      <c r="B1112" s="2">
        <v>5</v>
      </c>
      <c r="C1112" s="2">
        <v>12</v>
      </c>
      <c r="D1112" s="2">
        <v>2021</v>
      </c>
      <c r="E1112" s="2">
        <v>100.44</v>
      </c>
      <c r="F1112" s="2">
        <v>96.1</v>
      </c>
      <c r="H1112" s="1">
        <f>_xlfn.XLOOKUP('Customer Info'!A1552,'Customer Info'!A1552:A1651,'Customer Info'!E1552:E1651,0,0)</f>
        <v>0</v>
      </c>
      <c r="J1112" s="1">
        <f>_xlfn.XLOOKUP('Customer Info'!A1552,'Customer Info'!A1552:A1651,'Customer Info'!M1552:M1651)</f>
        <v>0</v>
      </c>
    </row>
    <row r="1113" spans="1:10" ht="14" x14ac:dyDescent="0.2">
      <c r="A1113" s="2" t="s">
        <v>90</v>
      </c>
      <c r="B1113" s="2">
        <v>18</v>
      </c>
      <c r="C1113" s="2">
        <v>5</v>
      </c>
      <c r="D1113" s="2">
        <v>2021</v>
      </c>
      <c r="E1113" s="2">
        <v>82.77</v>
      </c>
      <c r="F1113" s="2">
        <v>96.1</v>
      </c>
      <c r="H1113" s="1">
        <f>_xlfn.XLOOKUP('Customer Info'!A1647,'Customer Info'!A1647:A1746,'Customer Info'!E1647:E1746,0,0)</f>
        <v>0</v>
      </c>
      <c r="J1113" s="1">
        <f>_xlfn.XLOOKUP('Customer Info'!A1647,'Customer Info'!A1647:A1746,'Customer Info'!M1647:M1746)</f>
        <v>0</v>
      </c>
    </row>
    <row r="1114" spans="1:10" ht="14" x14ac:dyDescent="0.2">
      <c r="A1114" s="2" t="s">
        <v>54</v>
      </c>
      <c r="B1114" s="2">
        <v>5</v>
      </c>
      <c r="C1114" s="2">
        <v>5</v>
      </c>
      <c r="D1114" s="2">
        <v>2021</v>
      </c>
      <c r="E1114" s="2">
        <v>52.39</v>
      </c>
      <c r="F1114" s="2">
        <v>96.1</v>
      </c>
      <c r="H1114" s="1">
        <f>_xlfn.XLOOKUP('Customer Info'!A1847,'Customer Info'!A1847:A1946,'Customer Info'!E1847:E1946,0,0)</f>
        <v>0</v>
      </c>
      <c r="J1114" s="1">
        <f>_xlfn.XLOOKUP('Customer Info'!A1847,'Customer Info'!A1847:A1946,'Customer Info'!M1847:M1946)</f>
        <v>0</v>
      </c>
    </row>
    <row r="1115" spans="1:10" ht="14" hidden="1" x14ac:dyDescent="0.2">
      <c r="A1115" s="2" t="s">
        <v>68</v>
      </c>
      <c r="B1115" s="2">
        <v>11</v>
      </c>
      <c r="C1115" s="2">
        <v>5</v>
      </c>
      <c r="D1115" s="2">
        <v>2020</v>
      </c>
      <c r="E1115" s="2">
        <v>43.71</v>
      </c>
      <c r="F1115" s="2">
        <v>96.1</v>
      </c>
      <c r="H1115" s="1">
        <f>_xlfn.XLOOKUP('Customer Info'!A700,'Customer Info'!A700:A799,'Customer Info'!E700:E799,0,0)</f>
        <v>0</v>
      </c>
      <c r="J1115" s="1">
        <f>_xlfn.XLOOKUP('Customer Info'!A700,'Customer Info'!A700:A799,'Customer Info'!M700:M799)</f>
        <v>0</v>
      </c>
    </row>
    <row r="1116" spans="1:10" ht="14" x14ac:dyDescent="0.2">
      <c r="A1116" s="2" t="s">
        <v>1</v>
      </c>
      <c r="B1116" s="2">
        <v>21</v>
      </c>
      <c r="C1116" s="2">
        <v>5</v>
      </c>
      <c r="D1116" s="2">
        <v>2021</v>
      </c>
      <c r="E1116" s="2">
        <v>0</v>
      </c>
      <c r="F1116" s="2">
        <v>96.1</v>
      </c>
      <c r="H1116" s="1">
        <f>_xlfn.XLOOKUP('Customer Info'!A2396,'Customer Info'!A2396:A2495,'Customer Info'!E2396:E2495,0,0)</f>
        <v>0</v>
      </c>
      <c r="J1116" s="1">
        <f>_xlfn.XLOOKUP('Customer Info'!A2396,'Customer Info'!A2396:A2495,'Customer Info'!M2396:M2495)</f>
        <v>0</v>
      </c>
    </row>
    <row r="1117" spans="1:10" ht="14" hidden="1" x14ac:dyDescent="0.2">
      <c r="A1117" s="2" t="s">
        <v>61</v>
      </c>
      <c r="B1117" s="2">
        <v>23</v>
      </c>
      <c r="C1117" s="2">
        <v>11</v>
      </c>
      <c r="D1117" s="2">
        <v>2020</v>
      </c>
      <c r="E1117" s="2">
        <v>101.1</v>
      </c>
      <c r="F1117" s="2">
        <v>96</v>
      </c>
      <c r="H1117" s="1">
        <f>_xlfn.XLOOKUP('Customer Info'!A320,'Customer Info'!A320:A419,'Customer Info'!E320:E419,0,0)</f>
        <v>0</v>
      </c>
      <c r="J1117" s="1">
        <f>_xlfn.XLOOKUP('Customer Info'!A320,'Customer Info'!A320:A419,'Customer Info'!M320:M419)</f>
        <v>0</v>
      </c>
    </row>
    <row r="1118" spans="1:10" ht="14" x14ac:dyDescent="0.2">
      <c r="A1118" s="2" t="s">
        <v>67</v>
      </c>
      <c r="B1118" s="2">
        <v>13</v>
      </c>
      <c r="C1118" s="2">
        <v>9</v>
      </c>
      <c r="D1118" s="2">
        <v>2021</v>
      </c>
      <c r="E1118" s="2">
        <v>37.799999999999997</v>
      </c>
      <c r="F1118" s="2">
        <v>96</v>
      </c>
      <c r="H1118" s="1">
        <f>_xlfn.XLOOKUP('Customer Info'!A1964,'Customer Info'!A1964:A2063,'Customer Info'!E1964:E2063,0,0)</f>
        <v>0</v>
      </c>
      <c r="J1118" s="1">
        <f>_xlfn.XLOOKUP('Customer Info'!A1964,'Customer Info'!A1964:A2063,'Customer Info'!M1964:M2063)</f>
        <v>0</v>
      </c>
    </row>
    <row r="1119" spans="1:10" ht="14" hidden="1" x14ac:dyDescent="0.2">
      <c r="A1119" s="2" t="s">
        <v>2</v>
      </c>
      <c r="B1119" s="2">
        <v>18</v>
      </c>
      <c r="C1119" s="2">
        <v>9</v>
      </c>
      <c r="D1119" s="2">
        <v>2020</v>
      </c>
      <c r="E1119" s="2">
        <v>0</v>
      </c>
      <c r="F1119" s="2">
        <v>96</v>
      </c>
      <c r="H1119" s="1">
        <f>_xlfn.XLOOKUP('Customer Info'!A1196,'Customer Info'!A1196:A1295,'Customer Info'!E1196:E1295,0,0)</f>
        <v>0</v>
      </c>
      <c r="J1119" s="1">
        <f>_xlfn.XLOOKUP('Customer Info'!A1196,'Customer Info'!A1196:A1295,'Customer Info'!M1196:M1295)</f>
        <v>0</v>
      </c>
    </row>
    <row r="1120" spans="1:10" ht="14" x14ac:dyDescent="0.2">
      <c r="A1120" s="2" t="s">
        <v>77</v>
      </c>
      <c r="B1120" s="2">
        <v>16</v>
      </c>
      <c r="C1120" s="2">
        <v>1</v>
      </c>
      <c r="D1120" s="2">
        <v>2021</v>
      </c>
      <c r="E1120" s="2">
        <v>144.77000000000001</v>
      </c>
      <c r="F1120" s="2">
        <v>95.79</v>
      </c>
      <c r="H1120" s="1">
        <f>_xlfn.XLOOKUP('Customer Info'!A1356,'Customer Info'!A1356:A1455,'Customer Info'!E1356:E1455,0,0)</f>
        <v>0</v>
      </c>
      <c r="J1120" s="1">
        <f>_xlfn.XLOOKUP('Customer Info'!A1356,'Customer Info'!A1356:A1455,'Customer Info'!M1356:M1455)</f>
        <v>0</v>
      </c>
    </row>
    <row r="1121" spans="1:10" ht="14" x14ac:dyDescent="0.2">
      <c r="A1121" s="2" t="s">
        <v>76</v>
      </c>
      <c r="B1121" s="2">
        <v>9</v>
      </c>
      <c r="C1121" s="2">
        <v>1</v>
      </c>
      <c r="D1121" s="2">
        <v>2021</v>
      </c>
      <c r="E1121" s="2">
        <v>129.58000000000001</v>
      </c>
      <c r="F1121" s="2">
        <v>95.79</v>
      </c>
      <c r="H1121" s="1">
        <f>_xlfn.XLOOKUP('Customer Info'!A1401,'Customer Info'!A1401:A1500,'Customer Info'!E1401:E1500,0,0)</f>
        <v>0</v>
      </c>
      <c r="J1121" s="1">
        <f>_xlfn.XLOOKUP('Customer Info'!A1401,'Customer Info'!A1401:A1500,'Customer Info'!M1401:M1500)</f>
        <v>0</v>
      </c>
    </row>
    <row r="1122" spans="1:10" ht="14" hidden="1" x14ac:dyDescent="0.2">
      <c r="A1122" s="2" t="s">
        <v>61</v>
      </c>
      <c r="B1122" s="2">
        <v>23</v>
      </c>
      <c r="C1122" s="2">
        <v>1</v>
      </c>
      <c r="D1122" s="2">
        <v>2020</v>
      </c>
      <c r="E1122" s="2">
        <v>123.38</v>
      </c>
      <c r="F1122" s="2">
        <v>95.79</v>
      </c>
      <c r="H1122" s="1">
        <f>_xlfn.XLOOKUP('Customer Info'!A192,'Customer Info'!A192:A291,'Customer Info'!E192:E291,0,0)</f>
        <v>0</v>
      </c>
      <c r="J1122" s="1">
        <f>_xlfn.XLOOKUP('Customer Info'!A192,'Customer Info'!A192:A291,'Customer Info'!M192:M291)</f>
        <v>0</v>
      </c>
    </row>
    <row r="1123" spans="1:10" ht="14" hidden="1" x14ac:dyDescent="0.2">
      <c r="A1123" s="2" t="s">
        <v>44</v>
      </c>
      <c r="B1123" s="2">
        <v>1</v>
      </c>
      <c r="C1123" s="2">
        <v>12</v>
      </c>
      <c r="D1123" s="2">
        <v>2020</v>
      </c>
      <c r="E1123" s="2">
        <v>99.51</v>
      </c>
      <c r="F1123" s="2">
        <v>95.79</v>
      </c>
      <c r="H1123" s="1">
        <f>_xlfn.XLOOKUP('Customer Info'!A332,'Customer Info'!A332:A431,'Customer Info'!E332:E431,0,0)</f>
        <v>0</v>
      </c>
      <c r="J1123" s="1">
        <f>_xlfn.XLOOKUP('Customer Info'!A332,'Customer Info'!A332:A431,'Customer Info'!M332:M431)</f>
        <v>0</v>
      </c>
    </row>
    <row r="1124" spans="1:10" ht="14" x14ac:dyDescent="0.2">
      <c r="A1124" s="2" t="s">
        <v>78</v>
      </c>
      <c r="B1124" s="2">
        <v>18</v>
      </c>
      <c r="C1124" s="2">
        <v>3</v>
      </c>
      <c r="D1124" s="2">
        <v>2021</v>
      </c>
      <c r="E1124" s="2">
        <v>81.22</v>
      </c>
      <c r="F1124" s="2">
        <v>95.79</v>
      </c>
      <c r="H1124" s="1">
        <f>_xlfn.XLOOKUP('Customer Info'!A1659,'Customer Info'!A1659:A1758,'Customer Info'!E1659:E1758,0,0)</f>
        <v>0</v>
      </c>
      <c r="J1124" s="1">
        <f>_xlfn.XLOOKUP('Customer Info'!A1659,'Customer Info'!A1659:A1758,'Customer Info'!M1659:M1758)</f>
        <v>0</v>
      </c>
    </row>
    <row r="1125" spans="1:10" ht="14" x14ac:dyDescent="0.2">
      <c r="A1125" s="2" t="s">
        <v>88</v>
      </c>
      <c r="B1125" s="2">
        <v>23</v>
      </c>
      <c r="C1125" s="2">
        <v>7</v>
      </c>
      <c r="D1125" s="2">
        <v>2021</v>
      </c>
      <c r="E1125" s="2">
        <v>58.59</v>
      </c>
      <c r="F1125" s="2">
        <v>95.79</v>
      </c>
      <c r="H1125" s="1">
        <f>_xlfn.XLOOKUP('Customer Info'!A1815,'Customer Info'!A1815:A1914,'Customer Info'!E1815:E1914,0,0)</f>
        <v>0</v>
      </c>
      <c r="J1125" s="1">
        <f>_xlfn.XLOOKUP('Customer Info'!A1815,'Customer Info'!A1815:A1914,'Customer Info'!M1815:M1914)</f>
        <v>0</v>
      </c>
    </row>
    <row r="1126" spans="1:10" ht="14" hidden="1" x14ac:dyDescent="0.2">
      <c r="A1126" s="2" t="s">
        <v>77</v>
      </c>
      <c r="B1126" s="2">
        <v>16</v>
      </c>
      <c r="C1126" s="2">
        <v>8</v>
      </c>
      <c r="D1126" s="2">
        <v>2020</v>
      </c>
      <c r="E1126" s="2">
        <v>44.33</v>
      </c>
      <c r="F1126" s="2">
        <v>95.79</v>
      </c>
      <c r="H1126" s="1">
        <f>_xlfn.XLOOKUP('Customer Info'!A691,'Customer Info'!A691:A790,'Customer Info'!E691:E790,0,0)</f>
        <v>0</v>
      </c>
      <c r="J1126" s="1">
        <f>_xlfn.XLOOKUP('Customer Info'!A691,'Customer Info'!A691:A790,'Customer Info'!M691:M790)</f>
        <v>0</v>
      </c>
    </row>
    <row r="1127" spans="1:10" ht="14" hidden="1" x14ac:dyDescent="0.2">
      <c r="A1127" s="2" t="s">
        <v>83</v>
      </c>
      <c r="B1127" s="2">
        <v>25</v>
      </c>
      <c r="C1127" s="2">
        <v>11</v>
      </c>
      <c r="D1127" s="2">
        <v>2020</v>
      </c>
      <c r="E1127" s="2">
        <v>133.19999999999999</v>
      </c>
      <c r="F1127" s="2">
        <v>95.7</v>
      </c>
      <c r="H1127" s="1">
        <f>_xlfn.XLOOKUP('Customer Info'!A172,'Customer Info'!A172:A271,'Customer Info'!E172:E271,0,0)</f>
        <v>0</v>
      </c>
      <c r="J1127" s="1">
        <f>_xlfn.XLOOKUP('Customer Info'!A172,'Customer Info'!A172:A271,'Customer Info'!M172:M271)</f>
        <v>0</v>
      </c>
    </row>
    <row r="1128" spans="1:10" ht="14" x14ac:dyDescent="0.2">
      <c r="A1128" s="2" t="s">
        <v>59</v>
      </c>
      <c r="B1128" s="2">
        <v>11</v>
      </c>
      <c r="C1128" s="2">
        <v>11</v>
      </c>
      <c r="D1128" s="2">
        <v>2021</v>
      </c>
      <c r="E1128" s="2">
        <v>127.5</v>
      </c>
      <c r="F1128" s="2">
        <v>95.7</v>
      </c>
      <c r="H1128" s="1">
        <f>_xlfn.XLOOKUP('Customer Info'!A1413,'Customer Info'!A1413:A1512,'Customer Info'!E1413:E1512,0,0)</f>
        <v>0</v>
      </c>
      <c r="J1128" s="1">
        <f>_xlfn.XLOOKUP('Customer Info'!A1413,'Customer Info'!A1413:A1512,'Customer Info'!M1413:M1512)</f>
        <v>0</v>
      </c>
    </row>
    <row r="1129" spans="1:10" ht="14" x14ac:dyDescent="0.2">
      <c r="A1129" s="2" t="s">
        <v>78</v>
      </c>
      <c r="B1129" s="2">
        <v>18</v>
      </c>
      <c r="C1129" s="2">
        <v>4</v>
      </c>
      <c r="D1129" s="2">
        <v>2021</v>
      </c>
      <c r="E1129" s="2">
        <v>79.5</v>
      </c>
      <c r="F1129" s="2">
        <v>95.7</v>
      </c>
      <c r="H1129" s="1">
        <f>_xlfn.XLOOKUP('Customer Info'!A1669,'Customer Info'!A1669:A1768,'Customer Info'!E1669:E1768,0,0)</f>
        <v>0</v>
      </c>
      <c r="J1129" s="1">
        <f>_xlfn.XLOOKUP('Customer Info'!A1669,'Customer Info'!A1669:A1768,'Customer Info'!M1669:M1768)</f>
        <v>0</v>
      </c>
    </row>
    <row r="1130" spans="1:10" ht="14" hidden="1" x14ac:dyDescent="0.2">
      <c r="A1130" s="2" t="s">
        <v>44</v>
      </c>
      <c r="B1130" s="2">
        <v>1</v>
      </c>
      <c r="C1130" s="2">
        <v>9</v>
      </c>
      <c r="D1130" s="2">
        <v>2020</v>
      </c>
      <c r="E1130" s="2">
        <v>45.6</v>
      </c>
      <c r="F1130" s="2">
        <v>95.7</v>
      </c>
      <c r="H1130" s="1">
        <f>_xlfn.XLOOKUP('Customer Info'!A678,'Customer Info'!A678:A777,'Customer Info'!E678:E777,0,0)</f>
        <v>0</v>
      </c>
      <c r="J1130" s="1">
        <f>_xlfn.XLOOKUP('Customer Info'!A678,'Customer Info'!A678:A777,'Customer Info'!M678:M777)</f>
        <v>0</v>
      </c>
    </row>
    <row r="1131" spans="1:10" ht="14" x14ac:dyDescent="0.2">
      <c r="A1131" s="2" t="s">
        <v>74</v>
      </c>
      <c r="B1131" s="2">
        <v>5</v>
      </c>
      <c r="C1131" s="2">
        <v>1</v>
      </c>
      <c r="D1131" s="2">
        <v>2021</v>
      </c>
      <c r="E1131" s="2">
        <v>125.55</v>
      </c>
      <c r="F1131" s="2">
        <v>95.48</v>
      </c>
      <c r="H1131" s="1">
        <f>_xlfn.XLOOKUP('Customer Info'!A1421,'Customer Info'!A1421:A1520,'Customer Info'!E1421:E1520,0,0)</f>
        <v>0</v>
      </c>
      <c r="J1131" s="1">
        <f>_xlfn.XLOOKUP('Customer Info'!A1421,'Customer Info'!A1421:A1520,'Customer Info'!M1421:M1520)</f>
        <v>0</v>
      </c>
    </row>
    <row r="1132" spans="1:10" ht="14" x14ac:dyDescent="0.2">
      <c r="A1132" s="2" t="s">
        <v>52</v>
      </c>
      <c r="B1132" s="2">
        <v>1</v>
      </c>
      <c r="C1132" s="2">
        <v>3</v>
      </c>
      <c r="D1132" s="2">
        <v>2021</v>
      </c>
      <c r="E1132" s="2">
        <v>71.92</v>
      </c>
      <c r="F1132" s="2">
        <v>95.48</v>
      </c>
      <c r="H1132" s="1">
        <f>_xlfn.XLOOKUP('Customer Info'!A1719,'Customer Info'!A1719:A1818,'Customer Info'!E1719:E1818,0,0)</f>
        <v>0</v>
      </c>
      <c r="J1132" s="1">
        <f>_xlfn.XLOOKUP('Customer Info'!A1719,'Customer Info'!A1719:A1818,'Customer Info'!M1719:M1818)</f>
        <v>0</v>
      </c>
    </row>
    <row r="1133" spans="1:10" ht="14" hidden="1" x14ac:dyDescent="0.2">
      <c r="A1133" s="2" t="s">
        <v>69</v>
      </c>
      <c r="B1133" s="2">
        <v>12</v>
      </c>
      <c r="C1133" s="2">
        <v>5</v>
      </c>
      <c r="D1133" s="2">
        <v>2020</v>
      </c>
      <c r="E1133" s="2">
        <v>37.51</v>
      </c>
      <c r="F1133" s="2">
        <v>95.48</v>
      </c>
      <c r="H1133" s="1">
        <f>_xlfn.XLOOKUP('Customer Info'!A757,'Customer Info'!A757:A856,'Customer Info'!E757:E856,0,0)</f>
        <v>0</v>
      </c>
      <c r="J1133" s="1">
        <f>_xlfn.XLOOKUP('Customer Info'!A757,'Customer Info'!A757:A856,'Customer Info'!M757:M856)</f>
        <v>0</v>
      </c>
    </row>
    <row r="1134" spans="1:10" ht="14" x14ac:dyDescent="0.2">
      <c r="A1134" s="2" t="s">
        <v>64</v>
      </c>
      <c r="B1134" s="2">
        <v>21</v>
      </c>
      <c r="C1134" s="2">
        <v>7</v>
      </c>
      <c r="D1134" s="2">
        <v>2021</v>
      </c>
      <c r="E1134" s="2">
        <v>35.96</v>
      </c>
      <c r="F1134" s="2">
        <v>95.48</v>
      </c>
      <c r="H1134" s="1">
        <f>_xlfn.XLOOKUP('Customer Info'!A1981,'Customer Info'!A1981:A2080,'Customer Info'!E1981:E2080,0,0)</f>
        <v>0</v>
      </c>
      <c r="J1134" s="1">
        <f>_xlfn.XLOOKUP('Customer Info'!A1981,'Customer Info'!A1981:A2080,'Customer Info'!M1981:M2080)</f>
        <v>0</v>
      </c>
    </row>
    <row r="1135" spans="1:10" ht="14" x14ac:dyDescent="0.2">
      <c r="A1135" s="2" t="s">
        <v>1</v>
      </c>
      <c r="B1135" s="2">
        <v>21</v>
      </c>
      <c r="C1135" s="2">
        <v>7</v>
      </c>
      <c r="D1135" s="2">
        <v>2021</v>
      </c>
      <c r="E1135" s="2">
        <v>0</v>
      </c>
      <c r="F1135" s="2">
        <v>95.48</v>
      </c>
      <c r="H1135" s="1">
        <f>_xlfn.XLOOKUP('Customer Info'!A2397,'Customer Info'!A2397:A2496,'Customer Info'!E2397:E2496,0,0)</f>
        <v>0</v>
      </c>
      <c r="J1135" s="1">
        <f>_xlfn.XLOOKUP('Customer Info'!A2397,'Customer Info'!A2397:A2496,'Customer Info'!M2397:M2496)</f>
        <v>0</v>
      </c>
    </row>
    <row r="1136" spans="1:10" ht="14" hidden="1" x14ac:dyDescent="0.2">
      <c r="A1136" s="2" t="s">
        <v>81</v>
      </c>
      <c r="B1136" s="2">
        <v>19</v>
      </c>
      <c r="C1136" s="2">
        <v>4</v>
      </c>
      <c r="D1136" s="2">
        <v>2020</v>
      </c>
      <c r="E1136" s="2">
        <v>75</v>
      </c>
      <c r="F1136" s="2">
        <v>95.4</v>
      </c>
      <c r="H1136" s="1">
        <f>_xlfn.XLOOKUP('Customer Info'!A470,'Customer Info'!A470:A569,'Customer Info'!E470:E569,0,0)</f>
        <v>0</v>
      </c>
      <c r="J1136" s="1">
        <f>_xlfn.XLOOKUP('Customer Info'!A470,'Customer Info'!A470:A569,'Customer Info'!M470:M569)</f>
        <v>0</v>
      </c>
    </row>
    <row r="1137" spans="1:10" ht="14" x14ac:dyDescent="0.2">
      <c r="A1137" s="2" t="s">
        <v>54</v>
      </c>
      <c r="B1137" s="2">
        <v>5</v>
      </c>
      <c r="C1137" s="2">
        <v>10</v>
      </c>
      <c r="D1137" s="2">
        <v>2021</v>
      </c>
      <c r="E1137" s="2">
        <v>82.46</v>
      </c>
      <c r="F1137" s="2">
        <v>95.17</v>
      </c>
      <c r="H1137" s="1">
        <f>_xlfn.XLOOKUP('Customer Info'!A1649,'Customer Info'!A1649:A1748,'Customer Info'!E1649:E1748,0,0)</f>
        <v>0</v>
      </c>
      <c r="J1137" s="1">
        <f>_xlfn.XLOOKUP('Customer Info'!A1649,'Customer Info'!A1649:A1748,'Customer Info'!M1649:M1748)</f>
        <v>0</v>
      </c>
    </row>
    <row r="1138" spans="1:10" ht="14" x14ac:dyDescent="0.2">
      <c r="A1138" s="2" t="s">
        <v>87</v>
      </c>
      <c r="B1138" s="2">
        <v>1</v>
      </c>
      <c r="C1138" s="2">
        <v>5</v>
      </c>
      <c r="D1138" s="2">
        <v>2021</v>
      </c>
      <c r="E1138" s="2">
        <v>80.599999999999994</v>
      </c>
      <c r="F1138" s="2">
        <v>95.17</v>
      </c>
      <c r="H1138" s="1">
        <f>_xlfn.XLOOKUP('Customer Info'!A1663,'Customer Info'!A1663:A1762,'Customer Info'!E1663:E1762,0,0)</f>
        <v>0</v>
      </c>
      <c r="J1138" s="1">
        <f>_xlfn.XLOOKUP('Customer Info'!A1663,'Customer Info'!A1663:A1762,'Customer Info'!M1663:M1762)</f>
        <v>0</v>
      </c>
    </row>
    <row r="1139" spans="1:10" ht="14" x14ac:dyDescent="0.2">
      <c r="A1139" s="2" t="s">
        <v>69</v>
      </c>
      <c r="B1139" s="2">
        <v>12</v>
      </c>
      <c r="C1139" s="2">
        <v>11</v>
      </c>
      <c r="D1139" s="2">
        <v>2021</v>
      </c>
      <c r="E1139" s="2">
        <v>125.4</v>
      </c>
      <c r="F1139" s="2">
        <v>95.1</v>
      </c>
      <c r="H1139" s="1">
        <f>_xlfn.XLOOKUP('Customer Info'!A1423,'Customer Info'!A1423:A1522,'Customer Info'!E1423:E1522,0,0)</f>
        <v>0</v>
      </c>
      <c r="J1139" s="1">
        <f>_xlfn.XLOOKUP('Customer Info'!A1423,'Customer Info'!A1423:A1522,'Customer Info'!M1423:M1522)</f>
        <v>0</v>
      </c>
    </row>
    <row r="1140" spans="1:10" ht="14" x14ac:dyDescent="0.2">
      <c r="A1140" s="2" t="s">
        <v>54</v>
      </c>
      <c r="B1140" s="2">
        <v>5</v>
      </c>
      <c r="C1140" s="2">
        <v>4</v>
      </c>
      <c r="D1140" s="2">
        <v>2021</v>
      </c>
      <c r="E1140" s="2">
        <v>81.599999999999994</v>
      </c>
      <c r="F1140" s="2">
        <v>95.1</v>
      </c>
      <c r="H1140" s="1">
        <f>_xlfn.XLOOKUP('Customer Info'!A1658,'Customer Info'!A1658:A1757,'Customer Info'!E1658:E1757,0,0)</f>
        <v>0</v>
      </c>
      <c r="J1140" s="1">
        <f>_xlfn.XLOOKUP('Customer Info'!A1658,'Customer Info'!A1658:A1757,'Customer Info'!M1658:M1757)</f>
        <v>0</v>
      </c>
    </row>
    <row r="1141" spans="1:10" ht="14" hidden="1" x14ac:dyDescent="0.2">
      <c r="A1141" s="2" t="s">
        <v>93</v>
      </c>
      <c r="B1141" s="2">
        <v>3</v>
      </c>
      <c r="C1141" s="2">
        <v>6</v>
      </c>
      <c r="D1141" s="2">
        <v>2020</v>
      </c>
      <c r="E1141" s="2">
        <v>68.099999999999994</v>
      </c>
      <c r="F1141" s="2">
        <v>95.1</v>
      </c>
      <c r="H1141" s="1">
        <f>_xlfn.XLOOKUP('Customer Info'!A521,'Customer Info'!A521:A620,'Customer Info'!E521:E620,0,0)</f>
        <v>0</v>
      </c>
      <c r="J1141" s="1">
        <f>_xlfn.XLOOKUP('Customer Info'!A521,'Customer Info'!A521:A620,'Customer Info'!M521:M620)</f>
        <v>0</v>
      </c>
    </row>
    <row r="1142" spans="1:10" ht="14" hidden="1" x14ac:dyDescent="0.2">
      <c r="A1142" s="2" t="s">
        <v>61</v>
      </c>
      <c r="B1142" s="2">
        <v>23</v>
      </c>
      <c r="C1142" s="2">
        <v>4</v>
      </c>
      <c r="D1142" s="2">
        <v>2020</v>
      </c>
      <c r="E1142" s="2">
        <v>65.7</v>
      </c>
      <c r="F1142" s="2">
        <v>95.1</v>
      </c>
      <c r="H1142" s="1">
        <f>_xlfn.XLOOKUP('Customer Info'!A541,'Customer Info'!A541:A640,'Customer Info'!E541:E640,0,0)</f>
        <v>0</v>
      </c>
      <c r="J1142" s="1">
        <f>_xlfn.XLOOKUP('Customer Info'!A541,'Customer Info'!A541:A640,'Customer Info'!M541:M640)</f>
        <v>0</v>
      </c>
    </row>
    <row r="1143" spans="1:10" ht="14" x14ac:dyDescent="0.2">
      <c r="A1143" s="2" t="s">
        <v>64</v>
      </c>
      <c r="B1143" s="2">
        <v>21</v>
      </c>
      <c r="C1143" s="2">
        <v>6</v>
      </c>
      <c r="D1143" s="2">
        <v>2021</v>
      </c>
      <c r="E1143" s="2">
        <v>43.5</v>
      </c>
      <c r="F1143" s="2">
        <v>95.1</v>
      </c>
      <c r="H1143" s="1">
        <f>_xlfn.XLOOKUP('Customer Info'!A1915,'Customer Info'!A1915:A2014,'Customer Info'!E1915:E2014,0,0)</f>
        <v>0</v>
      </c>
      <c r="J1143" s="1">
        <f>_xlfn.XLOOKUP('Customer Info'!A1915,'Customer Info'!A1915:A2014,'Customer Info'!M1915:M2014)</f>
        <v>0</v>
      </c>
    </row>
    <row r="1144" spans="1:10" ht="14" x14ac:dyDescent="0.2">
      <c r="A1144" s="2" t="s">
        <v>67</v>
      </c>
      <c r="B1144" s="2">
        <v>13</v>
      </c>
      <c r="C1144" s="2">
        <v>6</v>
      </c>
      <c r="D1144" s="2">
        <v>2021</v>
      </c>
      <c r="E1144" s="2">
        <v>43.2</v>
      </c>
      <c r="F1144" s="2">
        <v>95.1</v>
      </c>
      <c r="H1144" s="1">
        <f>_xlfn.XLOOKUP('Customer Info'!A1919,'Customer Info'!A1919:A2018,'Customer Info'!E1919:E2018,0,0)</f>
        <v>0</v>
      </c>
      <c r="J1144" s="1">
        <f>_xlfn.XLOOKUP('Customer Info'!A1919,'Customer Info'!A1919:A2018,'Customer Info'!M1919:M2018)</f>
        <v>0</v>
      </c>
    </row>
    <row r="1145" spans="1:10" ht="14" x14ac:dyDescent="0.2">
      <c r="A1145" s="2" t="s">
        <v>64</v>
      </c>
      <c r="B1145" s="2">
        <v>21</v>
      </c>
      <c r="C1145" s="2">
        <v>1</v>
      </c>
      <c r="D1145" s="2">
        <v>2021</v>
      </c>
      <c r="E1145" s="2">
        <v>113.46</v>
      </c>
      <c r="F1145" s="2">
        <v>94.86</v>
      </c>
      <c r="H1145" s="1">
        <f>_xlfn.XLOOKUP('Customer Info'!A1476,'Customer Info'!A1476:A1575,'Customer Info'!E1476:E1575,0,0)</f>
        <v>0</v>
      </c>
      <c r="J1145" s="1">
        <f>_xlfn.XLOOKUP('Customer Info'!A1476,'Customer Info'!A1476:A1575,'Customer Info'!M1476:M1575)</f>
        <v>0</v>
      </c>
    </row>
    <row r="1146" spans="1:10" ht="14" hidden="1" x14ac:dyDescent="0.2">
      <c r="A1146" s="2" t="s">
        <v>66</v>
      </c>
      <c r="B1146" s="2">
        <v>23</v>
      </c>
      <c r="C1146" s="2">
        <v>1</v>
      </c>
      <c r="D1146" s="2">
        <v>2020</v>
      </c>
      <c r="E1146" s="2">
        <v>94.86</v>
      </c>
      <c r="F1146" s="2">
        <v>94.86</v>
      </c>
      <c r="H1146" s="1">
        <f>_xlfn.XLOOKUP('Customer Info'!A367,'Customer Info'!A367:A466,'Customer Info'!E367:E466,0,0)</f>
        <v>0</v>
      </c>
      <c r="J1146" s="1">
        <f>_xlfn.XLOOKUP('Customer Info'!A367,'Customer Info'!A367:A466,'Customer Info'!M367:M466)</f>
        <v>0</v>
      </c>
    </row>
    <row r="1147" spans="1:10" ht="14" x14ac:dyDescent="0.2">
      <c r="A1147" s="2" t="s">
        <v>65</v>
      </c>
      <c r="B1147" s="2">
        <v>11</v>
      </c>
      <c r="C1147" s="2">
        <v>3</v>
      </c>
      <c r="D1147" s="2">
        <v>2021</v>
      </c>
      <c r="E1147" s="2">
        <v>90.52</v>
      </c>
      <c r="F1147" s="2">
        <v>94.86</v>
      </c>
      <c r="H1147" s="1">
        <f>_xlfn.XLOOKUP('Customer Info'!A1609,'Customer Info'!A1609:A1708,'Customer Info'!E1609:E1708,0,0)</f>
        <v>0</v>
      </c>
      <c r="J1147" s="1">
        <f>_xlfn.XLOOKUP('Customer Info'!A1609,'Customer Info'!A1609:A1708,'Customer Info'!M1609:M1708)</f>
        <v>0</v>
      </c>
    </row>
    <row r="1148" spans="1:10" ht="14" x14ac:dyDescent="0.2">
      <c r="A1148" s="2" t="s">
        <v>76</v>
      </c>
      <c r="B1148" s="2">
        <v>9</v>
      </c>
      <c r="C1148" s="2">
        <v>3</v>
      </c>
      <c r="D1148" s="2">
        <v>2021</v>
      </c>
      <c r="E1148" s="2">
        <v>82.15</v>
      </c>
      <c r="F1148" s="2">
        <v>94.86</v>
      </c>
      <c r="H1148" s="1">
        <f>_xlfn.XLOOKUP('Customer Info'!A1651,'Customer Info'!A1651:A1750,'Customer Info'!E1651:E1750,0,0)</f>
        <v>0</v>
      </c>
      <c r="J1148" s="1">
        <f>_xlfn.XLOOKUP('Customer Info'!A1651,'Customer Info'!A1651:A1750,'Customer Info'!M1651:M1750)</f>
        <v>0</v>
      </c>
    </row>
    <row r="1149" spans="1:10" ht="14" x14ac:dyDescent="0.2">
      <c r="A1149" s="2" t="s">
        <v>43</v>
      </c>
      <c r="B1149" s="2">
        <v>15</v>
      </c>
      <c r="C1149" s="2">
        <v>3</v>
      </c>
      <c r="D1149" s="2">
        <v>2021</v>
      </c>
      <c r="E1149" s="2">
        <v>72.849999999999994</v>
      </c>
      <c r="F1149" s="2">
        <v>94.86</v>
      </c>
      <c r="H1149" s="1">
        <f>_xlfn.XLOOKUP('Customer Info'!A1713,'Customer Info'!A1713:A1812,'Customer Info'!E1713:E1812,0,0)</f>
        <v>0</v>
      </c>
      <c r="J1149" s="1">
        <f>_xlfn.XLOOKUP('Customer Info'!A1713,'Customer Info'!A1713:A1812,'Customer Info'!M1713:M1812)</f>
        <v>0</v>
      </c>
    </row>
    <row r="1150" spans="1:10" ht="14" hidden="1" x14ac:dyDescent="0.2">
      <c r="A1150" s="2" t="s">
        <v>41</v>
      </c>
      <c r="B1150" s="2">
        <v>15</v>
      </c>
      <c r="C1150" s="2">
        <v>10</v>
      </c>
      <c r="D1150" s="2">
        <v>2020</v>
      </c>
      <c r="E1150" s="2">
        <v>71.61</v>
      </c>
      <c r="F1150" s="2">
        <v>94.86</v>
      </c>
      <c r="H1150" s="1">
        <f>_xlfn.XLOOKUP('Customer Info'!A491,'Customer Info'!A491:A590,'Customer Info'!E491:E590,0,0)</f>
        <v>0</v>
      </c>
      <c r="J1150" s="1">
        <f>_xlfn.XLOOKUP('Customer Info'!A491,'Customer Info'!A491:A590,'Customer Info'!M491:M590)</f>
        <v>0</v>
      </c>
    </row>
    <row r="1151" spans="1:10" ht="14" hidden="1" x14ac:dyDescent="0.2">
      <c r="A1151" s="2" t="s">
        <v>90</v>
      </c>
      <c r="B1151" s="2">
        <v>18</v>
      </c>
      <c r="C1151" s="2">
        <v>7</v>
      </c>
      <c r="D1151" s="2">
        <v>2020</v>
      </c>
      <c r="E1151" s="2">
        <v>63.86</v>
      </c>
      <c r="F1151" s="2">
        <v>94.86</v>
      </c>
      <c r="H1151" s="1">
        <f>_xlfn.XLOOKUP('Customer Info'!A558,'Customer Info'!A558:A657,'Customer Info'!E558:E657,0,0)</f>
        <v>0</v>
      </c>
      <c r="J1151" s="1">
        <f>_xlfn.XLOOKUP('Customer Info'!A558,'Customer Info'!A558:A657,'Customer Info'!M558:M657)</f>
        <v>0</v>
      </c>
    </row>
    <row r="1152" spans="1:10" ht="14" x14ac:dyDescent="0.2">
      <c r="A1152" s="2" t="s">
        <v>44</v>
      </c>
      <c r="B1152" s="2">
        <v>1</v>
      </c>
      <c r="C1152" s="2">
        <v>11</v>
      </c>
      <c r="D1152" s="2">
        <v>2021</v>
      </c>
      <c r="E1152" s="2">
        <v>104.7</v>
      </c>
      <c r="F1152" s="2">
        <v>94.8</v>
      </c>
      <c r="H1152" s="1">
        <f>_xlfn.XLOOKUP('Customer Info'!A1530,'Customer Info'!A1530:A1629,'Customer Info'!E1530:E1629,0,0)</f>
        <v>0</v>
      </c>
      <c r="J1152" s="1">
        <f>_xlfn.XLOOKUP('Customer Info'!A1530,'Customer Info'!A1530:A1629,'Customer Info'!M1530:M1629)</f>
        <v>0</v>
      </c>
    </row>
    <row r="1153" spans="1:10" ht="14" x14ac:dyDescent="0.2">
      <c r="A1153" s="2" t="s">
        <v>90</v>
      </c>
      <c r="B1153" s="2">
        <v>18</v>
      </c>
      <c r="C1153" s="2">
        <v>9</v>
      </c>
      <c r="D1153" s="2">
        <v>2021</v>
      </c>
      <c r="E1153" s="2">
        <v>72.900000000000006</v>
      </c>
      <c r="F1153" s="2">
        <v>94.8</v>
      </c>
      <c r="H1153" s="1">
        <f>_xlfn.XLOOKUP('Customer Info'!A1712,'Customer Info'!A1712:A1811,'Customer Info'!E1712:E1811,0,0)</f>
        <v>0</v>
      </c>
      <c r="J1153" s="1">
        <f>_xlfn.XLOOKUP('Customer Info'!A1712,'Customer Info'!A1712:A1811,'Customer Info'!M1712:M1811)</f>
        <v>0</v>
      </c>
    </row>
    <row r="1154" spans="1:10" ht="14" x14ac:dyDescent="0.2">
      <c r="A1154" s="2" t="s">
        <v>56</v>
      </c>
      <c r="B1154" s="2">
        <v>14</v>
      </c>
      <c r="C1154" s="2">
        <v>6</v>
      </c>
      <c r="D1154" s="2">
        <v>2021</v>
      </c>
      <c r="E1154" s="2">
        <v>46.8</v>
      </c>
      <c r="F1154" s="2">
        <v>94.8</v>
      </c>
      <c r="H1154" s="1">
        <f>_xlfn.XLOOKUP('Customer Info'!A1893,'Customer Info'!A1893:A1992,'Customer Info'!E1893:E1992,0,0)</f>
        <v>0</v>
      </c>
      <c r="J1154" s="1">
        <f>_xlfn.XLOOKUP('Customer Info'!A1893,'Customer Info'!A1893:A1992,'Customer Info'!M1893:M1992)</f>
        <v>0</v>
      </c>
    </row>
    <row r="1155" spans="1:10" ht="14" hidden="1" x14ac:dyDescent="0.2">
      <c r="A1155" s="2" t="s">
        <v>98</v>
      </c>
      <c r="B1155" s="2">
        <v>21</v>
      </c>
      <c r="C1155" s="2">
        <v>7</v>
      </c>
      <c r="D1155" s="2">
        <v>2020</v>
      </c>
      <c r="E1155" s="1" t="s">
        <v>94</v>
      </c>
      <c r="F1155" s="2">
        <v>94.55</v>
      </c>
      <c r="H1155" s="1">
        <f>_xlfn.XLOOKUP('Customer Info'!A106,'Customer Info'!A106:A205,'Customer Info'!E106:E205,0,0)</f>
        <v>0</v>
      </c>
      <c r="J1155" s="1">
        <f>_xlfn.XLOOKUP('Customer Info'!A106,'Customer Info'!A106:A205,'Customer Info'!M106:M205)</f>
        <v>0</v>
      </c>
    </row>
    <row r="1156" spans="1:10" ht="14" hidden="1" x14ac:dyDescent="0.2">
      <c r="A1156" s="2" t="s">
        <v>93</v>
      </c>
      <c r="B1156" s="2">
        <v>3</v>
      </c>
      <c r="C1156" s="2">
        <v>5</v>
      </c>
      <c r="D1156" s="2">
        <v>2020</v>
      </c>
      <c r="E1156" s="2">
        <v>90.83</v>
      </c>
      <c r="F1156" s="2">
        <v>94.55</v>
      </c>
      <c r="H1156" s="1">
        <f>_xlfn.XLOOKUP('Customer Info'!A391,'Customer Info'!A391:A490,'Customer Info'!E391:E490,0,0)</f>
        <v>0</v>
      </c>
      <c r="J1156" s="1">
        <f>_xlfn.XLOOKUP('Customer Info'!A391,'Customer Info'!A391:A490,'Customer Info'!M391:M490)</f>
        <v>0</v>
      </c>
    </row>
    <row r="1157" spans="1:10" ht="14" x14ac:dyDescent="0.2">
      <c r="A1157" s="2" t="s">
        <v>57</v>
      </c>
      <c r="B1157" s="2">
        <v>17</v>
      </c>
      <c r="C1157" s="2">
        <v>3</v>
      </c>
      <c r="D1157" s="2">
        <v>2021</v>
      </c>
      <c r="E1157" s="2">
        <v>74.09</v>
      </c>
      <c r="F1157" s="2">
        <v>94.55</v>
      </c>
      <c r="H1157" s="1">
        <f>_xlfn.XLOOKUP('Customer Info'!A1703,'Customer Info'!A1703:A1802,'Customer Info'!E1703:E1802,0,0)</f>
        <v>0</v>
      </c>
      <c r="J1157" s="1">
        <f>_xlfn.XLOOKUP('Customer Info'!A1703,'Customer Info'!A1703:A1802,'Customer Info'!M1703:M1802)</f>
        <v>0</v>
      </c>
    </row>
    <row r="1158" spans="1:10" ht="14" x14ac:dyDescent="0.2">
      <c r="A1158" s="2" t="s">
        <v>74</v>
      </c>
      <c r="B1158" s="2">
        <v>5</v>
      </c>
      <c r="C1158" s="2">
        <v>5</v>
      </c>
      <c r="D1158" s="2">
        <v>2021</v>
      </c>
      <c r="E1158" s="2">
        <v>43.4</v>
      </c>
      <c r="F1158" s="2">
        <v>94.55</v>
      </c>
      <c r="H1158" s="1">
        <f>_xlfn.XLOOKUP('Customer Info'!A1917,'Customer Info'!A1917:A2016,'Customer Info'!E1917:E2016,0,0)</f>
        <v>0</v>
      </c>
      <c r="J1158" s="1">
        <f>_xlfn.XLOOKUP('Customer Info'!A1917,'Customer Info'!A1917:A2016,'Customer Info'!M1917:M2016)</f>
        <v>0</v>
      </c>
    </row>
    <row r="1159" spans="1:10" ht="14" x14ac:dyDescent="0.2">
      <c r="A1159" s="2" t="s">
        <v>73</v>
      </c>
      <c r="B1159" s="2">
        <v>5</v>
      </c>
      <c r="C1159" s="2">
        <v>8</v>
      </c>
      <c r="D1159" s="2">
        <v>2021</v>
      </c>
      <c r="E1159" s="2">
        <v>38.44</v>
      </c>
      <c r="F1159" s="2">
        <v>94.55</v>
      </c>
      <c r="H1159" s="1">
        <f>_xlfn.XLOOKUP('Customer Info'!A1953,'Customer Info'!A1953:A2052,'Customer Info'!E1953:E2052,0,0)</f>
        <v>0</v>
      </c>
      <c r="J1159" s="1">
        <f>_xlfn.XLOOKUP('Customer Info'!A1953,'Customer Info'!A1953:A2052,'Customer Info'!M1953:M2052)</f>
        <v>0</v>
      </c>
    </row>
    <row r="1160" spans="1:10" ht="14" hidden="1" x14ac:dyDescent="0.2">
      <c r="A1160" s="2" t="s">
        <v>70</v>
      </c>
      <c r="B1160" s="2">
        <v>16</v>
      </c>
      <c r="C1160" s="2">
        <v>8</v>
      </c>
      <c r="D1160" s="2">
        <v>2020</v>
      </c>
      <c r="E1160" s="2">
        <v>37.200000000000003</v>
      </c>
      <c r="F1160" s="2">
        <v>94.55</v>
      </c>
      <c r="H1160" s="1">
        <f>_xlfn.XLOOKUP('Customer Info'!A761,'Customer Info'!A761:A860,'Customer Info'!E761:E860,0,0)</f>
        <v>0</v>
      </c>
      <c r="J1160" s="1">
        <f>_xlfn.XLOOKUP('Customer Info'!A761,'Customer Info'!A761:A860,'Customer Info'!M761:M860)</f>
        <v>0</v>
      </c>
    </row>
    <row r="1161" spans="1:10" ht="14" hidden="1" x14ac:dyDescent="0.2">
      <c r="A1161" s="2" t="s">
        <v>43</v>
      </c>
      <c r="B1161" s="2">
        <v>15</v>
      </c>
      <c r="C1161" s="2">
        <v>8</v>
      </c>
      <c r="D1161" s="2">
        <v>2020</v>
      </c>
      <c r="E1161" s="2">
        <v>24.18</v>
      </c>
      <c r="F1161" s="2">
        <v>94.55</v>
      </c>
      <c r="H1161" s="1">
        <f>_xlfn.XLOOKUP('Customer Info'!A858,'Customer Info'!A858:A957,'Customer Info'!E858:E957,0,0)</f>
        <v>0</v>
      </c>
      <c r="J1161" s="1">
        <f>_xlfn.XLOOKUP('Customer Info'!A858,'Customer Info'!A858:A957,'Customer Info'!M858:M957)</f>
        <v>0</v>
      </c>
    </row>
    <row r="1162" spans="1:10" ht="14" x14ac:dyDescent="0.2">
      <c r="A1162" s="2" t="s">
        <v>74</v>
      </c>
      <c r="B1162" s="2">
        <v>5</v>
      </c>
      <c r="C1162" s="2">
        <v>11</v>
      </c>
      <c r="D1162" s="2">
        <v>2021</v>
      </c>
      <c r="E1162" s="2">
        <v>116.7</v>
      </c>
      <c r="F1162" s="2">
        <v>94.5</v>
      </c>
      <c r="H1162" s="1">
        <f>_xlfn.XLOOKUP('Customer Info'!A1456,'Customer Info'!A1456:A1555,'Customer Info'!E1456:E1555,0,0)</f>
        <v>0</v>
      </c>
      <c r="J1162" s="1">
        <f>_xlfn.XLOOKUP('Customer Info'!A1456,'Customer Info'!A1456:A1555,'Customer Info'!M1456:M1555)</f>
        <v>0</v>
      </c>
    </row>
    <row r="1163" spans="1:10" ht="14" hidden="1" x14ac:dyDescent="0.2">
      <c r="A1163" s="2" t="s">
        <v>84</v>
      </c>
      <c r="B1163" s="2">
        <v>20</v>
      </c>
      <c r="C1163" s="2">
        <v>6</v>
      </c>
      <c r="D1163" s="2">
        <v>2020</v>
      </c>
      <c r="E1163" s="2">
        <v>49.2</v>
      </c>
      <c r="F1163" s="2">
        <v>94.5</v>
      </c>
      <c r="H1163" s="1">
        <f>_xlfn.XLOOKUP('Customer Info'!A650,'Customer Info'!A650:A749,'Customer Info'!E650:E749,0,0)</f>
        <v>0</v>
      </c>
      <c r="J1163" s="1">
        <f>_xlfn.XLOOKUP('Customer Info'!A650,'Customer Info'!A650:A749,'Customer Info'!M650:M749)</f>
        <v>0</v>
      </c>
    </row>
    <row r="1164" spans="1:10" ht="14" x14ac:dyDescent="0.2">
      <c r="A1164" s="2" t="s">
        <v>81</v>
      </c>
      <c r="B1164" s="2">
        <v>19</v>
      </c>
      <c r="C1164" s="2">
        <v>12</v>
      </c>
      <c r="D1164" s="2">
        <v>2021</v>
      </c>
      <c r="E1164" s="2">
        <v>130.51</v>
      </c>
      <c r="F1164" s="2">
        <v>94.24</v>
      </c>
      <c r="H1164" s="1">
        <f>_xlfn.XLOOKUP('Customer Info'!A1397,'Customer Info'!A1397:A1496,'Customer Info'!E1397:E1496,0,0)</f>
        <v>0</v>
      </c>
      <c r="J1164" s="1">
        <f>_xlfn.XLOOKUP('Customer Info'!A1397,'Customer Info'!A1397:A1496,'Customer Info'!M1397:M1496)</f>
        <v>0</v>
      </c>
    </row>
    <row r="1165" spans="1:10" ht="14" x14ac:dyDescent="0.2">
      <c r="A1165" s="2" t="s">
        <v>72</v>
      </c>
      <c r="B1165" s="2">
        <v>22</v>
      </c>
      <c r="C1165" s="2">
        <v>3</v>
      </c>
      <c r="D1165" s="2">
        <v>2021</v>
      </c>
      <c r="E1165" s="2">
        <v>98.89</v>
      </c>
      <c r="F1165" s="2">
        <v>94.24</v>
      </c>
      <c r="H1165" s="1">
        <f>_xlfn.XLOOKUP('Customer Info'!A1562,'Customer Info'!A1562:A1661,'Customer Info'!E1562:E1661,0,0)</f>
        <v>0</v>
      </c>
      <c r="J1165" s="1">
        <f>_xlfn.XLOOKUP('Customer Info'!A1562,'Customer Info'!A1562:A1661,'Customer Info'!M1562:M1661)</f>
        <v>0</v>
      </c>
    </row>
    <row r="1166" spans="1:10" ht="14" hidden="1" x14ac:dyDescent="0.2">
      <c r="A1166" s="2" t="s">
        <v>81</v>
      </c>
      <c r="B1166" s="2">
        <v>19</v>
      </c>
      <c r="C1166" s="2">
        <v>10</v>
      </c>
      <c r="D1166" s="2">
        <v>2020</v>
      </c>
      <c r="E1166" s="2">
        <v>89.59</v>
      </c>
      <c r="F1166" s="2">
        <v>94.24</v>
      </c>
      <c r="H1166" s="1">
        <f>_xlfn.XLOOKUP('Customer Info'!A396,'Customer Info'!A396:A495,'Customer Info'!E396:E495,0,0)</f>
        <v>0</v>
      </c>
      <c r="J1166" s="1">
        <f>_xlfn.XLOOKUP('Customer Info'!A396,'Customer Info'!A396:A495,'Customer Info'!M396:M495)</f>
        <v>0</v>
      </c>
    </row>
    <row r="1167" spans="1:10" ht="14" hidden="1" x14ac:dyDescent="0.2">
      <c r="A1167" s="2" t="s">
        <v>84</v>
      </c>
      <c r="B1167" s="2">
        <v>20</v>
      </c>
      <c r="C1167" s="2">
        <v>5</v>
      </c>
      <c r="D1167" s="2">
        <v>2020</v>
      </c>
      <c r="E1167" s="2">
        <v>71.61</v>
      </c>
      <c r="F1167" s="2">
        <v>94.24</v>
      </c>
      <c r="H1167" s="1">
        <f>_xlfn.XLOOKUP('Customer Info'!A492,'Customer Info'!A492:A591,'Customer Info'!E492:E591,0,0)</f>
        <v>0</v>
      </c>
      <c r="J1167" s="1">
        <f>_xlfn.XLOOKUP('Customer Info'!A492,'Customer Info'!A492:A591,'Customer Info'!M492:M591)</f>
        <v>0</v>
      </c>
    </row>
    <row r="1168" spans="1:10" ht="14" hidden="1" x14ac:dyDescent="0.2">
      <c r="A1168" s="2" t="s">
        <v>56</v>
      </c>
      <c r="B1168" s="2">
        <v>14</v>
      </c>
      <c r="C1168" s="2">
        <v>7</v>
      </c>
      <c r="D1168" s="2">
        <v>2020</v>
      </c>
      <c r="E1168" s="2">
        <v>29.76</v>
      </c>
      <c r="F1168" s="2">
        <v>94.24</v>
      </c>
      <c r="H1168" s="1">
        <f>_xlfn.XLOOKUP('Customer Info'!A821,'Customer Info'!A821:A920,'Customer Info'!E821:E920,0,0)</f>
        <v>0</v>
      </c>
      <c r="J1168" s="1">
        <f>_xlfn.XLOOKUP('Customer Info'!A821,'Customer Info'!A821:A920,'Customer Info'!M821:M920)</f>
        <v>0</v>
      </c>
    </row>
    <row r="1169" spans="1:10" ht="14" x14ac:dyDescent="0.2">
      <c r="A1169" s="2" t="s">
        <v>83</v>
      </c>
      <c r="B1169" s="2">
        <v>25</v>
      </c>
      <c r="C1169" s="2">
        <v>9</v>
      </c>
      <c r="D1169" s="2">
        <v>2021</v>
      </c>
      <c r="E1169" s="2">
        <v>64.2</v>
      </c>
      <c r="F1169" s="2">
        <v>94.2</v>
      </c>
      <c r="H1169" s="1">
        <f>_xlfn.XLOOKUP('Customer Info'!A1773,'Customer Info'!A1773:A1872,'Customer Info'!E1773:E1872,0,0)</f>
        <v>0</v>
      </c>
      <c r="J1169" s="1">
        <f>_xlfn.XLOOKUP('Customer Info'!A1773,'Customer Info'!A1773:A1872,'Customer Info'!M1773:M1872)</f>
        <v>0</v>
      </c>
    </row>
    <row r="1170" spans="1:10" ht="14" x14ac:dyDescent="0.2">
      <c r="A1170" s="2" t="s">
        <v>70</v>
      </c>
      <c r="B1170" s="2">
        <v>16</v>
      </c>
      <c r="C1170" s="2">
        <v>9</v>
      </c>
      <c r="D1170" s="2">
        <v>2021</v>
      </c>
      <c r="E1170" s="2">
        <v>48.6</v>
      </c>
      <c r="F1170" s="2">
        <v>94.2</v>
      </c>
      <c r="H1170" s="1">
        <f>_xlfn.XLOOKUP('Customer Info'!A1879,'Customer Info'!A1879:A1978,'Customer Info'!E1879:E1978,0,0)</f>
        <v>0</v>
      </c>
      <c r="J1170" s="1">
        <f>_xlfn.XLOOKUP('Customer Info'!A1879,'Customer Info'!A1879:A1978,'Customer Info'!M1879:M1978)</f>
        <v>0</v>
      </c>
    </row>
    <row r="1171" spans="1:10" ht="14" x14ac:dyDescent="0.2">
      <c r="A1171" s="2" t="s">
        <v>44</v>
      </c>
      <c r="B1171" s="2">
        <v>1</v>
      </c>
      <c r="C1171" s="2">
        <v>9</v>
      </c>
      <c r="D1171" s="2">
        <v>2021</v>
      </c>
      <c r="E1171" s="2">
        <v>34.799999999999997</v>
      </c>
      <c r="F1171" s="2">
        <v>94.2</v>
      </c>
      <c r="H1171" s="1">
        <f>_xlfn.XLOOKUP('Customer Info'!A1991,'Customer Info'!A1991:A2090,'Customer Info'!E1991:E2090,0,0)</f>
        <v>0</v>
      </c>
      <c r="J1171" s="1">
        <f>_xlfn.XLOOKUP('Customer Info'!A1991,'Customer Info'!A1991:A2090,'Customer Info'!M1991:M2090)</f>
        <v>0</v>
      </c>
    </row>
    <row r="1172" spans="1:10" ht="14" hidden="1" x14ac:dyDescent="0.2">
      <c r="A1172" s="2" t="s">
        <v>86</v>
      </c>
      <c r="B1172" s="2">
        <v>6</v>
      </c>
      <c r="C1172" s="2">
        <v>1</v>
      </c>
      <c r="D1172" s="2">
        <v>2020</v>
      </c>
      <c r="E1172" s="2">
        <v>136.71</v>
      </c>
      <c r="F1172" s="2">
        <v>93.93</v>
      </c>
      <c r="H1172" s="1">
        <f>_xlfn.XLOOKUP('Customer Info'!A165,'Customer Info'!A165:A264,'Customer Info'!E165:E264,0,0)</f>
        <v>0</v>
      </c>
      <c r="J1172" s="1">
        <f>_xlfn.XLOOKUP('Customer Info'!A165,'Customer Info'!A165:A264,'Customer Info'!M165:M264)</f>
        <v>0</v>
      </c>
    </row>
    <row r="1173" spans="1:10" ht="14" x14ac:dyDescent="0.2">
      <c r="A1173" s="2" t="s">
        <v>54</v>
      </c>
      <c r="B1173" s="2">
        <v>5</v>
      </c>
      <c r="C1173" s="2">
        <v>12</v>
      </c>
      <c r="D1173" s="2">
        <v>2021</v>
      </c>
      <c r="E1173" s="2">
        <v>130.19999999999999</v>
      </c>
      <c r="F1173" s="2">
        <v>93.93</v>
      </c>
      <c r="H1173" s="1">
        <f>_xlfn.XLOOKUP('Customer Info'!A1398,'Customer Info'!A1398:A1497,'Customer Info'!E1398:E1497,0,0)</f>
        <v>0</v>
      </c>
      <c r="J1173" s="1">
        <f>_xlfn.XLOOKUP('Customer Info'!A1398,'Customer Info'!A1398:A1497,'Customer Info'!M1398:M1497)</f>
        <v>0</v>
      </c>
    </row>
    <row r="1174" spans="1:10" ht="14" x14ac:dyDescent="0.2">
      <c r="A1174" s="2" t="s">
        <v>59</v>
      </c>
      <c r="B1174" s="2">
        <v>11</v>
      </c>
      <c r="C1174" s="2">
        <v>1</v>
      </c>
      <c r="D1174" s="2">
        <v>2021</v>
      </c>
      <c r="E1174" s="2">
        <v>118.42</v>
      </c>
      <c r="F1174" s="2">
        <v>93.93</v>
      </c>
      <c r="H1174" s="1">
        <f>_xlfn.XLOOKUP('Customer Info'!A1446,'Customer Info'!A1446:A1545,'Customer Info'!E1446:E1545,0,0)</f>
        <v>0</v>
      </c>
      <c r="J1174" s="1">
        <f>_xlfn.XLOOKUP('Customer Info'!A1446,'Customer Info'!A1446:A1545,'Customer Info'!M1446:M1545)</f>
        <v>0</v>
      </c>
    </row>
    <row r="1175" spans="1:10" ht="14" x14ac:dyDescent="0.2">
      <c r="A1175" s="2" t="s">
        <v>86</v>
      </c>
      <c r="B1175" s="2">
        <v>6</v>
      </c>
      <c r="C1175" s="2">
        <v>10</v>
      </c>
      <c r="D1175" s="2">
        <v>2021</v>
      </c>
      <c r="E1175" s="2">
        <v>90.52</v>
      </c>
      <c r="F1175" s="2">
        <v>93.93</v>
      </c>
      <c r="H1175" s="1">
        <f>_xlfn.XLOOKUP('Customer Info'!A1610,'Customer Info'!A1610:A1709,'Customer Info'!E1610:E1709,0,0)</f>
        <v>0</v>
      </c>
      <c r="J1175" s="1">
        <f>_xlfn.XLOOKUP('Customer Info'!A1610,'Customer Info'!A1610:A1709,'Customer Info'!M1610:M1709)</f>
        <v>0</v>
      </c>
    </row>
    <row r="1176" spans="1:10" ht="14" x14ac:dyDescent="0.2">
      <c r="A1176" s="2" t="s">
        <v>65</v>
      </c>
      <c r="B1176" s="2">
        <v>11</v>
      </c>
      <c r="C1176" s="2">
        <v>10</v>
      </c>
      <c r="D1176" s="2">
        <v>2021</v>
      </c>
      <c r="E1176" s="2">
        <v>87.42</v>
      </c>
      <c r="F1176" s="2">
        <v>93.93</v>
      </c>
      <c r="H1176" s="1">
        <f>_xlfn.XLOOKUP('Customer Info'!A1624,'Customer Info'!A1624:A1723,'Customer Info'!E1624:E1723,0,0)</f>
        <v>0</v>
      </c>
      <c r="J1176" s="1">
        <f>_xlfn.XLOOKUP('Customer Info'!A1624,'Customer Info'!A1624:A1723,'Customer Info'!M1624:M1723)</f>
        <v>0</v>
      </c>
    </row>
    <row r="1177" spans="1:10" ht="14" x14ac:dyDescent="0.2">
      <c r="A1177" s="2" t="s">
        <v>64</v>
      </c>
      <c r="B1177" s="2">
        <v>21</v>
      </c>
      <c r="C1177" s="2">
        <v>10</v>
      </c>
      <c r="D1177" s="2">
        <v>2021</v>
      </c>
      <c r="E1177" s="2">
        <v>79.67</v>
      </c>
      <c r="F1177" s="2">
        <v>93.93</v>
      </c>
      <c r="H1177" s="1">
        <f>_xlfn.XLOOKUP('Customer Info'!A1666,'Customer Info'!A1666:A1765,'Customer Info'!E1666:E1765,0,0)</f>
        <v>0</v>
      </c>
      <c r="J1177" s="1">
        <f>_xlfn.XLOOKUP('Customer Info'!A1666,'Customer Info'!A1666:A1765,'Customer Info'!M1666:M1765)</f>
        <v>0</v>
      </c>
    </row>
    <row r="1178" spans="1:10" ht="14" hidden="1" x14ac:dyDescent="0.2">
      <c r="A1178" s="2" t="s">
        <v>92</v>
      </c>
      <c r="B1178" s="2">
        <v>7</v>
      </c>
      <c r="C1178" s="2">
        <v>7</v>
      </c>
      <c r="D1178" s="2">
        <v>2020</v>
      </c>
      <c r="E1178" s="2">
        <v>73.78</v>
      </c>
      <c r="F1178" s="2">
        <v>93.93</v>
      </c>
      <c r="H1178" s="1">
        <f>_xlfn.XLOOKUP('Customer Info'!A476,'Customer Info'!A476:A575,'Customer Info'!E476:E575,0,0)</f>
        <v>0</v>
      </c>
      <c r="J1178" s="1">
        <f>_xlfn.XLOOKUP('Customer Info'!A476,'Customer Info'!A476:A575,'Customer Info'!M476:M575)</f>
        <v>0</v>
      </c>
    </row>
    <row r="1179" spans="1:10" ht="14" hidden="1" x14ac:dyDescent="0.2">
      <c r="A1179" s="2" t="s">
        <v>3</v>
      </c>
      <c r="B1179" s="2">
        <v>25</v>
      </c>
      <c r="C1179" s="2">
        <v>7</v>
      </c>
      <c r="D1179" s="2">
        <v>2020</v>
      </c>
      <c r="E1179" s="2">
        <v>0</v>
      </c>
      <c r="F1179" s="2">
        <v>93.93</v>
      </c>
      <c r="H1179" s="1">
        <f>_xlfn.XLOOKUP('Customer Info'!A1197,'Customer Info'!A1197:A1296,'Customer Info'!E1197:E1296,0,0)</f>
        <v>0</v>
      </c>
      <c r="J1179" s="1">
        <f>_xlfn.XLOOKUP('Customer Info'!A1197,'Customer Info'!A1197:A1296,'Customer Info'!M1197:M1296)</f>
        <v>0</v>
      </c>
    </row>
    <row r="1180" spans="1:10" ht="14" hidden="1" x14ac:dyDescent="0.2">
      <c r="A1180" s="2" t="s">
        <v>83</v>
      </c>
      <c r="B1180" s="2">
        <v>25</v>
      </c>
      <c r="C1180" s="2">
        <v>4</v>
      </c>
      <c r="D1180" s="2">
        <v>2020</v>
      </c>
      <c r="E1180" s="2">
        <v>96.9</v>
      </c>
      <c r="F1180" s="2">
        <v>93.9</v>
      </c>
      <c r="H1180" s="1">
        <f>_xlfn.XLOOKUP('Customer Info'!A353,'Customer Info'!A353:A452,'Customer Info'!E353:E452,0,0)</f>
        <v>0</v>
      </c>
      <c r="J1180" s="1">
        <f>_xlfn.XLOOKUP('Customer Info'!A353,'Customer Info'!A353:A452,'Customer Info'!M353:M452)</f>
        <v>0</v>
      </c>
    </row>
    <row r="1181" spans="1:10" ht="14" hidden="1" x14ac:dyDescent="0.2">
      <c r="A1181" s="2" t="s">
        <v>79</v>
      </c>
      <c r="B1181" s="2">
        <v>3</v>
      </c>
      <c r="C1181" s="2">
        <v>6</v>
      </c>
      <c r="D1181" s="2">
        <v>2020</v>
      </c>
      <c r="E1181" s="2">
        <v>49.8</v>
      </c>
      <c r="F1181" s="2">
        <v>93.9</v>
      </c>
      <c r="H1181" s="1">
        <f>_xlfn.XLOOKUP('Customer Info'!A646,'Customer Info'!A646:A745,'Customer Info'!E646:E745,0,0)</f>
        <v>0</v>
      </c>
      <c r="J1181" s="1">
        <f>_xlfn.XLOOKUP('Customer Info'!A646,'Customer Info'!A646:A745,'Customer Info'!M646:M745)</f>
        <v>0</v>
      </c>
    </row>
    <row r="1182" spans="1:10" ht="14" x14ac:dyDescent="0.2">
      <c r="A1182" s="2" t="s">
        <v>52</v>
      </c>
      <c r="B1182" s="2">
        <v>1</v>
      </c>
      <c r="C1182" s="2">
        <v>9</v>
      </c>
      <c r="D1182" s="2">
        <v>2021</v>
      </c>
      <c r="E1182" s="2">
        <v>32.1</v>
      </c>
      <c r="F1182" s="2">
        <v>93.9</v>
      </c>
      <c r="H1182" s="1">
        <f>_xlfn.XLOOKUP('Customer Info'!A2007,'Customer Info'!A2007:A2106,'Customer Info'!E2007:E2106,0,0)</f>
        <v>0</v>
      </c>
      <c r="J1182" s="1">
        <f>_xlfn.XLOOKUP('Customer Info'!A2007,'Customer Info'!A2007:A2106,'Customer Info'!M2007:M2106)</f>
        <v>0</v>
      </c>
    </row>
    <row r="1183" spans="1:10" ht="14" hidden="1" x14ac:dyDescent="0.2">
      <c r="A1183" s="2" t="s">
        <v>5</v>
      </c>
      <c r="B1183" s="2">
        <v>7</v>
      </c>
      <c r="C1183" s="2">
        <v>6</v>
      </c>
      <c r="D1183" s="2">
        <v>2020</v>
      </c>
      <c r="E1183" s="2">
        <v>0</v>
      </c>
      <c r="F1183" s="2">
        <v>93.9</v>
      </c>
      <c r="H1183" s="1">
        <f>_xlfn.XLOOKUP('Customer Info'!A1198,'Customer Info'!A1198:A1297,'Customer Info'!E1198:E1297,0,0)</f>
        <v>0</v>
      </c>
      <c r="J1183" s="1">
        <f>_xlfn.XLOOKUP('Customer Info'!A1198,'Customer Info'!A1198:A1297,'Customer Info'!M1198:M1297)</f>
        <v>0</v>
      </c>
    </row>
    <row r="1184" spans="1:10" ht="14" hidden="1" x14ac:dyDescent="0.2">
      <c r="A1184" s="2" t="s">
        <v>72</v>
      </c>
      <c r="B1184" s="2">
        <v>22</v>
      </c>
      <c r="C1184" s="2">
        <v>1</v>
      </c>
      <c r="D1184" s="2">
        <v>2020</v>
      </c>
      <c r="E1184" s="2">
        <v>125.24</v>
      </c>
      <c r="F1184" s="2">
        <v>93.62</v>
      </c>
      <c r="H1184" s="1">
        <f>_xlfn.XLOOKUP('Customer Info'!A187,'Customer Info'!A187:A286,'Customer Info'!E187:E286,0,0)</f>
        <v>0</v>
      </c>
      <c r="J1184" s="1">
        <f>_xlfn.XLOOKUP('Customer Info'!A187,'Customer Info'!A187:A286,'Customer Info'!M187:M286)</f>
        <v>0</v>
      </c>
    </row>
    <row r="1185" spans="1:10" ht="14" hidden="1" x14ac:dyDescent="0.2">
      <c r="A1185" s="2" t="s">
        <v>80</v>
      </c>
      <c r="B1185" s="2">
        <v>12</v>
      </c>
      <c r="C1185" s="2">
        <v>12</v>
      </c>
      <c r="D1185" s="2">
        <v>2020</v>
      </c>
      <c r="E1185" s="2">
        <v>117.8</v>
      </c>
      <c r="F1185" s="2">
        <v>93.62</v>
      </c>
      <c r="H1185" s="1">
        <f>_xlfn.XLOOKUP('Customer Info'!A215,'Customer Info'!A215:A314,'Customer Info'!E215:E314,0,0)</f>
        <v>0</v>
      </c>
      <c r="J1185" s="1">
        <f>_xlfn.XLOOKUP('Customer Info'!A215,'Customer Info'!A215:A314,'Customer Info'!M215:M314)</f>
        <v>0</v>
      </c>
    </row>
    <row r="1186" spans="1:10" ht="14" x14ac:dyDescent="0.2">
      <c r="A1186" s="2" t="s">
        <v>78</v>
      </c>
      <c r="B1186" s="2">
        <v>18</v>
      </c>
      <c r="C1186" s="2">
        <v>10</v>
      </c>
      <c r="D1186" s="2">
        <v>2021</v>
      </c>
      <c r="E1186" s="2">
        <v>78.739999999999995</v>
      </c>
      <c r="F1186" s="2">
        <v>93.62</v>
      </c>
      <c r="H1186" s="1">
        <f>_xlfn.XLOOKUP('Customer Info'!A1674,'Customer Info'!A1674:A1773,'Customer Info'!E1674:E1773,0,0)</f>
        <v>0</v>
      </c>
      <c r="J1186" s="1">
        <f>_xlfn.XLOOKUP('Customer Info'!A1674,'Customer Info'!A1674:A1773,'Customer Info'!M1674:M1773)</f>
        <v>0</v>
      </c>
    </row>
    <row r="1187" spans="1:10" ht="14" hidden="1" x14ac:dyDescent="0.2">
      <c r="A1187" s="2" t="s">
        <v>54</v>
      </c>
      <c r="B1187" s="2">
        <v>5</v>
      </c>
      <c r="C1187" s="2">
        <v>3</v>
      </c>
      <c r="D1187" s="2">
        <v>2020</v>
      </c>
      <c r="E1187" s="2">
        <v>66.959999999999994</v>
      </c>
      <c r="F1187" s="2">
        <v>93.62</v>
      </c>
      <c r="H1187" s="1">
        <f>_xlfn.XLOOKUP('Customer Info'!A528,'Customer Info'!A528:A627,'Customer Info'!E528:E627,0,0)</f>
        <v>0</v>
      </c>
      <c r="J1187" s="1">
        <f>_xlfn.XLOOKUP('Customer Info'!A528,'Customer Info'!A528:A627,'Customer Info'!M528:M627)</f>
        <v>0</v>
      </c>
    </row>
    <row r="1188" spans="1:10" ht="14" hidden="1" x14ac:dyDescent="0.2">
      <c r="A1188" s="2" t="s">
        <v>90</v>
      </c>
      <c r="B1188" s="2">
        <v>18</v>
      </c>
      <c r="C1188" s="2">
        <v>9</v>
      </c>
      <c r="D1188" s="2">
        <v>2020</v>
      </c>
      <c r="E1188" s="2">
        <v>69.3</v>
      </c>
      <c r="F1188" s="2">
        <v>93.6</v>
      </c>
      <c r="H1188" s="1">
        <f>_xlfn.XLOOKUP('Customer Info'!A512,'Customer Info'!A512:A611,'Customer Info'!E512:E611,0,0)</f>
        <v>0</v>
      </c>
      <c r="J1188" s="1">
        <f>_xlfn.XLOOKUP('Customer Info'!A512,'Customer Info'!A512:A611,'Customer Info'!M512:M611)</f>
        <v>0</v>
      </c>
    </row>
    <row r="1189" spans="1:10" ht="14" hidden="1" x14ac:dyDescent="0.2">
      <c r="A1189" s="2" t="s">
        <v>69</v>
      </c>
      <c r="B1189" s="2">
        <v>12</v>
      </c>
      <c r="C1189" s="2">
        <v>6</v>
      </c>
      <c r="D1189" s="2">
        <v>2020</v>
      </c>
      <c r="E1189" s="2">
        <v>41.7</v>
      </c>
      <c r="F1189" s="2">
        <v>93.6</v>
      </c>
      <c r="H1189" s="1">
        <f>_xlfn.XLOOKUP('Customer Info'!A718,'Customer Info'!A718:A817,'Customer Info'!E718:E817,0,0)</f>
        <v>0</v>
      </c>
      <c r="J1189" s="1">
        <f>_xlfn.XLOOKUP('Customer Info'!A718,'Customer Info'!A718:A817,'Customer Info'!M718:M817)</f>
        <v>0</v>
      </c>
    </row>
    <row r="1190" spans="1:10" ht="14" hidden="1" x14ac:dyDescent="0.2">
      <c r="A1190" s="2" t="s">
        <v>52</v>
      </c>
      <c r="B1190" s="2">
        <v>1</v>
      </c>
      <c r="C1190" s="2">
        <v>9</v>
      </c>
      <c r="D1190" s="2">
        <v>2020</v>
      </c>
      <c r="E1190" s="2">
        <v>40.799999999999997</v>
      </c>
      <c r="F1190" s="2">
        <v>93.6</v>
      </c>
      <c r="H1190" s="1">
        <f>_xlfn.XLOOKUP('Customer Info'!A726,'Customer Info'!A726:A825,'Customer Info'!E726:E825,0,0)</f>
        <v>0</v>
      </c>
      <c r="J1190" s="1">
        <f>_xlfn.XLOOKUP('Customer Info'!A726,'Customer Info'!A726:A825,'Customer Info'!M726:M825)</f>
        <v>0</v>
      </c>
    </row>
    <row r="1191" spans="1:10" ht="14" x14ac:dyDescent="0.2">
      <c r="A1191" s="2" t="s">
        <v>79</v>
      </c>
      <c r="B1191" s="2">
        <v>3</v>
      </c>
      <c r="C1191" s="2">
        <v>2</v>
      </c>
      <c r="D1191" s="2">
        <v>2021</v>
      </c>
      <c r="E1191" s="2">
        <v>117.04</v>
      </c>
      <c r="F1191" s="2">
        <v>93.52</v>
      </c>
      <c r="H1191" s="1">
        <f>_xlfn.XLOOKUP('Customer Info'!A1451,'Customer Info'!A1451:A1550,'Customer Info'!E1451:E1550,0,0)</f>
        <v>0</v>
      </c>
      <c r="J1191" s="1">
        <f>_xlfn.XLOOKUP('Customer Info'!A1451,'Customer Info'!A1451:A1550,'Customer Info'!M1451:M1550)</f>
        <v>0</v>
      </c>
    </row>
    <row r="1192" spans="1:10" ht="14" hidden="1" x14ac:dyDescent="0.2">
      <c r="A1192" s="2" t="s">
        <v>5</v>
      </c>
      <c r="B1192" s="2">
        <v>7</v>
      </c>
      <c r="C1192" s="2">
        <v>5</v>
      </c>
      <c r="D1192" s="2">
        <v>2020</v>
      </c>
      <c r="E1192" s="1" t="s">
        <v>94</v>
      </c>
      <c r="F1192" s="2">
        <v>93.31</v>
      </c>
      <c r="H1192" s="1">
        <f>_xlfn.XLOOKUP('Customer Info'!A107,'Customer Info'!A107:A206,'Customer Info'!E107:E206,0,0)</f>
        <v>0</v>
      </c>
      <c r="J1192" s="1">
        <f>_xlfn.XLOOKUP('Customer Info'!A107,'Customer Info'!A107:A206,'Customer Info'!M107:M206)</f>
        <v>0</v>
      </c>
    </row>
    <row r="1193" spans="1:10" ht="14" hidden="1" x14ac:dyDescent="0.2">
      <c r="A1193" s="2" t="s">
        <v>90</v>
      </c>
      <c r="B1193" s="2">
        <v>18</v>
      </c>
      <c r="C1193" s="2">
        <v>3</v>
      </c>
      <c r="D1193" s="2">
        <v>2020</v>
      </c>
      <c r="E1193" s="2">
        <v>97.65</v>
      </c>
      <c r="F1193" s="2">
        <v>93.31</v>
      </c>
      <c r="H1193" s="1">
        <f>_xlfn.XLOOKUP('Customer Info'!A349,'Customer Info'!A349:A448,'Customer Info'!E349:E448,0,0)</f>
        <v>0</v>
      </c>
      <c r="J1193" s="1">
        <f>_xlfn.XLOOKUP('Customer Info'!A349,'Customer Info'!A349:A448,'Customer Info'!M349:M448)</f>
        <v>0</v>
      </c>
    </row>
    <row r="1194" spans="1:10" ht="14" x14ac:dyDescent="0.2">
      <c r="A1194" s="2" t="s">
        <v>59</v>
      </c>
      <c r="B1194" s="2">
        <v>11</v>
      </c>
      <c r="C1194" s="2">
        <v>10</v>
      </c>
      <c r="D1194" s="2">
        <v>2021</v>
      </c>
      <c r="E1194" s="2">
        <v>77.81</v>
      </c>
      <c r="F1194" s="2">
        <v>93.31</v>
      </c>
      <c r="H1194" s="1">
        <f>_xlfn.XLOOKUP('Customer Info'!A1679,'Customer Info'!A1679:A1778,'Customer Info'!E1679:E1778,0,0)</f>
        <v>0</v>
      </c>
      <c r="J1194" s="1">
        <f>_xlfn.XLOOKUP('Customer Info'!A1679,'Customer Info'!A1679:A1778,'Customer Info'!M1679:M1778)</f>
        <v>0</v>
      </c>
    </row>
    <row r="1195" spans="1:10" ht="14" x14ac:dyDescent="0.2">
      <c r="A1195" s="2" t="s">
        <v>61</v>
      </c>
      <c r="B1195" s="2">
        <v>23</v>
      </c>
      <c r="C1195" s="2">
        <v>3</v>
      </c>
      <c r="D1195" s="2">
        <v>2021</v>
      </c>
      <c r="E1195" s="2">
        <v>73.16</v>
      </c>
      <c r="F1195" s="2">
        <v>93.31</v>
      </c>
      <c r="H1195" s="1">
        <f>_xlfn.XLOOKUP('Customer Info'!A1709,'Customer Info'!A1709:A1808,'Customer Info'!E1709:E1808,0,0)</f>
        <v>0</v>
      </c>
      <c r="J1195" s="1">
        <f>_xlfn.XLOOKUP('Customer Info'!A1709,'Customer Info'!A1709:A1808,'Customer Info'!M1709:M1808)</f>
        <v>0</v>
      </c>
    </row>
    <row r="1196" spans="1:10" ht="14" x14ac:dyDescent="0.2">
      <c r="A1196" s="2" t="s">
        <v>34</v>
      </c>
      <c r="B1196" s="2">
        <v>4</v>
      </c>
      <c r="C1196" s="2">
        <v>3</v>
      </c>
      <c r="D1196" s="2">
        <v>2021</v>
      </c>
      <c r="E1196" s="2">
        <v>59.83</v>
      </c>
      <c r="F1196" s="2">
        <v>93.31</v>
      </c>
      <c r="H1196" s="1">
        <f>_xlfn.XLOOKUP('Customer Info'!A1806,'Customer Info'!A1806:A1905,'Customer Info'!E1806:E1905,0,0)</f>
        <v>0</v>
      </c>
      <c r="J1196" s="1">
        <f>_xlfn.XLOOKUP('Customer Info'!A1806,'Customer Info'!A1806:A1905,'Customer Info'!M1806:M1905)</f>
        <v>0</v>
      </c>
    </row>
    <row r="1197" spans="1:10" ht="14" hidden="1" x14ac:dyDescent="0.2">
      <c r="A1197" s="2" t="s">
        <v>69</v>
      </c>
      <c r="B1197" s="2">
        <v>12</v>
      </c>
      <c r="C1197" s="2">
        <v>8</v>
      </c>
      <c r="D1197" s="2">
        <v>2020</v>
      </c>
      <c r="E1197" s="2">
        <v>42.78</v>
      </c>
      <c r="F1197" s="2">
        <v>93.31</v>
      </c>
      <c r="H1197" s="1">
        <f>_xlfn.XLOOKUP('Customer Info'!A709,'Customer Info'!A709:A808,'Customer Info'!E709:E808,0,0)</f>
        <v>0</v>
      </c>
      <c r="J1197" s="1">
        <f>_xlfn.XLOOKUP('Customer Info'!A709,'Customer Info'!A709:A808,'Customer Info'!M709:M808)</f>
        <v>0</v>
      </c>
    </row>
    <row r="1198" spans="1:10" ht="14" hidden="1" x14ac:dyDescent="0.2">
      <c r="A1198" s="2" t="s">
        <v>54</v>
      </c>
      <c r="B1198" s="2">
        <v>5</v>
      </c>
      <c r="C1198" s="2">
        <v>7</v>
      </c>
      <c r="D1198" s="2">
        <v>2020</v>
      </c>
      <c r="E1198" s="2">
        <v>37.82</v>
      </c>
      <c r="F1198" s="2">
        <v>93.31</v>
      </c>
      <c r="H1198" s="1">
        <f>_xlfn.XLOOKUP('Customer Info'!A752,'Customer Info'!A752:A851,'Customer Info'!E752:E851,0,0)</f>
        <v>0</v>
      </c>
      <c r="J1198" s="1">
        <f>_xlfn.XLOOKUP('Customer Info'!A752,'Customer Info'!A752:A851,'Customer Info'!M752:M851)</f>
        <v>0</v>
      </c>
    </row>
    <row r="1199" spans="1:10" ht="14" x14ac:dyDescent="0.2">
      <c r="A1199" s="2" t="s">
        <v>43</v>
      </c>
      <c r="B1199" s="2">
        <v>15</v>
      </c>
      <c r="C1199" s="2">
        <v>7</v>
      </c>
      <c r="D1199" s="2">
        <v>2021</v>
      </c>
      <c r="E1199" s="2">
        <v>37.200000000000003</v>
      </c>
      <c r="F1199" s="2">
        <v>93.31</v>
      </c>
      <c r="H1199" s="1">
        <f>_xlfn.XLOOKUP('Customer Info'!A1969,'Customer Info'!A1969:A2068,'Customer Info'!E1969:E2068,0,0)</f>
        <v>0</v>
      </c>
      <c r="J1199" s="1">
        <f>_xlfn.XLOOKUP('Customer Info'!A1969,'Customer Info'!A1969:A2068,'Customer Info'!M1969:M2068)</f>
        <v>0</v>
      </c>
    </row>
    <row r="1200" spans="1:10" ht="14" hidden="1" x14ac:dyDescent="0.2">
      <c r="A1200" s="2" t="s">
        <v>41</v>
      </c>
      <c r="B1200" s="2">
        <v>15</v>
      </c>
      <c r="C1200" s="2">
        <v>11</v>
      </c>
      <c r="D1200" s="2">
        <v>2020</v>
      </c>
      <c r="E1200" s="2">
        <v>104.1</v>
      </c>
      <c r="F1200" s="2">
        <v>93.3</v>
      </c>
      <c r="H1200" s="1">
        <f>_xlfn.XLOOKUP('Customer Info'!A301,'Customer Info'!A301:A400,'Customer Info'!E301:E400,0,0)</f>
        <v>0</v>
      </c>
      <c r="J1200" s="1">
        <f>_xlfn.XLOOKUP('Customer Info'!A301,'Customer Info'!A301:A400,'Customer Info'!M301:M400)</f>
        <v>0</v>
      </c>
    </row>
    <row r="1201" spans="1:10" ht="14" hidden="1" x14ac:dyDescent="0.2">
      <c r="A1201" s="2" t="s">
        <v>68</v>
      </c>
      <c r="B1201" s="2">
        <v>11</v>
      </c>
      <c r="C1201" s="2">
        <v>9</v>
      </c>
      <c r="D1201" s="2">
        <v>2020</v>
      </c>
      <c r="E1201" s="2">
        <v>50.7</v>
      </c>
      <c r="F1201" s="2">
        <v>93.3</v>
      </c>
      <c r="H1201" s="1">
        <f>_xlfn.XLOOKUP('Customer Info'!A639,'Customer Info'!A639:A738,'Customer Info'!E639:E738,0,0)</f>
        <v>0</v>
      </c>
      <c r="J1201" s="1">
        <f>_xlfn.XLOOKUP('Customer Info'!A639,'Customer Info'!A639:A738,'Customer Info'!M639:M738)</f>
        <v>0</v>
      </c>
    </row>
    <row r="1202" spans="1:10" ht="14" x14ac:dyDescent="0.2">
      <c r="A1202" s="2" t="s">
        <v>71</v>
      </c>
      <c r="B1202" s="2">
        <v>21</v>
      </c>
      <c r="C1202" s="2">
        <v>2</v>
      </c>
      <c r="D1202" s="2">
        <v>2021</v>
      </c>
      <c r="E1202" s="2">
        <v>133</v>
      </c>
      <c r="F1202" s="2">
        <v>93.24</v>
      </c>
      <c r="H1202" s="1">
        <f>_xlfn.XLOOKUP('Customer Info'!A1390,'Customer Info'!A1390:A1489,'Customer Info'!E1390:E1489,0,0)</f>
        <v>0</v>
      </c>
      <c r="J1202" s="1">
        <f>_xlfn.XLOOKUP('Customer Info'!A1390,'Customer Info'!A1390:A1489,'Customer Info'!M1390:M1489)</f>
        <v>0</v>
      </c>
    </row>
    <row r="1203" spans="1:10" ht="14" hidden="1" x14ac:dyDescent="0.2">
      <c r="A1203" s="2" t="s">
        <v>88</v>
      </c>
      <c r="B1203" s="2">
        <v>23</v>
      </c>
      <c r="C1203" s="2">
        <v>11</v>
      </c>
      <c r="D1203" s="2">
        <v>2020</v>
      </c>
      <c r="E1203" s="2">
        <v>148.5</v>
      </c>
      <c r="F1203" s="2">
        <v>93</v>
      </c>
      <c r="H1203" s="1">
        <f>_xlfn.XLOOKUP('Customer Info'!A152,'Customer Info'!A152:A251,'Customer Info'!E152:E251,0,0)</f>
        <v>0</v>
      </c>
      <c r="J1203" s="1">
        <f>_xlfn.XLOOKUP('Customer Info'!A152,'Customer Info'!A152:A251,'Customer Info'!M152:M251)</f>
        <v>0</v>
      </c>
    </row>
    <row r="1204" spans="1:10" ht="14" x14ac:dyDescent="0.2">
      <c r="A1204" s="2" t="s">
        <v>84</v>
      </c>
      <c r="B1204" s="2">
        <v>20</v>
      </c>
      <c r="C1204" s="2">
        <v>11</v>
      </c>
      <c r="D1204" s="2">
        <v>2021</v>
      </c>
      <c r="E1204" s="2">
        <v>144</v>
      </c>
      <c r="F1204" s="2">
        <v>93</v>
      </c>
      <c r="H1204" s="1">
        <f>_xlfn.XLOOKUP('Customer Info'!A1358,'Customer Info'!A1358:A1457,'Customer Info'!E1358:E1457,0,0)</f>
        <v>0</v>
      </c>
      <c r="J1204" s="1">
        <f>_xlfn.XLOOKUP('Customer Info'!A1358,'Customer Info'!A1358:A1457,'Customer Info'!M1358:M1457)</f>
        <v>0</v>
      </c>
    </row>
    <row r="1205" spans="1:10" ht="14" x14ac:dyDescent="0.2">
      <c r="A1205" s="2" t="s">
        <v>92</v>
      </c>
      <c r="B1205" s="2">
        <v>7</v>
      </c>
      <c r="C1205" s="2">
        <v>3</v>
      </c>
      <c r="D1205" s="2">
        <v>2021</v>
      </c>
      <c r="E1205" s="2">
        <v>106.64</v>
      </c>
      <c r="F1205" s="2">
        <v>93</v>
      </c>
      <c r="H1205" s="1">
        <f>_xlfn.XLOOKUP('Customer Info'!A1517,'Customer Info'!A1517:A1616,'Customer Info'!E1517:E1616,0,0)</f>
        <v>0</v>
      </c>
      <c r="J1205" s="1">
        <f>_xlfn.XLOOKUP('Customer Info'!A1517,'Customer Info'!A1517:A1616,'Customer Info'!M1517:M1616)</f>
        <v>0</v>
      </c>
    </row>
    <row r="1206" spans="1:10" ht="14" hidden="1" x14ac:dyDescent="0.2">
      <c r="A1206" s="2" t="s">
        <v>93</v>
      </c>
      <c r="B1206" s="2">
        <v>3</v>
      </c>
      <c r="C1206" s="2">
        <v>4</v>
      </c>
      <c r="D1206" s="2">
        <v>2020</v>
      </c>
      <c r="E1206" s="2">
        <v>105.3</v>
      </c>
      <c r="F1206" s="2">
        <v>93</v>
      </c>
      <c r="H1206" s="1">
        <f>_xlfn.XLOOKUP('Customer Info'!A292,'Customer Info'!A292:A391,'Customer Info'!E292:E391,0,0)</f>
        <v>0</v>
      </c>
      <c r="J1206" s="1">
        <f>_xlfn.XLOOKUP('Customer Info'!A292,'Customer Info'!A292:A391,'Customer Info'!M292:M391)</f>
        <v>0</v>
      </c>
    </row>
    <row r="1207" spans="1:10" ht="14" hidden="1" x14ac:dyDescent="0.2">
      <c r="A1207" s="2" t="s">
        <v>86</v>
      </c>
      <c r="B1207" s="2">
        <v>6</v>
      </c>
      <c r="C1207" s="2">
        <v>10</v>
      </c>
      <c r="D1207" s="2">
        <v>2020</v>
      </c>
      <c r="E1207" s="2">
        <v>88.35</v>
      </c>
      <c r="F1207" s="2">
        <v>93</v>
      </c>
      <c r="H1207" s="1">
        <f>_xlfn.XLOOKUP('Customer Info'!A404,'Customer Info'!A404:A503,'Customer Info'!E404:E503,0,0)</f>
        <v>0</v>
      </c>
      <c r="J1207" s="1">
        <f>_xlfn.XLOOKUP('Customer Info'!A404,'Customer Info'!A404:A503,'Customer Info'!M404:M503)</f>
        <v>0</v>
      </c>
    </row>
    <row r="1208" spans="1:10" ht="14" hidden="1" x14ac:dyDescent="0.2">
      <c r="A1208" s="2" t="s">
        <v>93</v>
      </c>
      <c r="B1208" s="2">
        <v>3</v>
      </c>
      <c r="C1208" s="2">
        <v>9</v>
      </c>
      <c r="D1208" s="2">
        <v>2020</v>
      </c>
      <c r="E1208" s="2">
        <v>78</v>
      </c>
      <c r="F1208" s="2">
        <v>93</v>
      </c>
      <c r="H1208" s="1">
        <f>_xlfn.XLOOKUP('Customer Info'!A449,'Customer Info'!A449:A548,'Customer Info'!E449:E548,0,0)</f>
        <v>0</v>
      </c>
      <c r="J1208" s="1">
        <f>_xlfn.XLOOKUP('Customer Info'!A449,'Customer Info'!A449:A548,'Customer Info'!M449:M548)</f>
        <v>0</v>
      </c>
    </row>
    <row r="1209" spans="1:10" ht="14" hidden="1" x14ac:dyDescent="0.2">
      <c r="A1209" s="2" t="s">
        <v>79</v>
      </c>
      <c r="B1209" s="2">
        <v>3</v>
      </c>
      <c r="C1209" s="2">
        <v>4</v>
      </c>
      <c r="D1209" s="2">
        <v>2020</v>
      </c>
      <c r="E1209" s="2">
        <v>75.900000000000006</v>
      </c>
      <c r="F1209" s="2">
        <v>93</v>
      </c>
      <c r="H1209" s="1">
        <f>_xlfn.XLOOKUP('Customer Info'!A466,'Customer Info'!A466:A565,'Customer Info'!E466:E565,0,0)</f>
        <v>0</v>
      </c>
      <c r="J1209" s="1">
        <f>_xlfn.XLOOKUP('Customer Info'!A466,'Customer Info'!A466:A565,'Customer Info'!M466:M565)</f>
        <v>0</v>
      </c>
    </row>
    <row r="1210" spans="1:10" ht="14" hidden="1" x14ac:dyDescent="0.2">
      <c r="A1210" s="2" t="s">
        <v>44</v>
      </c>
      <c r="B1210" s="2">
        <v>1</v>
      </c>
      <c r="C1210" s="2">
        <v>3</v>
      </c>
      <c r="D1210" s="2">
        <v>2020</v>
      </c>
      <c r="E1210" s="2">
        <v>63.24</v>
      </c>
      <c r="F1210" s="2">
        <v>93</v>
      </c>
      <c r="H1210" s="1">
        <f>_xlfn.XLOOKUP('Customer Info'!A563,'Customer Info'!A563:A662,'Customer Info'!E563:E662,0,0)</f>
        <v>0</v>
      </c>
      <c r="J1210" s="1">
        <f>_xlfn.XLOOKUP('Customer Info'!A563,'Customer Info'!A563:A662,'Customer Info'!M563:M662)</f>
        <v>0</v>
      </c>
    </row>
    <row r="1211" spans="1:10" ht="14" x14ac:dyDescent="0.2">
      <c r="A1211" s="2" t="s">
        <v>60</v>
      </c>
      <c r="B1211" s="2">
        <v>20</v>
      </c>
      <c r="C1211" s="2">
        <v>6</v>
      </c>
      <c r="D1211" s="2">
        <v>2021</v>
      </c>
      <c r="E1211" s="2">
        <v>48.9</v>
      </c>
      <c r="F1211" s="2">
        <v>93</v>
      </c>
      <c r="H1211" s="1">
        <f>_xlfn.XLOOKUP('Customer Info'!A1877,'Customer Info'!A1877:A1976,'Customer Info'!E1877:E1976,0,0)</f>
        <v>0</v>
      </c>
      <c r="J1211" s="1">
        <f>_xlfn.XLOOKUP('Customer Info'!A1877,'Customer Info'!A1877:A1976,'Customer Info'!M1877:M1976)</f>
        <v>0</v>
      </c>
    </row>
    <row r="1212" spans="1:10" ht="14" hidden="1" x14ac:dyDescent="0.2">
      <c r="A1212" s="2" t="s">
        <v>61</v>
      </c>
      <c r="B1212" s="2">
        <v>23</v>
      </c>
      <c r="C1212" s="2">
        <v>2</v>
      </c>
      <c r="D1212" s="2">
        <v>2020</v>
      </c>
      <c r="E1212" s="2">
        <v>115.64</v>
      </c>
      <c r="F1212" s="2">
        <v>92.96</v>
      </c>
      <c r="H1212" s="1">
        <f>_xlfn.XLOOKUP('Customer Info'!A224,'Customer Info'!A224:A323,'Customer Info'!E224:E323,0,0)</f>
        <v>0</v>
      </c>
      <c r="J1212" s="1">
        <f>_xlfn.XLOOKUP('Customer Info'!A224,'Customer Info'!A224:A323,'Customer Info'!M224:M323)</f>
        <v>0</v>
      </c>
    </row>
    <row r="1213" spans="1:10" ht="14" x14ac:dyDescent="0.2">
      <c r="A1213" s="2" t="s">
        <v>61</v>
      </c>
      <c r="B1213" s="2">
        <v>23</v>
      </c>
      <c r="C1213" s="2">
        <v>4</v>
      </c>
      <c r="D1213" s="2">
        <v>2021</v>
      </c>
      <c r="E1213" s="2">
        <v>87</v>
      </c>
      <c r="F1213" s="2">
        <v>92.7</v>
      </c>
      <c r="H1213" s="1">
        <f>_xlfn.XLOOKUP('Customer Info'!A1628,'Customer Info'!A1628:A1727,'Customer Info'!E1628:E1727,0,0)</f>
        <v>0</v>
      </c>
      <c r="J1213" s="1">
        <f>_xlfn.XLOOKUP('Customer Info'!A1628,'Customer Info'!A1628:A1727,'Customer Info'!M1628:M1727)</f>
        <v>0</v>
      </c>
    </row>
    <row r="1214" spans="1:10" ht="14" x14ac:dyDescent="0.2">
      <c r="A1214" s="2" t="s">
        <v>41</v>
      </c>
      <c r="B1214" s="2">
        <v>15</v>
      </c>
      <c r="C1214" s="2">
        <v>4</v>
      </c>
      <c r="D1214" s="2">
        <v>2021</v>
      </c>
      <c r="E1214" s="2">
        <v>71.400000000000006</v>
      </c>
      <c r="F1214" s="2">
        <v>92.7</v>
      </c>
      <c r="H1214" s="1">
        <f>_xlfn.XLOOKUP('Customer Info'!A1723,'Customer Info'!A1723:A1822,'Customer Info'!E1723:E1822,0,0)</f>
        <v>0</v>
      </c>
      <c r="J1214" s="1">
        <f>_xlfn.XLOOKUP('Customer Info'!A1723,'Customer Info'!A1723:A1822,'Customer Info'!M1723:M1822)</f>
        <v>0</v>
      </c>
    </row>
    <row r="1215" spans="1:10" ht="14" hidden="1" x14ac:dyDescent="0.2">
      <c r="A1215" s="2" t="s">
        <v>70</v>
      </c>
      <c r="B1215" s="2">
        <v>16</v>
      </c>
      <c r="C1215" s="2">
        <v>9</v>
      </c>
      <c r="D1215" s="2">
        <v>2020</v>
      </c>
      <c r="E1215" s="2">
        <v>43.2</v>
      </c>
      <c r="F1215" s="2">
        <v>92.7</v>
      </c>
      <c r="H1215" s="1">
        <f>_xlfn.XLOOKUP('Customer Info'!A706,'Customer Info'!A706:A805,'Customer Info'!E706:E805,0,0)</f>
        <v>0</v>
      </c>
      <c r="J1215" s="1">
        <f>_xlfn.XLOOKUP('Customer Info'!A706,'Customer Info'!A706:A805,'Customer Info'!M706:M805)</f>
        <v>0</v>
      </c>
    </row>
    <row r="1216" spans="1:10" ht="14" hidden="1" x14ac:dyDescent="0.2">
      <c r="A1216" s="2" t="s">
        <v>90</v>
      </c>
      <c r="B1216" s="2">
        <v>18</v>
      </c>
      <c r="C1216" s="2">
        <v>1</v>
      </c>
      <c r="D1216" s="2">
        <v>2020</v>
      </c>
      <c r="E1216" s="2">
        <v>119.04</v>
      </c>
      <c r="F1216" s="2">
        <v>92.69</v>
      </c>
      <c r="H1216" s="1">
        <f>_xlfn.XLOOKUP('Customer Info'!A214,'Customer Info'!A214:A313,'Customer Info'!E214:E313,0,0)</f>
        <v>0</v>
      </c>
      <c r="J1216" s="1">
        <f>_xlfn.XLOOKUP('Customer Info'!A214,'Customer Info'!A214:A313,'Customer Info'!M214:M313)</f>
        <v>0</v>
      </c>
    </row>
    <row r="1217" spans="1:10" ht="14" hidden="1" x14ac:dyDescent="0.2">
      <c r="A1217" s="2" t="s">
        <v>68</v>
      </c>
      <c r="B1217" s="2">
        <v>11</v>
      </c>
      <c r="C1217" s="2">
        <v>12</v>
      </c>
      <c r="D1217" s="2">
        <v>2020</v>
      </c>
      <c r="E1217" s="2">
        <v>106.95</v>
      </c>
      <c r="F1217" s="2">
        <v>92.69</v>
      </c>
      <c r="H1217" s="1">
        <f>_xlfn.XLOOKUP('Customer Info'!A280,'Customer Info'!A280:A379,'Customer Info'!E280:E379,0,0)</f>
        <v>0</v>
      </c>
      <c r="J1217" s="1">
        <f>_xlfn.XLOOKUP('Customer Info'!A280,'Customer Info'!A280:A379,'Customer Info'!M280:M379)</f>
        <v>0</v>
      </c>
    </row>
    <row r="1218" spans="1:10" ht="14" x14ac:dyDescent="0.2">
      <c r="A1218" s="2" t="s">
        <v>75</v>
      </c>
      <c r="B1218" s="2">
        <v>2</v>
      </c>
      <c r="C1218" s="2">
        <v>1</v>
      </c>
      <c r="D1218" s="2">
        <v>2021</v>
      </c>
      <c r="E1218" s="2">
        <v>106.95</v>
      </c>
      <c r="F1218" s="2">
        <v>92.69</v>
      </c>
      <c r="H1218" s="1">
        <f>_xlfn.XLOOKUP('Customer Info'!A1515,'Customer Info'!A1515:A1614,'Customer Info'!E1515:E1614,0,0)</f>
        <v>0</v>
      </c>
      <c r="J1218" s="1">
        <f>_xlfn.XLOOKUP('Customer Info'!A1515,'Customer Info'!A1515:A1614,'Customer Info'!M1515:M1614)</f>
        <v>0</v>
      </c>
    </row>
    <row r="1219" spans="1:10" ht="14" hidden="1" x14ac:dyDescent="0.2">
      <c r="A1219" s="2" t="s">
        <v>92</v>
      </c>
      <c r="B1219" s="2">
        <v>7</v>
      </c>
      <c r="C1219" s="2">
        <v>5</v>
      </c>
      <c r="D1219" s="2">
        <v>2020</v>
      </c>
      <c r="E1219" s="2">
        <v>82.46</v>
      </c>
      <c r="F1219" s="2">
        <v>92.69</v>
      </c>
      <c r="H1219" s="1">
        <f>_xlfn.XLOOKUP('Customer Info'!A430,'Customer Info'!A430:A529,'Customer Info'!E430:E529,0,0)</f>
        <v>0</v>
      </c>
      <c r="J1219" s="1">
        <f>_xlfn.XLOOKUP('Customer Info'!A430,'Customer Info'!A430:A529,'Customer Info'!M430:M529)</f>
        <v>0</v>
      </c>
    </row>
    <row r="1220" spans="1:10" ht="14" hidden="1" x14ac:dyDescent="0.2">
      <c r="A1220" s="2" t="s">
        <v>93</v>
      </c>
      <c r="B1220" s="2">
        <v>3</v>
      </c>
      <c r="C1220" s="2">
        <v>7</v>
      </c>
      <c r="D1220" s="2">
        <v>2020</v>
      </c>
      <c r="E1220" s="2">
        <v>74.400000000000006</v>
      </c>
      <c r="F1220" s="2">
        <v>92.69</v>
      </c>
      <c r="H1220" s="1">
        <f>_xlfn.XLOOKUP('Customer Info'!A473,'Customer Info'!A473:A572,'Customer Info'!E473:E572,0,0)</f>
        <v>0</v>
      </c>
      <c r="J1220" s="1">
        <f>_xlfn.XLOOKUP('Customer Info'!A473,'Customer Info'!A473:A572,'Customer Info'!M473:M572)</f>
        <v>0</v>
      </c>
    </row>
    <row r="1221" spans="1:10" ht="14" hidden="1" x14ac:dyDescent="0.2">
      <c r="A1221" s="2" t="s">
        <v>81</v>
      </c>
      <c r="B1221" s="2">
        <v>19</v>
      </c>
      <c r="C1221" s="2">
        <v>5</v>
      </c>
      <c r="D1221" s="2">
        <v>2020</v>
      </c>
      <c r="E1221" s="2">
        <v>46.81</v>
      </c>
      <c r="F1221" s="2">
        <v>92.69</v>
      </c>
      <c r="H1221" s="1">
        <f>_xlfn.XLOOKUP('Customer Info'!A666,'Customer Info'!A666:A765,'Customer Info'!E666:E765,0,0)</f>
        <v>0</v>
      </c>
      <c r="J1221" s="1">
        <f>_xlfn.XLOOKUP('Customer Info'!A666,'Customer Info'!A666:A765,'Customer Info'!M666:M765)</f>
        <v>0</v>
      </c>
    </row>
    <row r="1222" spans="1:10" ht="14" x14ac:dyDescent="0.2">
      <c r="A1222" s="2" t="s">
        <v>76</v>
      </c>
      <c r="B1222" s="2">
        <v>9</v>
      </c>
      <c r="C1222" s="2">
        <v>4</v>
      </c>
      <c r="D1222" s="2">
        <v>2021</v>
      </c>
      <c r="E1222" s="2">
        <v>83.1</v>
      </c>
      <c r="F1222" s="2">
        <v>92.4</v>
      </c>
      <c r="H1222" s="1">
        <f>_xlfn.XLOOKUP('Customer Info'!A1645,'Customer Info'!A1645:A1744,'Customer Info'!E1645:E1744,0,0)</f>
        <v>0</v>
      </c>
      <c r="J1222" s="1">
        <f>_xlfn.XLOOKUP('Customer Info'!A1645,'Customer Info'!A1645:A1744,'Customer Info'!M1645:M1744)</f>
        <v>0</v>
      </c>
    </row>
    <row r="1223" spans="1:10" ht="14" hidden="1" x14ac:dyDescent="0.2">
      <c r="A1223" s="2" t="s">
        <v>68</v>
      </c>
      <c r="B1223" s="2">
        <v>11</v>
      </c>
      <c r="C1223" s="2">
        <v>4</v>
      </c>
      <c r="D1223" s="2">
        <v>2020</v>
      </c>
      <c r="E1223" s="2">
        <v>73.2</v>
      </c>
      <c r="F1223" s="2">
        <v>92.4</v>
      </c>
      <c r="H1223" s="1">
        <f>_xlfn.XLOOKUP('Customer Info'!A480,'Customer Info'!A480:A579,'Customer Info'!E480:E579,0,0)</f>
        <v>0</v>
      </c>
      <c r="J1223" s="1">
        <f>_xlfn.XLOOKUP('Customer Info'!A480,'Customer Info'!A480:A579,'Customer Info'!M480:M579)</f>
        <v>0</v>
      </c>
    </row>
    <row r="1224" spans="1:10" ht="14" x14ac:dyDescent="0.2">
      <c r="A1224" s="2" t="s">
        <v>88</v>
      </c>
      <c r="B1224" s="2">
        <v>23</v>
      </c>
      <c r="C1224" s="2">
        <v>6</v>
      </c>
      <c r="D1224" s="2">
        <v>2021</v>
      </c>
      <c r="E1224" s="2">
        <v>63.9</v>
      </c>
      <c r="F1224" s="2">
        <v>92.4</v>
      </c>
      <c r="H1224" s="1">
        <f>_xlfn.XLOOKUP('Customer Info'!A1776,'Customer Info'!A1776:A1875,'Customer Info'!E1776:E1875,0,0)</f>
        <v>0</v>
      </c>
      <c r="J1224" s="1">
        <f>_xlfn.XLOOKUP('Customer Info'!A1776,'Customer Info'!A1776:A1875,'Customer Info'!M1776:M1875)</f>
        <v>0</v>
      </c>
    </row>
    <row r="1225" spans="1:10" ht="14" x14ac:dyDescent="0.2">
      <c r="A1225" s="2" t="s">
        <v>87</v>
      </c>
      <c r="B1225" s="2">
        <v>1</v>
      </c>
      <c r="C1225" s="2">
        <v>6</v>
      </c>
      <c r="D1225" s="2">
        <v>2021</v>
      </c>
      <c r="E1225" s="2">
        <v>63.3</v>
      </c>
      <c r="F1225" s="2">
        <v>92.4</v>
      </c>
      <c r="H1225" s="1">
        <f>_xlfn.XLOOKUP('Customer Info'!A1783,'Customer Info'!A1783:A1882,'Customer Info'!E1783:E1882,0,0)</f>
        <v>0</v>
      </c>
      <c r="J1225" s="1">
        <f>_xlfn.XLOOKUP('Customer Info'!A1783,'Customer Info'!A1783:A1882,'Customer Info'!M1783:M1882)</f>
        <v>0</v>
      </c>
    </row>
    <row r="1226" spans="1:10" ht="14" x14ac:dyDescent="0.2">
      <c r="A1226" s="2" t="s">
        <v>76</v>
      </c>
      <c r="B1226" s="2">
        <v>9</v>
      </c>
      <c r="C1226" s="2">
        <v>6</v>
      </c>
      <c r="D1226" s="2">
        <v>2021</v>
      </c>
      <c r="E1226" s="2">
        <v>49.5</v>
      </c>
      <c r="F1226" s="2">
        <v>92.4</v>
      </c>
      <c r="H1226" s="1">
        <f>_xlfn.XLOOKUP('Customer Info'!A1871,'Customer Info'!A1871:A1970,'Customer Info'!E1871:E1970,0,0)</f>
        <v>0</v>
      </c>
      <c r="J1226" s="1">
        <f>_xlfn.XLOOKUP('Customer Info'!A1871,'Customer Info'!A1871:A1970,'Customer Info'!M1871:M1970)</f>
        <v>0</v>
      </c>
    </row>
    <row r="1227" spans="1:10" ht="14" hidden="1" x14ac:dyDescent="0.2">
      <c r="A1227" s="2" t="s">
        <v>78</v>
      </c>
      <c r="B1227" s="2">
        <v>18</v>
      </c>
      <c r="C1227" s="2">
        <v>6</v>
      </c>
      <c r="D1227" s="2">
        <v>2020</v>
      </c>
      <c r="E1227" s="2">
        <v>44.4</v>
      </c>
      <c r="F1227" s="2">
        <v>92.4</v>
      </c>
      <c r="H1227" s="1">
        <f>_xlfn.XLOOKUP('Customer Info'!A689,'Customer Info'!A689:A788,'Customer Info'!E689:E788,0,0)</f>
        <v>0</v>
      </c>
      <c r="J1227" s="1">
        <f>_xlfn.XLOOKUP('Customer Info'!A689,'Customer Info'!A689:A788,'Customer Info'!M689:M788)</f>
        <v>0</v>
      </c>
    </row>
    <row r="1228" spans="1:10" ht="14" hidden="1" x14ac:dyDescent="0.2">
      <c r="A1228" s="2" t="s">
        <v>66</v>
      </c>
      <c r="B1228" s="2">
        <v>23</v>
      </c>
      <c r="C1228" s="2">
        <v>9</v>
      </c>
      <c r="D1228" s="2">
        <v>2020</v>
      </c>
      <c r="E1228" s="2">
        <v>40.799999999999997</v>
      </c>
      <c r="F1228" s="2">
        <v>92.4</v>
      </c>
      <c r="H1228" s="1">
        <f>_xlfn.XLOOKUP('Customer Info'!A727,'Customer Info'!A727:A826,'Customer Info'!E727:E826,0,0)</f>
        <v>0</v>
      </c>
      <c r="J1228" s="1">
        <f>_xlfn.XLOOKUP('Customer Info'!A727,'Customer Info'!A727:A826,'Customer Info'!M727:M826)</f>
        <v>0</v>
      </c>
    </row>
    <row r="1229" spans="1:10" ht="14" hidden="1" x14ac:dyDescent="0.2">
      <c r="A1229" s="2" t="s">
        <v>53</v>
      </c>
      <c r="B1229" s="2">
        <v>18</v>
      </c>
      <c r="C1229" s="2">
        <v>6</v>
      </c>
      <c r="D1229" s="2">
        <v>2020</v>
      </c>
      <c r="E1229" s="2">
        <v>31.8</v>
      </c>
      <c r="F1229" s="2">
        <v>92.4</v>
      </c>
      <c r="H1229" s="1">
        <f>_xlfn.XLOOKUP('Customer Info'!A807,'Customer Info'!A807:A906,'Customer Info'!E807:E906,0,0)</f>
        <v>0</v>
      </c>
      <c r="J1229" s="1">
        <f>_xlfn.XLOOKUP('Customer Info'!A807,'Customer Info'!A807:A906,'Customer Info'!M807:M906)</f>
        <v>0</v>
      </c>
    </row>
    <row r="1230" spans="1:10" ht="14" hidden="1" x14ac:dyDescent="0.2">
      <c r="A1230" s="2" t="s">
        <v>98</v>
      </c>
      <c r="B1230" s="2">
        <v>21</v>
      </c>
      <c r="C1230" s="2">
        <v>8</v>
      </c>
      <c r="D1230" s="2">
        <v>2020</v>
      </c>
      <c r="E1230" s="1" t="s">
        <v>94</v>
      </c>
      <c r="F1230" s="2">
        <v>92.38</v>
      </c>
      <c r="H1230" s="1">
        <f>_xlfn.XLOOKUP('Customer Info'!A108,'Customer Info'!A108:A207,'Customer Info'!E108:E207,0,0)</f>
        <v>0</v>
      </c>
      <c r="J1230" s="1">
        <f>_xlfn.XLOOKUP('Customer Info'!A108,'Customer Info'!A108:A207,'Customer Info'!M108:M207)</f>
        <v>0</v>
      </c>
    </row>
    <row r="1231" spans="1:10" ht="14" x14ac:dyDescent="0.2">
      <c r="A1231" s="2" t="s">
        <v>37</v>
      </c>
      <c r="B1231" s="2">
        <v>12</v>
      </c>
      <c r="C1231" s="2">
        <v>1</v>
      </c>
      <c r="D1231" s="2">
        <v>2021</v>
      </c>
      <c r="E1231" s="2">
        <v>92.07</v>
      </c>
      <c r="F1231" s="2">
        <v>92.38</v>
      </c>
      <c r="H1231" s="1">
        <f>_xlfn.XLOOKUP('Customer Info'!A1602,'Customer Info'!A1602:A1701,'Customer Info'!E1602:E1701,0,0)</f>
        <v>0</v>
      </c>
      <c r="J1231" s="1">
        <f>_xlfn.XLOOKUP('Customer Info'!A1602,'Customer Info'!A1602:A1701,'Customer Info'!M1602:M1701)</f>
        <v>0</v>
      </c>
    </row>
    <row r="1232" spans="1:10" ht="14" x14ac:dyDescent="0.2">
      <c r="A1232" s="2" t="s">
        <v>86</v>
      </c>
      <c r="B1232" s="2">
        <v>6</v>
      </c>
      <c r="C1232" s="2">
        <v>3</v>
      </c>
      <c r="D1232" s="2">
        <v>2021</v>
      </c>
      <c r="E1232" s="2">
        <v>90.52</v>
      </c>
      <c r="F1232" s="2">
        <v>92.38</v>
      </c>
      <c r="H1232" s="1">
        <f>_xlfn.XLOOKUP('Customer Info'!A1611,'Customer Info'!A1611:A1710,'Customer Info'!E1611:E1710,0,0)</f>
        <v>0</v>
      </c>
      <c r="J1232" s="1">
        <f>_xlfn.XLOOKUP('Customer Info'!A1611,'Customer Info'!A1611:A1710,'Customer Info'!M1611:M1710)</f>
        <v>0</v>
      </c>
    </row>
    <row r="1233" spans="1:10" ht="14" hidden="1" x14ac:dyDescent="0.2">
      <c r="A1233" s="2" t="s">
        <v>90</v>
      </c>
      <c r="B1233" s="2">
        <v>18</v>
      </c>
      <c r="C1233" s="2">
        <v>8</v>
      </c>
      <c r="D1233" s="2">
        <v>2020</v>
      </c>
      <c r="E1233" s="2">
        <v>57.97</v>
      </c>
      <c r="F1233" s="2">
        <v>92.38</v>
      </c>
      <c r="H1233" s="1">
        <f>_xlfn.XLOOKUP('Customer Info'!A599,'Customer Info'!A599:A698,'Customer Info'!E599:E698,0,0)</f>
        <v>0</v>
      </c>
      <c r="J1233" s="1">
        <f>_xlfn.XLOOKUP('Customer Info'!A599,'Customer Info'!A599:A698,'Customer Info'!M599:M698)</f>
        <v>0</v>
      </c>
    </row>
    <row r="1234" spans="1:10" ht="14" hidden="1" x14ac:dyDescent="0.2">
      <c r="A1234" s="2" t="s">
        <v>65</v>
      </c>
      <c r="B1234" s="2">
        <v>11</v>
      </c>
      <c r="C1234" s="2">
        <v>5</v>
      </c>
      <c r="D1234" s="2">
        <v>2020</v>
      </c>
      <c r="E1234" s="2">
        <v>51.77</v>
      </c>
      <c r="F1234" s="2">
        <v>92.38</v>
      </c>
      <c r="H1234" s="1">
        <f>_xlfn.XLOOKUP('Customer Info'!A630,'Customer Info'!A630:A729,'Customer Info'!E630:E729,0,0)</f>
        <v>0</v>
      </c>
      <c r="J1234" s="1">
        <f>_xlfn.XLOOKUP('Customer Info'!A630,'Customer Info'!A630:A729,'Customer Info'!M630:M729)</f>
        <v>0</v>
      </c>
    </row>
    <row r="1235" spans="1:10" ht="14" hidden="1" x14ac:dyDescent="0.2">
      <c r="A1235" s="2" t="s">
        <v>80</v>
      </c>
      <c r="B1235" s="2">
        <v>12</v>
      </c>
      <c r="C1235" s="2">
        <v>8</v>
      </c>
      <c r="D1235" s="2">
        <v>2020</v>
      </c>
      <c r="E1235" s="2">
        <v>51.77</v>
      </c>
      <c r="F1235" s="2">
        <v>92.38</v>
      </c>
      <c r="H1235" s="1">
        <f>_xlfn.XLOOKUP('Customer Info'!A631,'Customer Info'!A631:A730,'Customer Info'!E631:E730,0,0)</f>
        <v>0</v>
      </c>
      <c r="J1235" s="1">
        <f>_xlfn.XLOOKUP('Customer Info'!A631,'Customer Info'!A631:A730,'Customer Info'!M631:M730)</f>
        <v>0</v>
      </c>
    </row>
    <row r="1236" spans="1:10" ht="14" x14ac:dyDescent="0.2">
      <c r="A1236" s="2" t="s">
        <v>46</v>
      </c>
      <c r="B1236" s="2">
        <v>9</v>
      </c>
      <c r="C1236" s="2">
        <v>7</v>
      </c>
      <c r="D1236" s="2">
        <v>2021</v>
      </c>
      <c r="E1236" s="2">
        <v>26.35</v>
      </c>
      <c r="F1236" s="2">
        <v>92.38</v>
      </c>
      <c r="H1236" s="1">
        <f>_xlfn.XLOOKUP('Customer Info'!A2046,'Customer Info'!A2046:A2145,'Customer Info'!E2046:E2145,0,0)</f>
        <v>0</v>
      </c>
      <c r="J1236" s="1">
        <f>_xlfn.XLOOKUP('Customer Info'!A2046,'Customer Info'!A2046:A2145,'Customer Info'!M2046:M2145)</f>
        <v>0</v>
      </c>
    </row>
    <row r="1237" spans="1:10" ht="14" x14ac:dyDescent="0.2">
      <c r="A1237" s="2" t="s">
        <v>97</v>
      </c>
      <c r="B1237" s="2">
        <v>12</v>
      </c>
      <c r="C1237" s="2">
        <v>9</v>
      </c>
      <c r="D1237" s="2">
        <v>2021</v>
      </c>
      <c r="E1237" s="1" t="s">
        <v>94</v>
      </c>
      <c r="F1237" s="2">
        <v>92.1</v>
      </c>
      <c r="H1237" s="1">
        <f>_xlfn.XLOOKUP('Customer Info'!A1300,'Customer Info'!A1300:A1399,'Customer Info'!E1300:E1399,0,0)</f>
        <v>0</v>
      </c>
      <c r="J1237" s="1">
        <f>_xlfn.XLOOKUP('Customer Info'!A1300,'Customer Info'!A1300:A1399,'Customer Info'!M1300:M1399)</f>
        <v>0</v>
      </c>
    </row>
    <row r="1238" spans="1:10" ht="14" hidden="1" x14ac:dyDescent="0.2">
      <c r="A1238" s="2" t="s">
        <v>44</v>
      </c>
      <c r="B1238" s="2">
        <v>1</v>
      </c>
      <c r="C1238" s="2">
        <v>4</v>
      </c>
      <c r="D1238" s="2">
        <v>2020</v>
      </c>
      <c r="E1238" s="2">
        <v>66.599999999999994</v>
      </c>
      <c r="F1238" s="2">
        <v>92.1</v>
      </c>
      <c r="H1238" s="1">
        <f>_xlfn.XLOOKUP('Customer Info'!A531,'Customer Info'!A531:A630,'Customer Info'!E531:E630,0,0)</f>
        <v>0</v>
      </c>
      <c r="J1238" s="1">
        <f>_xlfn.XLOOKUP('Customer Info'!A531,'Customer Info'!A531:A630,'Customer Info'!M531:M630)</f>
        <v>0</v>
      </c>
    </row>
    <row r="1239" spans="1:10" ht="14" x14ac:dyDescent="0.2">
      <c r="A1239" s="2" t="s">
        <v>65</v>
      </c>
      <c r="B1239" s="2">
        <v>11</v>
      </c>
      <c r="C1239" s="2">
        <v>12</v>
      </c>
      <c r="D1239" s="2">
        <v>2021</v>
      </c>
      <c r="E1239" s="2">
        <v>116.87</v>
      </c>
      <c r="F1239" s="2">
        <v>92.07</v>
      </c>
      <c r="H1239" s="1">
        <f>_xlfn.XLOOKUP('Customer Info'!A1454,'Customer Info'!A1454:A1553,'Customer Info'!E1454:E1553,0,0)</f>
        <v>0</v>
      </c>
      <c r="J1239" s="1">
        <f>_xlfn.XLOOKUP('Customer Info'!A1454,'Customer Info'!A1454:A1553,'Customer Info'!M1454:M1553)</f>
        <v>0</v>
      </c>
    </row>
    <row r="1240" spans="1:10" ht="14" x14ac:dyDescent="0.2">
      <c r="A1240" s="2" t="s">
        <v>93</v>
      </c>
      <c r="B1240" s="2">
        <v>3</v>
      </c>
      <c r="C1240" s="2">
        <v>10</v>
      </c>
      <c r="D1240" s="2">
        <v>2021</v>
      </c>
      <c r="E1240" s="2">
        <v>116.56</v>
      </c>
      <c r="F1240" s="2">
        <v>92.07</v>
      </c>
      <c r="H1240" s="1">
        <f>_xlfn.XLOOKUP('Customer Info'!A1457,'Customer Info'!A1457:A1556,'Customer Info'!E1457:E1556,0,0)</f>
        <v>0</v>
      </c>
      <c r="J1240" s="1">
        <f>_xlfn.XLOOKUP('Customer Info'!A1457,'Customer Info'!A1457:A1556,'Customer Info'!M1457:M1556)</f>
        <v>0</v>
      </c>
    </row>
    <row r="1241" spans="1:10" ht="14" hidden="1" x14ac:dyDescent="0.2">
      <c r="A1241" s="2" t="s">
        <v>78</v>
      </c>
      <c r="B1241" s="2">
        <v>18</v>
      </c>
      <c r="C1241" s="2">
        <v>3</v>
      </c>
      <c r="D1241" s="2">
        <v>2020</v>
      </c>
      <c r="E1241" s="2">
        <v>89.59</v>
      </c>
      <c r="F1241" s="2">
        <v>92.07</v>
      </c>
      <c r="H1241" s="1">
        <f>_xlfn.XLOOKUP('Customer Info'!A397,'Customer Info'!A397:A496,'Customer Info'!E397:E496,0,0)</f>
        <v>0</v>
      </c>
      <c r="J1241" s="1">
        <f>_xlfn.XLOOKUP('Customer Info'!A397,'Customer Info'!A397:A496,'Customer Info'!M397:M496)</f>
        <v>0</v>
      </c>
    </row>
    <row r="1242" spans="1:10" ht="14" x14ac:dyDescent="0.2">
      <c r="A1242" s="2" t="s">
        <v>59</v>
      </c>
      <c r="B1242" s="2">
        <v>11</v>
      </c>
      <c r="C1242" s="2">
        <v>3</v>
      </c>
      <c r="D1242" s="2">
        <v>2021</v>
      </c>
      <c r="E1242" s="2">
        <v>79.67</v>
      </c>
      <c r="F1242" s="2">
        <v>92.07</v>
      </c>
      <c r="H1242" s="1">
        <f>_xlfn.XLOOKUP('Customer Info'!A1667,'Customer Info'!A1667:A1766,'Customer Info'!E1667:E1766,0,0)</f>
        <v>0</v>
      </c>
      <c r="J1242" s="1">
        <f>_xlfn.XLOOKUP('Customer Info'!A1667,'Customer Info'!A1667:A1766,'Customer Info'!M1667:M1766)</f>
        <v>0</v>
      </c>
    </row>
    <row r="1243" spans="1:10" ht="14" x14ac:dyDescent="0.2">
      <c r="A1243" s="2" t="s">
        <v>73</v>
      </c>
      <c r="B1243" s="2">
        <v>5</v>
      </c>
      <c r="C1243" s="2">
        <v>3</v>
      </c>
      <c r="D1243" s="2">
        <v>2021</v>
      </c>
      <c r="E1243" s="2">
        <v>77.5</v>
      </c>
      <c r="F1243" s="2">
        <v>92.07</v>
      </c>
      <c r="H1243" s="1">
        <f>_xlfn.XLOOKUP('Customer Info'!A1680,'Customer Info'!A1680:A1779,'Customer Info'!E1680:E1779,0,0)</f>
        <v>0</v>
      </c>
      <c r="J1243" s="1">
        <f>_xlfn.XLOOKUP('Customer Info'!A1680,'Customer Info'!A1680:A1779,'Customer Info'!M1680:M1779)</f>
        <v>0</v>
      </c>
    </row>
    <row r="1244" spans="1:10" ht="14" x14ac:dyDescent="0.2">
      <c r="A1244" s="2" t="s">
        <v>92</v>
      </c>
      <c r="B1244" s="2">
        <v>7</v>
      </c>
      <c r="C1244" s="2">
        <v>8</v>
      </c>
      <c r="D1244" s="2">
        <v>2021</v>
      </c>
      <c r="E1244" s="2">
        <v>72.23</v>
      </c>
      <c r="F1244" s="2">
        <v>92.07</v>
      </c>
      <c r="H1244" s="1">
        <f>_xlfn.XLOOKUP('Customer Info'!A1717,'Customer Info'!A1717:A1816,'Customer Info'!E1717:E1816,0,0)</f>
        <v>0</v>
      </c>
      <c r="J1244" s="1">
        <f>_xlfn.XLOOKUP('Customer Info'!A1717,'Customer Info'!A1717:A1816,'Customer Info'!M1717:M1816)</f>
        <v>0</v>
      </c>
    </row>
    <row r="1245" spans="1:10" ht="14" x14ac:dyDescent="0.2">
      <c r="A1245" s="2" t="s">
        <v>73</v>
      </c>
      <c r="B1245" s="2">
        <v>5</v>
      </c>
      <c r="C1245" s="2">
        <v>10</v>
      </c>
      <c r="D1245" s="2">
        <v>2021</v>
      </c>
      <c r="E1245" s="2">
        <v>70.06</v>
      </c>
      <c r="F1245" s="2">
        <v>92.07</v>
      </c>
      <c r="H1245" s="1">
        <f>_xlfn.XLOOKUP('Customer Info'!A1736,'Customer Info'!A1736:A1835,'Customer Info'!E1736:E1835,0,0)</f>
        <v>0</v>
      </c>
      <c r="J1245" s="1">
        <f>_xlfn.XLOOKUP('Customer Info'!A1736,'Customer Info'!A1736:A1835,'Customer Info'!M1736:M1835)</f>
        <v>0</v>
      </c>
    </row>
    <row r="1246" spans="1:10" ht="14" hidden="1" x14ac:dyDescent="0.2">
      <c r="A1246" s="2" t="s">
        <v>90</v>
      </c>
      <c r="B1246" s="2">
        <v>18</v>
      </c>
      <c r="C1246" s="2">
        <v>5</v>
      </c>
      <c r="D1246" s="2">
        <v>2020</v>
      </c>
      <c r="E1246" s="2">
        <v>61.38</v>
      </c>
      <c r="F1246" s="2">
        <v>92.07</v>
      </c>
      <c r="H1246" s="1">
        <f>_xlfn.XLOOKUP('Customer Info'!A577,'Customer Info'!A577:A676,'Customer Info'!E577:E676,0,0)</f>
        <v>0</v>
      </c>
      <c r="J1246" s="1">
        <f>_xlfn.XLOOKUP('Customer Info'!A577,'Customer Info'!A577:A676,'Customer Info'!M577:M676)</f>
        <v>0</v>
      </c>
    </row>
    <row r="1247" spans="1:10" ht="14" x14ac:dyDescent="0.2">
      <c r="A1247" s="2" t="s">
        <v>86</v>
      </c>
      <c r="B1247" s="2">
        <v>6</v>
      </c>
      <c r="C1247" s="2">
        <v>5</v>
      </c>
      <c r="D1247" s="2">
        <v>2021</v>
      </c>
      <c r="E1247" s="2">
        <v>54.25</v>
      </c>
      <c r="F1247" s="2">
        <v>92.07</v>
      </c>
      <c r="H1247" s="1">
        <f>_xlfn.XLOOKUP('Customer Info'!A1838,'Customer Info'!A1838:A1937,'Customer Info'!E1838:E1937,0,0)</f>
        <v>0</v>
      </c>
      <c r="J1247" s="1">
        <f>_xlfn.XLOOKUP('Customer Info'!A1838,'Customer Info'!A1838:A1937,'Customer Info'!M1838:M1937)</f>
        <v>0</v>
      </c>
    </row>
    <row r="1248" spans="1:10" ht="14" hidden="1" x14ac:dyDescent="0.2">
      <c r="A1248" s="2" t="s">
        <v>65</v>
      </c>
      <c r="B1248" s="2">
        <v>11</v>
      </c>
      <c r="C1248" s="2">
        <v>8</v>
      </c>
      <c r="D1248" s="2">
        <v>2020</v>
      </c>
      <c r="E1248" s="2">
        <v>34.409999999999997</v>
      </c>
      <c r="F1248" s="2">
        <v>92.07</v>
      </c>
      <c r="H1248" s="1">
        <f>_xlfn.XLOOKUP('Customer Info'!A788,'Customer Info'!A788:A887,'Customer Info'!E788:E887,0,0)</f>
        <v>0</v>
      </c>
      <c r="J1248" s="1">
        <f>_xlfn.XLOOKUP('Customer Info'!A788,'Customer Info'!A788:A887,'Customer Info'!M788:M887)</f>
        <v>0</v>
      </c>
    </row>
    <row r="1249" spans="1:10" ht="14" x14ac:dyDescent="0.2">
      <c r="A1249" s="2" t="s">
        <v>43</v>
      </c>
      <c r="B1249" s="2">
        <v>15</v>
      </c>
      <c r="C1249" s="2">
        <v>8</v>
      </c>
      <c r="D1249" s="2">
        <v>2021</v>
      </c>
      <c r="E1249" s="2">
        <v>28.21</v>
      </c>
      <c r="F1249" s="2">
        <v>92.07</v>
      </c>
      <c r="H1249" s="1">
        <f>_xlfn.XLOOKUP('Customer Info'!A2032,'Customer Info'!A2032:A2131,'Customer Info'!E2032:E2131,0,0)</f>
        <v>0</v>
      </c>
      <c r="J1249" s="1">
        <f>_xlfn.XLOOKUP('Customer Info'!A2032,'Customer Info'!A2032:A2131,'Customer Info'!M2032:M2131)</f>
        <v>0</v>
      </c>
    </row>
    <row r="1250" spans="1:10" ht="14" x14ac:dyDescent="0.2">
      <c r="A1250" s="2" t="s">
        <v>45</v>
      </c>
      <c r="B1250" s="2">
        <v>18</v>
      </c>
      <c r="C1250" s="2">
        <v>8</v>
      </c>
      <c r="D1250" s="2">
        <v>2021</v>
      </c>
      <c r="E1250" s="2">
        <v>27.9</v>
      </c>
      <c r="F1250" s="2">
        <v>92.07</v>
      </c>
      <c r="H1250" s="1">
        <f>_xlfn.XLOOKUP('Customer Info'!A2034,'Customer Info'!A2034:A2133,'Customer Info'!E2034:E2133,0,0)</f>
        <v>0</v>
      </c>
      <c r="J1250" s="1">
        <f>_xlfn.XLOOKUP('Customer Info'!A2034,'Customer Info'!A2034:A2133,'Customer Info'!M2034:M2133)</f>
        <v>0</v>
      </c>
    </row>
    <row r="1251" spans="1:10" ht="14" hidden="1" x14ac:dyDescent="0.2">
      <c r="A1251" s="2" t="s">
        <v>52</v>
      </c>
      <c r="B1251" s="2">
        <v>1</v>
      </c>
      <c r="C1251" s="2">
        <v>8</v>
      </c>
      <c r="D1251" s="2">
        <v>2020</v>
      </c>
      <c r="E1251" s="2">
        <v>27.28</v>
      </c>
      <c r="F1251" s="2">
        <v>92.07</v>
      </c>
      <c r="H1251" s="1">
        <f>_xlfn.XLOOKUP('Customer Info'!A838,'Customer Info'!A838:A937,'Customer Info'!E838:E937,0,0)</f>
        <v>0</v>
      </c>
      <c r="J1251" s="1">
        <f>_xlfn.XLOOKUP('Customer Info'!A838,'Customer Info'!A838:A937,'Customer Info'!M838:M937)</f>
        <v>0</v>
      </c>
    </row>
    <row r="1252" spans="1:10" ht="14" x14ac:dyDescent="0.2">
      <c r="A1252" s="2" t="s">
        <v>78</v>
      </c>
      <c r="B1252" s="2">
        <v>18</v>
      </c>
      <c r="C1252" s="2">
        <v>11</v>
      </c>
      <c r="D1252" s="2">
        <v>2021</v>
      </c>
      <c r="E1252" s="2">
        <v>125.1</v>
      </c>
      <c r="F1252" s="2">
        <v>91.8</v>
      </c>
      <c r="H1252" s="1">
        <f>_xlfn.XLOOKUP('Customer Info'!A1426,'Customer Info'!A1426:A1525,'Customer Info'!E1426:E1525,0,0)</f>
        <v>0</v>
      </c>
      <c r="J1252" s="1">
        <f>_xlfn.XLOOKUP('Customer Info'!A1426,'Customer Info'!A1426:A1525,'Customer Info'!M1426:M1525)</f>
        <v>0</v>
      </c>
    </row>
    <row r="1253" spans="1:10" ht="14" x14ac:dyDescent="0.2">
      <c r="A1253" s="2" t="s">
        <v>86</v>
      </c>
      <c r="B1253" s="2">
        <v>6</v>
      </c>
      <c r="C1253" s="2">
        <v>12</v>
      </c>
      <c r="D1253" s="2">
        <v>2021</v>
      </c>
      <c r="E1253" s="2">
        <v>146.94</v>
      </c>
      <c r="F1253" s="2">
        <v>91.76</v>
      </c>
      <c r="H1253" s="1">
        <f>_xlfn.XLOOKUP('Customer Info'!A1354,'Customer Info'!A1354:A1453,'Customer Info'!E1354:E1453,0,0)</f>
        <v>0</v>
      </c>
      <c r="J1253" s="1">
        <f>_xlfn.XLOOKUP('Customer Info'!A1354,'Customer Info'!A1354:A1453,'Customer Info'!M1354:M1453)</f>
        <v>0</v>
      </c>
    </row>
    <row r="1254" spans="1:10" ht="14" x14ac:dyDescent="0.2">
      <c r="A1254" s="2" t="s">
        <v>93</v>
      </c>
      <c r="B1254" s="2">
        <v>3</v>
      </c>
      <c r="C1254" s="2">
        <v>3</v>
      </c>
      <c r="D1254" s="2">
        <v>2021</v>
      </c>
      <c r="E1254" s="2">
        <v>103.23</v>
      </c>
      <c r="F1254" s="2">
        <v>91.76</v>
      </c>
      <c r="H1254" s="1">
        <f>_xlfn.XLOOKUP('Customer Info'!A1536,'Customer Info'!A1536:A1635,'Customer Info'!E1536:E1635,0,0)</f>
        <v>0</v>
      </c>
      <c r="J1254" s="1">
        <f>_xlfn.XLOOKUP('Customer Info'!A1536,'Customer Info'!A1536:A1635,'Customer Info'!M1536:M1635)</f>
        <v>0</v>
      </c>
    </row>
    <row r="1255" spans="1:10" ht="14" x14ac:dyDescent="0.2">
      <c r="A1255" s="2" t="s">
        <v>70</v>
      </c>
      <c r="B1255" s="2">
        <v>16</v>
      </c>
      <c r="C1255" s="2">
        <v>3</v>
      </c>
      <c r="D1255" s="2">
        <v>2021</v>
      </c>
      <c r="E1255" s="2">
        <v>85.87</v>
      </c>
      <c r="F1255" s="2">
        <v>91.76</v>
      </c>
      <c r="H1255" s="1">
        <f>_xlfn.XLOOKUP('Customer Info'!A1633,'Customer Info'!A1633:A1732,'Customer Info'!E1633:E1732,0,0)</f>
        <v>0</v>
      </c>
      <c r="J1255" s="1">
        <f>_xlfn.XLOOKUP('Customer Info'!A1633,'Customer Info'!A1633:A1732,'Customer Info'!M1633:M1732)</f>
        <v>0</v>
      </c>
    </row>
    <row r="1256" spans="1:10" ht="14" hidden="1" x14ac:dyDescent="0.2">
      <c r="A1256" s="2" t="s">
        <v>93</v>
      </c>
      <c r="B1256" s="2">
        <v>3</v>
      </c>
      <c r="C1256" s="2">
        <v>8</v>
      </c>
      <c r="D1256" s="2">
        <v>2020</v>
      </c>
      <c r="E1256" s="2">
        <v>81.53</v>
      </c>
      <c r="F1256" s="2">
        <v>91.76</v>
      </c>
      <c r="H1256" s="1">
        <f>_xlfn.XLOOKUP('Customer Info'!A434,'Customer Info'!A434:A533,'Customer Info'!E434:E533,0,0)</f>
        <v>0</v>
      </c>
      <c r="J1256" s="1">
        <f>_xlfn.XLOOKUP('Customer Info'!A434,'Customer Info'!A434:A533,'Customer Info'!M434:M533)</f>
        <v>0</v>
      </c>
    </row>
    <row r="1257" spans="1:10" ht="14" hidden="1" x14ac:dyDescent="0.2">
      <c r="A1257" s="2" t="s">
        <v>79</v>
      </c>
      <c r="B1257" s="2">
        <v>3</v>
      </c>
      <c r="C1257" s="2">
        <v>5</v>
      </c>
      <c r="D1257" s="2">
        <v>2020</v>
      </c>
      <c r="E1257" s="2">
        <v>58.59</v>
      </c>
      <c r="F1257" s="2">
        <v>91.76</v>
      </c>
      <c r="H1257" s="1">
        <f>_xlfn.XLOOKUP('Customer Info'!A594,'Customer Info'!A594:A693,'Customer Info'!E594:E693,0,0)</f>
        <v>0</v>
      </c>
      <c r="J1257" s="1">
        <f>_xlfn.XLOOKUP('Customer Info'!A594,'Customer Info'!A594:A693,'Customer Info'!M594:M693)</f>
        <v>0</v>
      </c>
    </row>
    <row r="1258" spans="1:10" ht="14" hidden="1" x14ac:dyDescent="0.2">
      <c r="A1258" s="2" t="s">
        <v>67</v>
      </c>
      <c r="B1258" s="2">
        <v>13</v>
      </c>
      <c r="C1258" s="2">
        <v>5</v>
      </c>
      <c r="D1258" s="2">
        <v>2020</v>
      </c>
      <c r="E1258" s="2">
        <v>38.75</v>
      </c>
      <c r="F1258" s="2">
        <v>91.76</v>
      </c>
      <c r="H1258" s="1">
        <f>_xlfn.XLOOKUP('Customer Info'!A744,'Customer Info'!A744:A843,'Customer Info'!E744:E843,0,0)</f>
        <v>0</v>
      </c>
      <c r="J1258" s="1">
        <f>_xlfn.XLOOKUP('Customer Info'!A744,'Customer Info'!A744:A843,'Customer Info'!M744:M843)</f>
        <v>0</v>
      </c>
    </row>
    <row r="1259" spans="1:10" ht="14" x14ac:dyDescent="0.2">
      <c r="A1259" s="2" t="s">
        <v>4</v>
      </c>
      <c r="B1259" s="2">
        <v>1</v>
      </c>
      <c r="C1259" s="2">
        <v>7</v>
      </c>
      <c r="D1259" s="2">
        <v>2021</v>
      </c>
      <c r="E1259" s="2">
        <v>0</v>
      </c>
      <c r="F1259" s="2">
        <v>91.76</v>
      </c>
      <c r="H1259" s="1">
        <f>_xlfn.XLOOKUP('Customer Info'!A2398,'Customer Info'!A2398:A2497,'Customer Info'!E2398:E2497,0,0)</f>
        <v>0</v>
      </c>
      <c r="J1259" s="1">
        <f>_xlfn.XLOOKUP('Customer Info'!A2398,'Customer Info'!A2398:A2497,'Customer Info'!M2398:M2497)</f>
        <v>0</v>
      </c>
    </row>
    <row r="1260" spans="1:10" ht="14" x14ac:dyDescent="0.2">
      <c r="A1260" s="2" t="s">
        <v>38</v>
      </c>
      <c r="B1260" s="2">
        <v>21</v>
      </c>
      <c r="C1260" s="2">
        <v>11</v>
      </c>
      <c r="D1260" s="2">
        <v>2021</v>
      </c>
      <c r="E1260" s="2">
        <v>93.3</v>
      </c>
      <c r="F1260" s="2">
        <v>91.5</v>
      </c>
      <c r="H1260" s="1">
        <f>_xlfn.XLOOKUP('Customer Info'!A1596,'Customer Info'!A1596:A1695,'Customer Info'!E1596:E1695,0,0)</f>
        <v>0</v>
      </c>
      <c r="J1260" s="1">
        <f>_xlfn.XLOOKUP('Customer Info'!A1596,'Customer Info'!A1596:A1695,'Customer Info'!M1596:M1695)</f>
        <v>0</v>
      </c>
    </row>
    <row r="1261" spans="1:10" ht="14" hidden="1" x14ac:dyDescent="0.2">
      <c r="A1261" s="2" t="s">
        <v>96</v>
      </c>
      <c r="B1261" s="2">
        <v>3</v>
      </c>
      <c r="C1261" s="2">
        <v>5</v>
      </c>
      <c r="D1261" s="2">
        <v>2020</v>
      </c>
      <c r="E1261" s="1" t="s">
        <v>94</v>
      </c>
      <c r="F1261" s="2">
        <v>91.45</v>
      </c>
      <c r="H1261" s="1">
        <f>_xlfn.XLOOKUP('Customer Info'!A109,'Customer Info'!A109:A208,'Customer Info'!E109:E208,0,0)</f>
        <v>0</v>
      </c>
      <c r="J1261" s="1">
        <f>_xlfn.XLOOKUP('Customer Info'!A109,'Customer Info'!A109:A208,'Customer Info'!M109:M208)</f>
        <v>0</v>
      </c>
    </row>
    <row r="1262" spans="1:10" ht="14" x14ac:dyDescent="0.2">
      <c r="A1262" s="2" t="s">
        <v>63</v>
      </c>
      <c r="B1262" s="2">
        <v>25</v>
      </c>
      <c r="C1262" s="2">
        <v>10</v>
      </c>
      <c r="D1262" s="2">
        <v>2021</v>
      </c>
      <c r="E1262" s="2">
        <v>68.819999999999993</v>
      </c>
      <c r="F1262" s="2">
        <v>91.45</v>
      </c>
      <c r="H1262" s="1">
        <f>_xlfn.XLOOKUP('Customer Info'!A1741,'Customer Info'!A1741:A1840,'Customer Info'!E1741:E1840,0,0)</f>
        <v>0</v>
      </c>
      <c r="J1262" s="1">
        <f>_xlfn.XLOOKUP('Customer Info'!A1741,'Customer Info'!A1741:A1840,'Customer Info'!M1741:M1840)</f>
        <v>0</v>
      </c>
    </row>
    <row r="1263" spans="1:10" ht="14" x14ac:dyDescent="0.2">
      <c r="A1263" s="2" t="s">
        <v>65</v>
      </c>
      <c r="B1263" s="2">
        <v>11</v>
      </c>
      <c r="C1263" s="2">
        <v>7</v>
      </c>
      <c r="D1263" s="2">
        <v>2021</v>
      </c>
      <c r="E1263" s="2">
        <v>47.43</v>
      </c>
      <c r="F1263" s="2">
        <v>91.45</v>
      </c>
      <c r="H1263" s="1">
        <f>_xlfn.XLOOKUP('Customer Info'!A1886,'Customer Info'!A1886:A1985,'Customer Info'!E1886:E1985,0,0)</f>
        <v>0</v>
      </c>
      <c r="J1263" s="1">
        <f>_xlfn.XLOOKUP('Customer Info'!A1886,'Customer Info'!A1886:A1985,'Customer Info'!M1886:M1985)</f>
        <v>0</v>
      </c>
    </row>
    <row r="1264" spans="1:10" ht="14" hidden="1" x14ac:dyDescent="0.2">
      <c r="A1264" s="2" t="s">
        <v>80</v>
      </c>
      <c r="B1264" s="2">
        <v>12</v>
      </c>
      <c r="C1264" s="2">
        <v>7</v>
      </c>
      <c r="D1264" s="2">
        <v>2020</v>
      </c>
      <c r="E1264" s="2">
        <v>44.64</v>
      </c>
      <c r="F1264" s="2">
        <v>91.45</v>
      </c>
      <c r="H1264" s="1">
        <f>_xlfn.XLOOKUP('Customer Info'!A687,'Customer Info'!A687:A786,'Customer Info'!E687:E786,0,0)</f>
        <v>0</v>
      </c>
      <c r="J1264" s="1">
        <f>_xlfn.XLOOKUP('Customer Info'!A687,'Customer Info'!A687:A786,'Customer Info'!M687:M786)</f>
        <v>0</v>
      </c>
    </row>
    <row r="1265" spans="1:10" ht="14" x14ac:dyDescent="0.2">
      <c r="A1265" s="2" t="s">
        <v>63</v>
      </c>
      <c r="B1265" s="2">
        <v>25</v>
      </c>
      <c r="C1265" s="2">
        <v>8</v>
      </c>
      <c r="D1265" s="2">
        <v>2021</v>
      </c>
      <c r="E1265" s="2">
        <v>35.96</v>
      </c>
      <c r="F1265" s="2">
        <v>91.45</v>
      </c>
      <c r="H1265" s="1">
        <f>_xlfn.XLOOKUP('Customer Info'!A1982,'Customer Info'!A1982:A2081,'Customer Info'!E1982:E2081,0,0)</f>
        <v>0</v>
      </c>
      <c r="J1265" s="1">
        <f>_xlfn.XLOOKUP('Customer Info'!A1982,'Customer Info'!A1982:A2081,'Customer Info'!M1982:M2081)</f>
        <v>0</v>
      </c>
    </row>
    <row r="1266" spans="1:10" ht="14" hidden="1" x14ac:dyDescent="0.2">
      <c r="A1266" s="2" t="s">
        <v>93</v>
      </c>
      <c r="B1266" s="2">
        <v>3</v>
      </c>
      <c r="C1266" s="2">
        <v>11</v>
      </c>
      <c r="D1266" s="2">
        <v>2020</v>
      </c>
      <c r="E1266" s="2">
        <v>140.4</v>
      </c>
      <c r="F1266" s="2">
        <v>91.2</v>
      </c>
      <c r="H1266" s="1">
        <f>_xlfn.XLOOKUP('Customer Info'!A162,'Customer Info'!A162:A261,'Customer Info'!E162:E261,0,0)</f>
        <v>0</v>
      </c>
      <c r="J1266" s="1">
        <f>_xlfn.XLOOKUP('Customer Info'!A162,'Customer Info'!A162:A261,'Customer Info'!M162:M261)</f>
        <v>0</v>
      </c>
    </row>
    <row r="1267" spans="1:10" ht="14" x14ac:dyDescent="0.2">
      <c r="A1267" s="2" t="s">
        <v>87</v>
      </c>
      <c r="B1267" s="2">
        <v>1</v>
      </c>
      <c r="C1267" s="2">
        <v>4</v>
      </c>
      <c r="D1267" s="2">
        <v>2021</v>
      </c>
      <c r="E1267" s="2">
        <v>96.9</v>
      </c>
      <c r="F1267" s="2">
        <v>91.2</v>
      </c>
      <c r="H1267" s="1">
        <f>_xlfn.XLOOKUP('Customer Info'!A1570,'Customer Info'!A1570:A1669,'Customer Info'!E1570:E1669,0,0)</f>
        <v>0</v>
      </c>
      <c r="J1267" s="1">
        <f>_xlfn.XLOOKUP('Customer Info'!A1570,'Customer Info'!A1570:A1669,'Customer Info'!M1570:M1669)</f>
        <v>0</v>
      </c>
    </row>
    <row r="1268" spans="1:10" ht="14" hidden="1" x14ac:dyDescent="0.2">
      <c r="A1268" s="2" t="s">
        <v>84</v>
      </c>
      <c r="B1268" s="2">
        <v>20</v>
      </c>
      <c r="C1268" s="2">
        <v>9</v>
      </c>
      <c r="D1268" s="2">
        <v>2020</v>
      </c>
      <c r="E1268" s="2">
        <v>65.400000000000006</v>
      </c>
      <c r="F1268" s="2">
        <v>91.2</v>
      </c>
      <c r="H1268" s="1">
        <f>_xlfn.XLOOKUP('Customer Info'!A545,'Customer Info'!A545:A644,'Customer Info'!E545:E644,0,0)</f>
        <v>0</v>
      </c>
      <c r="J1268" s="1">
        <f>_xlfn.XLOOKUP('Customer Info'!A545,'Customer Info'!A545:A644,'Customer Info'!M545:M644)</f>
        <v>0</v>
      </c>
    </row>
    <row r="1269" spans="1:10" ht="14" hidden="1" x14ac:dyDescent="0.2">
      <c r="A1269" s="2" t="s">
        <v>72</v>
      </c>
      <c r="B1269" s="2">
        <v>22</v>
      </c>
      <c r="C1269" s="2">
        <v>9</v>
      </c>
      <c r="D1269" s="2">
        <v>2020</v>
      </c>
      <c r="E1269" s="2">
        <v>58.2</v>
      </c>
      <c r="F1269" s="2">
        <v>91.2</v>
      </c>
      <c r="H1269" s="1">
        <f>_xlfn.XLOOKUP('Customer Info'!A597,'Customer Info'!A597:A696,'Customer Info'!E597:E696,0,0)</f>
        <v>0</v>
      </c>
      <c r="J1269" s="1">
        <f>_xlfn.XLOOKUP('Customer Info'!A597,'Customer Info'!A597:A696,'Customer Info'!M597:M696)</f>
        <v>0</v>
      </c>
    </row>
    <row r="1270" spans="1:10" ht="14" hidden="1" x14ac:dyDescent="0.2">
      <c r="A1270" s="2" t="s">
        <v>43</v>
      </c>
      <c r="B1270" s="2">
        <v>15</v>
      </c>
      <c r="C1270" s="2">
        <v>9</v>
      </c>
      <c r="D1270" s="2">
        <v>2020</v>
      </c>
      <c r="E1270" s="2">
        <v>36.6</v>
      </c>
      <c r="F1270" s="2">
        <v>91.2</v>
      </c>
      <c r="H1270" s="1">
        <f>_xlfn.XLOOKUP('Customer Info'!A769,'Customer Info'!A769:A868,'Customer Info'!E769:E868,0,0)</f>
        <v>0</v>
      </c>
      <c r="J1270" s="1">
        <f>_xlfn.XLOOKUP('Customer Info'!A769,'Customer Info'!A769:A868,'Customer Info'!M769:M868)</f>
        <v>0</v>
      </c>
    </row>
    <row r="1271" spans="1:10" ht="14" hidden="1" x14ac:dyDescent="0.2">
      <c r="A1271" s="2" t="s">
        <v>3</v>
      </c>
      <c r="B1271" s="2">
        <v>25</v>
      </c>
      <c r="C1271" s="2">
        <v>6</v>
      </c>
      <c r="D1271" s="2">
        <v>2020</v>
      </c>
      <c r="E1271" s="2">
        <v>0</v>
      </c>
      <c r="F1271" s="2">
        <v>91.2</v>
      </c>
      <c r="H1271" s="1">
        <f>_xlfn.XLOOKUP('Customer Info'!A1199,'Customer Info'!A1199:A1298,'Customer Info'!E1199:E1298,0,0)</f>
        <v>0</v>
      </c>
      <c r="J1271" s="1">
        <f>_xlfn.XLOOKUP('Customer Info'!A1199,'Customer Info'!A1199:A1298,'Customer Info'!M1199:M1298)</f>
        <v>0</v>
      </c>
    </row>
    <row r="1272" spans="1:10" ht="14" hidden="1" x14ac:dyDescent="0.2">
      <c r="A1272" s="2" t="s">
        <v>96</v>
      </c>
      <c r="B1272" s="2">
        <v>3</v>
      </c>
      <c r="C1272" s="2">
        <v>10</v>
      </c>
      <c r="D1272" s="2">
        <v>2020</v>
      </c>
      <c r="E1272" s="1" t="s">
        <v>94</v>
      </c>
      <c r="F1272" s="2">
        <v>91.14</v>
      </c>
      <c r="H1272" s="1">
        <f>_xlfn.XLOOKUP('Customer Info'!A110,'Customer Info'!A110:A209,'Customer Info'!E110:E209,0,0)</f>
        <v>0</v>
      </c>
      <c r="J1272" s="1">
        <f>_xlfn.XLOOKUP('Customer Info'!A110,'Customer Info'!A110:A209,'Customer Info'!M110:M209)</f>
        <v>0</v>
      </c>
    </row>
    <row r="1273" spans="1:10" ht="14" x14ac:dyDescent="0.2">
      <c r="A1273" s="2" t="s">
        <v>87</v>
      </c>
      <c r="B1273" s="2">
        <v>1</v>
      </c>
      <c r="C1273" s="2">
        <v>10</v>
      </c>
      <c r="D1273" s="2">
        <v>2021</v>
      </c>
      <c r="E1273" s="2">
        <v>109.43</v>
      </c>
      <c r="F1273" s="2">
        <v>91.14</v>
      </c>
      <c r="H1273" s="1">
        <f>_xlfn.XLOOKUP('Customer Info'!A1500,'Customer Info'!A1500:A1599,'Customer Info'!E1500:E1599,0,0)</f>
        <v>0</v>
      </c>
      <c r="J1273" s="1">
        <f>_xlfn.XLOOKUP('Customer Info'!A1500,'Customer Info'!A1500:A1599,'Customer Info'!M1500:M1599)</f>
        <v>0</v>
      </c>
    </row>
    <row r="1274" spans="1:10" ht="14" x14ac:dyDescent="0.2">
      <c r="A1274" s="2" t="s">
        <v>66</v>
      </c>
      <c r="B1274" s="2">
        <v>23</v>
      </c>
      <c r="C1274" s="2">
        <v>7</v>
      </c>
      <c r="D1274" s="2">
        <v>2021</v>
      </c>
      <c r="E1274" s="2">
        <v>44.64</v>
      </c>
      <c r="F1274" s="2">
        <v>91.14</v>
      </c>
      <c r="H1274" s="1">
        <f>_xlfn.XLOOKUP('Customer Info'!A1908,'Customer Info'!A1908:A2007,'Customer Info'!E1908:E2007,0,0)</f>
        <v>0</v>
      </c>
      <c r="J1274" s="1">
        <f>_xlfn.XLOOKUP('Customer Info'!A1908,'Customer Info'!A1908:A2007,'Customer Info'!M1908:M2007)</f>
        <v>0</v>
      </c>
    </row>
    <row r="1275" spans="1:10" ht="14" hidden="1" x14ac:dyDescent="0.2">
      <c r="A1275" s="2" t="s">
        <v>53</v>
      </c>
      <c r="B1275" s="2">
        <v>18</v>
      </c>
      <c r="C1275" s="2">
        <v>7</v>
      </c>
      <c r="D1275" s="2">
        <v>2020</v>
      </c>
      <c r="E1275" s="2">
        <v>35.65</v>
      </c>
      <c r="F1275" s="2">
        <v>91.14</v>
      </c>
      <c r="H1275" s="1">
        <f>_xlfn.XLOOKUP('Customer Info'!A781,'Customer Info'!A781:A880,'Customer Info'!E781:E880,0,0)</f>
        <v>0</v>
      </c>
      <c r="J1275" s="1">
        <f>_xlfn.XLOOKUP('Customer Info'!A781,'Customer Info'!A781:A880,'Customer Info'!M781:M880)</f>
        <v>0</v>
      </c>
    </row>
    <row r="1276" spans="1:10" ht="14" x14ac:dyDescent="0.2">
      <c r="A1276" s="2" t="s">
        <v>2</v>
      </c>
      <c r="B1276" s="2">
        <v>18</v>
      </c>
      <c r="C1276" s="2">
        <v>9</v>
      </c>
      <c r="D1276" s="2">
        <v>2021</v>
      </c>
      <c r="E1276" s="1" t="s">
        <v>94</v>
      </c>
      <c r="F1276" s="2">
        <v>90.9</v>
      </c>
      <c r="H1276" s="1">
        <f>_xlfn.XLOOKUP('Customer Info'!A1301,'Customer Info'!A1301:A1400,'Customer Info'!E1301:E1400,0,0)</f>
        <v>0</v>
      </c>
      <c r="J1276" s="1">
        <f>_xlfn.XLOOKUP('Customer Info'!A1301,'Customer Info'!A1301:A1400,'Customer Info'!M1301:M1400)</f>
        <v>0</v>
      </c>
    </row>
    <row r="1277" spans="1:10" ht="14" x14ac:dyDescent="0.2">
      <c r="A1277" s="2" t="s">
        <v>75</v>
      </c>
      <c r="B1277" s="2">
        <v>2</v>
      </c>
      <c r="C1277" s="2">
        <v>11</v>
      </c>
      <c r="D1277" s="2">
        <v>2021</v>
      </c>
      <c r="E1277" s="2">
        <v>120.3</v>
      </c>
      <c r="F1277" s="2">
        <v>90.9</v>
      </c>
      <c r="H1277" s="1">
        <f>_xlfn.XLOOKUP('Customer Info'!A1439,'Customer Info'!A1439:A1538,'Customer Info'!E1439:E1538,0,0)</f>
        <v>0</v>
      </c>
      <c r="J1277" s="1">
        <f>_xlfn.XLOOKUP('Customer Info'!A1439,'Customer Info'!A1439:A1538,'Customer Info'!M1439:M1538)</f>
        <v>0</v>
      </c>
    </row>
    <row r="1278" spans="1:10" ht="14" x14ac:dyDescent="0.2">
      <c r="A1278" s="2" t="s">
        <v>43</v>
      </c>
      <c r="B1278" s="2">
        <v>15</v>
      </c>
      <c r="C1278" s="2">
        <v>9</v>
      </c>
      <c r="D1278" s="2">
        <v>2021</v>
      </c>
      <c r="E1278" s="2">
        <v>47.1</v>
      </c>
      <c r="F1278" s="2">
        <v>90.9</v>
      </c>
      <c r="H1278" s="1">
        <f>_xlfn.XLOOKUP('Customer Info'!A1890,'Customer Info'!A1890:A1989,'Customer Info'!E1890:E1989,0,0)</f>
        <v>0</v>
      </c>
      <c r="J1278" s="1">
        <f>_xlfn.XLOOKUP('Customer Info'!A1890,'Customer Info'!A1890:A1989,'Customer Info'!M1890:M1989)</f>
        <v>0</v>
      </c>
    </row>
    <row r="1279" spans="1:10" ht="14" hidden="1" x14ac:dyDescent="0.2">
      <c r="A1279" s="2" t="s">
        <v>70</v>
      </c>
      <c r="B1279" s="2">
        <v>16</v>
      </c>
      <c r="C1279" s="2">
        <v>1</v>
      </c>
      <c r="D1279" s="2">
        <v>2020</v>
      </c>
      <c r="E1279" s="2">
        <v>115.01</v>
      </c>
      <c r="F1279" s="2">
        <v>90.83</v>
      </c>
      <c r="H1279" s="1">
        <f>_xlfn.XLOOKUP('Customer Info'!A229,'Customer Info'!A229:A328,'Customer Info'!E229:E328,0,0)</f>
        <v>0</v>
      </c>
      <c r="J1279" s="1">
        <f>_xlfn.XLOOKUP('Customer Info'!A229,'Customer Info'!A229:A328,'Customer Info'!M229:M328)</f>
        <v>0</v>
      </c>
    </row>
    <row r="1280" spans="1:10" ht="14" x14ac:dyDescent="0.2">
      <c r="A1280" s="2" t="s">
        <v>76</v>
      </c>
      <c r="B1280" s="2">
        <v>9</v>
      </c>
      <c r="C1280" s="2">
        <v>7</v>
      </c>
      <c r="D1280" s="2">
        <v>2021</v>
      </c>
      <c r="E1280" s="2">
        <v>44.64</v>
      </c>
      <c r="F1280" s="2">
        <v>90.83</v>
      </c>
      <c r="H1280" s="1">
        <f>_xlfn.XLOOKUP('Customer Info'!A1909,'Customer Info'!A1909:A2008,'Customer Info'!E1909:E2008,0,0)</f>
        <v>0</v>
      </c>
      <c r="J1280" s="1">
        <f>_xlfn.XLOOKUP('Customer Info'!A1909,'Customer Info'!A1909:A2008,'Customer Info'!M1909:M2008)</f>
        <v>0</v>
      </c>
    </row>
    <row r="1281" spans="1:10" ht="14" hidden="1" x14ac:dyDescent="0.2">
      <c r="A1281" s="2" t="s">
        <v>68</v>
      </c>
      <c r="B1281" s="2">
        <v>11</v>
      </c>
      <c r="C1281" s="2">
        <v>8</v>
      </c>
      <c r="D1281" s="2">
        <v>2020</v>
      </c>
      <c r="E1281" s="2">
        <v>42.78</v>
      </c>
      <c r="F1281" s="2">
        <v>90.83</v>
      </c>
      <c r="H1281" s="1">
        <f>_xlfn.XLOOKUP('Customer Info'!A710,'Customer Info'!A710:A809,'Customer Info'!E710:E809,0,0)</f>
        <v>0</v>
      </c>
      <c r="J1281" s="1">
        <f>_xlfn.XLOOKUP('Customer Info'!A710,'Customer Info'!A710:A809,'Customer Info'!M710:M809)</f>
        <v>0</v>
      </c>
    </row>
    <row r="1282" spans="1:10" ht="14" hidden="1" x14ac:dyDescent="0.2">
      <c r="A1282" s="2" t="s">
        <v>60</v>
      </c>
      <c r="B1282" s="2">
        <v>20</v>
      </c>
      <c r="C1282" s="2">
        <v>7</v>
      </c>
      <c r="D1282" s="2">
        <v>2020</v>
      </c>
      <c r="E1282" s="2">
        <v>33.479999999999997</v>
      </c>
      <c r="F1282" s="2">
        <v>90.83</v>
      </c>
      <c r="H1282" s="1">
        <f>_xlfn.XLOOKUP('Customer Info'!A797,'Customer Info'!A797:A896,'Customer Info'!E797:E896,0,0)</f>
        <v>0</v>
      </c>
      <c r="J1282" s="1">
        <f>_xlfn.XLOOKUP('Customer Info'!A797,'Customer Info'!A797:A896,'Customer Info'!M797:M896)</f>
        <v>0</v>
      </c>
    </row>
    <row r="1283" spans="1:10" ht="14" hidden="1" x14ac:dyDescent="0.2">
      <c r="A1283" s="2" t="s">
        <v>41</v>
      </c>
      <c r="B1283" s="2">
        <v>15</v>
      </c>
      <c r="C1283" s="2">
        <v>8</v>
      </c>
      <c r="D1283" s="2">
        <v>2020</v>
      </c>
      <c r="E1283" s="2">
        <v>31.93</v>
      </c>
      <c r="F1283" s="2">
        <v>90.83</v>
      </c>
      <c r="H1283" s="1">
        <f>_xlfn.XLOOKUP('Customer Info'!A804,'Customer Info'!A804:A903,'Customer Info'!E804:E903,0,0)</f>
        <v>0</v>
      </c>
      <c r="J1283" s="1">
        <f>_xlfn.XLOOKUP('Customer Info'!A804,'Customer Info'!A804:A903,'Customer Info'!M804:M903)</f>
        <v>0</v>
      </c>
    </row>
    <row r="1284" spans="1:10" ht="14" hidden="1" x14ac:dyDescent="0.2">
      <c r="A1284" s="2" t="s">
        <v>41</v>
      </c>
      <c r="B1284" s="2">
        <v>15</v>
      </c>
      <c r="C1284" s="2">
        <v>2</v>
      </c>
      <c r="D1284" s="2">
        <v>2020</v>
      </c>
      <c r="E1284" s="2">
        <v>93.8</v>
      </c>
      <c r="F1284" s="2">
        <v>90.72</v>
      </c>
      <c r="H1284" s="1">
        <f>_xlfn.XLOOKUP('Customer Info'!A374,'Customer Info'!A374:A473,'Customer Info'!E374:E473,0,0)</f>
        <v>0</v>
      </c>
      <c r="J1284" s="1">
        <f>_xlfn.XLOOKUP('Customer Info'!A374,'Customer Info'!A374:A473,'Customer Info'!M374:M473)</f>
        <v>0</v>
      </c>
    </row>
    <row r="1285" spans="1:10" ht="14" hidden="1" x14ac:dyDescent="0.2">
      <c r="A1285" s="2" t="s">
        <v>41</v>
      </c>
      <c r="B1285" s="2">
        <v>15</v>
      </c>
      <c r="C1285" s="2">
        <v>4</v>
      </c>
      <c r="D1285" s="2">
        <v>2020</v>
      </c>
      <c r="E1285" s="2">
        <v>61.2</v>
      </c>
      <c r="F1285" s="2">
        <v>90.6</v>
      </c>
      <c r="H1285" s="1">
        <f>_xlfn.XLOOKUP('Customer Info'!A578,'Customer Info'!A578:A677,'Customer Info'!E578:E677,0,0)</f>
        <v>0</v>
      </c>
      <c r="J1285" s="1">
        <f>_xlfn.XLOOKUP('Customer Info'!A578,'Customer Info'!A578:A677,'Customer Info'!M578:M677)</f>
        <v>0</v>
      </c>
    </row>
    <row r="1286" spans="1:10" ht="14" x14ac:dyDescent="0.2">
      <c r="A1286" s="2" t="s">
        <v>84</v>
      </c>
      <c r="B1286" s="2">
        <v>20</v>
      </c>
      <c r="C1286" s="2">
        <v>6</v>
      </c>
      <c r="D1286" s="2">
        <v>2021</v>
      </c>
      <c r="E1286" s="2">
        <v>46.8</v>
      </c>
      <c r="F1286" s="2">
        <v>90.6</v>
      </c>
      <c r="H1286" s="1">
        <f>_xlfn.XLOOKUP('Customer Info'!A1894,'Customer Info'!A1894:A1993,'Customer Info'!E1894:E1993,0,0)</f>
        <v>0</v>
      </c>
      <c r="J1286" s="1">
        <f>_xlfn.XLOOKUP('Customer Info'!A1894,'Customer Info'!A1894:A1993,'Customer Info'!M1894:M1993)</f>
        <v>0</v>
      </c>
    </row>
    <row r="1287" spans="1:10" ht="14" hidden="1" x14ac:dyDescent="0.2">
      <c r="A1287" s="2" t="s">
        <v>57</v>
      </c>
      <c r="B1287" s="2">
        <v>17</v>
      </c>
      <c r="C1287" s="2">
        <v>12</v>
      </c>
      <c r="D1287" s="2">
        <v>2020</v>
      </c>
      <c r="E1287" s="2">
        <v>117.18</v>
      </c>
      <c r="F1287" s="2">
        <v>90.52</v>
      </c>
      <c r="H1287" s="1">
        <f>_xlfn.XLOOKUP('Customer Info'!A219,'Customer Info'!A219:A318,'Customer Info'!E219:E318,0,0)</f>
        <v>0</v>
      </c>
      <c r="J1287" s="1">
        <f>_xlfn.XLOOKUP('Customer Info'!A219,'Customer Info'!A219:A318,'Customer Info'!M219:M318)</f>
        <v>0</v>
      </c>
    </row>
    <row r="1288" spans="1:10" ht="14" x14ac:dyDescent="0.2">
      <c r="A1288" s="2" t="s">
        <v>69</v>
      </c>
      <c r="B1288" s="2">
        <v>12</v>
      </c>
      <c r="C1288" s="2">
        <v>5</v>
      </c>
      <c r="D1288" s="2">
        <v>2021</v>
      </c>
      <c r="E1288" s="2">
        <v>47.12</v>
      </c>
      <c r="F1288" s="2">
        <v>90.52</v>
      </c>
      <c r="H1288" s="1">
        <f>_xlfn.XLOOKUP('Customer Info'!A1887,'Customer Info'!A1887:A1986,'Customer Info'!E1887:E1986,0,0)</f>
        <v>0</v>
      </c>
      <c r="J1288" s="1">
        <f>_xlfn.XLOOKUP('Customer Info'!A1887,'Customer Info'!A1887:A1986,'Customer Info'!M1887:M1986)</f>
        <v>0</v>
      </c>
    </row>
    <row r="1289" spans="1:10" ht="14" hidden="1" x14ac:dyDescent="0.2">
      <c r="A1289" s="2" t="s">
        <v>60</v>
      </c>
      <c r="B1289" s="2">
        <v>20</v>
      </c>
      <c r="C1289" s="2">
        <v>5</v>
      </c>
      <c r="D1289" s="2">
        <v>2020</v>
      </c>
      <c r="E1289" s="2">
        <v>46.5</v>
      </c>
      <c r="F1289" s="2">
        <v>90.52</v>
      </c>
      <c r="H1289" s="1">
        <f>_xlfn.XLOOKUP('Customer Info'!A670,'Customer Info'!A670:A769,'Customer Info'!E670:E769,0,0)</f>
        <v>0</v>
      </c>
      <c r="J1289" s="1">
        <f>_xlfn.XLOOKUP('Customer Info'!A670,'Customer Info'!A670:A769,'Customer Info'!M670:M769)</f>
        <v>0</v>
      </c>
    </row>
    <row r="1290" spans="1:10" ht="14" x14ac:dyDescent="0.2">
      <c r="A1290" s="2" t="s">
        <v>44</v>
      </c>
      <c r="B1290" s="2">
        <v>1</v>
      </c>
      <c r="C1290" s="2">
        <v>2</v>
      </c>
      <c r="D1290" s="2">
        <v>2021</v>
      </c>
      <c r="E1290" s="2">
        <v>122.64</v>
      </c>
      <c r="F1290" s="2">
        <v>90.44</v>
      </c>
      <c r="H1290" s="1">
        <f>_xlfn.XLOOKUP('Customer Info'!A1430,'Customer Info'!A1430:A1529,'Customer Info'!E1430:E1529,0,0)</f>
        <v>0</v>
      </c>
      <c r="J1290" s="1">
        <f>_xlfn.XLOOKUP('Customer Info'!A1430,'Customer Info'!A1430:A1529,'Customer Info'!M1430:M1529)</f>
        <v>0</v>
      </c>
    </row>
    <row r="1291" spans="1:10" ht="14" hidden="1" x14ac:dyDescent="0.2">
      <c r="A1291" s="2" t="s">
        <v>90</v>
      </c>
      <c r="B1291" s="2">
        <v>18</v>
      </c>
      <c r="C1291" s="2">
        <v>2</v>
      </c>
      <c r="D1291" s="2">
        <v>2020</v>
      </c>
      <c r="E1291" s="2">
        <v>122.08</v>
      </c>
      <c r="F1291" s="2">
        <v>90.44</v>
      </c>
      <c r="H1291" s="1">
        <f>_xlfn.XLOOKUP('Customer Info'!A199,'Customer Info'!A199:A298,'Customer Info'!E199:E298,0,0)</f>
        <v>0</v>
      </c>
      <c r="J1291" s="1">
        <f>_xlfn.XLOOKUP('Customer Info'!A199,'Customer Info'!A199:A298,'Customer Info'!M199:M298)</f>
        <v>0</v>
      </c>
    </row>
    <row r="1292" spans="1:10" ht="14" hidden="1" x14ac:dyDescent="0.2">
      <c r="A1292" s="2" t="s">
        <v>71</v>
      </c>
      <c r="B1292" s="2">
        <v>21</v>
      </c>
      <c r="C1292" s="2">
        <v>2</v>
      </c>
      <c r="D1292" s="2">
        <v>2020</v>
      </c>
      <c r="E1292" s="2">
        <v>110.32</v>
      </c>
      <c r="F1292" s="2">
        <v>90.44</v>
      </c>
      <c r="H1292" s="1">
        <f>_xlfn.XLOOKUP('Customer Info'!A260,'Customer Info'!A260:A359,'Customer Info'!E260:E359,0,0)</f>
        <v>0</v>
      </c>
      <c r="J1292" s="1">
        <f>_xlfn.XLOOKUP('Customer Info'!A260,'Customer Info'!A260:A359,'Customer Info'!M260:M359)</f>
        <v>0</v>
      </c>
    </row>
    <row r="1293" spans="1:10" ht="14" x14ac:dyDescent="0.2">
      <c r="A1293" s="2" t="s">
        <v>88</v>
      </c>
      <c r="B1293" s="2">
        <v>23</v>
      </c>
      <c r="C1293" s="2">
        <v>9</v>
      </c>
      <c r="D1293" s="2">
        <v>2021</v>
      </c>
      <c r="E1293" s="2">
        <v>69</v>
      </c>
      <c r="F1293" s="2">
        <v>90.3</v>
      </c>
      <c r="H1293" s="1">
        <f>_xlfn.XLOOKUP('Customer Info'!A1740,'Customer Info'!A1740:A1839,'Customer Info'!E1740:E1839,0,0)</f>
        <v>0</v>
      </c>
      <c r="J1293" s="1">
        <f>_xlfn.XLOOKUP('Customer Info'!A1740,'Customer Info'!A1740:A1839,'Customer Info'!M1740:M1839)</f>
        <v>0</v>
      </c>
    </row>
    <row r="1294" spans="1:10" ht="14" x14ac:dyDescent="0.2">
      <c r="A1294" s="2" t="s">
        <v>45</v>
      </c>
      <c r="B1294" s="2">
        <v>18</v>
      </c>
      <c r="C1294" s="2">
        <v>9</v>
      </c>
      <c r="D1294" s="2">
        <v>2021</v>
      </c>
      <c r="E1294" s="2">
        <v>40.799999999999997</v>
      </c>
      <c r="F1294" s="2">
        <v>90.3</v>
      </c>
      <c r="H1294" s="1">
        <f>_xlfn.XLOOKUP('Customer Info'!A1935,'Customer Info'!A1935:A2034,'Customer Info'!E1935:E2034,0,0)</f>
        <v>0</v>
      </c>
      <c r="J1294" s="1">
        <f>_xlfn.XLOOKUP('Customer Info'!A1935,'Customer Info'!A1935:A2034,'Customer Info'!M1935:M2034)</f>
        <v>0</v>
      </c>
    </row>
    <row r="1295" spans="1:10" ht="14" x14ac:dyDescent="0.2">
      <c r="A1295" s="2" t="s">
        <v>97</v>
      </c>
      <c r="B1295" s="2">
        <v>12</v>
      </c>
      <c r="C1295" s="2">
        <v>5</v>
      </c>
      <c r="D1295" s="2">
        <v>2021</v>
      </c>
      <c r="E1295" s="1" t="s">
        <v>94</v>
      </c>
      <c r="F1295" s="2">
        <v>90.21</v>
      </c>
      <c r="H1295" s="1">
        <f>_xlfn.XLOOKUP('Customer Info'!A1302,'Customer Info'!A1302:A1401,'Customer Info'!E1302:E1401,0,0)</f>
        <v>0</v>
      </c>
      <c r="J1295" s="1">
        <f>_xlfn.XLOOKUP('Customer Info'!A1302,'Customer Info'!A1302:A1401,'Customer Info'!M1302:M1401)</f>
        <v>0</v>
      </c>
    </row>
    <row r="1296" spans="1:10" ht="14" x14ac:dyDescent="0.2">
      <c r="A1296" s="2" t="s">
        <v>93</v>
      </c>
      <c r="B1296" s="2">
        <v>3</v>
      </c>
      <c r="C1296" s="2">
        <v>1</v>
      </c>
      <c r="D1296" s="2">
        <v>2021</v>
      </c>
      <c r="E1296" s="2">
        <v>160.58000000000001</v>
      </c>
      <c r="F1296" s="2">
        <v>90.21</v>
      </c>
      <c r="H1296" s="1">
        <f>_xlfn.XLOOKUP('Customer Info'!A1341,'Customer Info'!A1341:A1440,'Customer Info'!E1341:E1440,0,0)</f>
        <v>0</v>
      </c>
      <c r="J1296" s="1">
        <f>_xlfn.XLOOKUP('Customer Info'!A1341,'Customer Info'!A1341:A1440,'Customer Info'!M1341:M1440)</f>
        <v>0</v>
      </c>
    </row>
    <row r="1297" spans="1:10" ht="14" x14ac:dyDescent="0.2">
      <c r="A1297" s="2" t="s">
        <v>76</v>
      </c>
      <c r="B1297" s="2">
        <v>9</v>
      </c>
      <c r="C1297" s="2">
        <v>12</v>
      </c>
      <c r="D1297" s="2">
        <v>2021</v>
      </c>
      <c r="E1297" s="2">
        <v>105.4</v>
      </c>
      <c r="F1297" s="2">
        <v>90.21</v>
      </c>
      <c r="H1297" s="1">
        <f>_xlfn.XLOOKUP('Customer Info'!A1526,'Customer Info'!A1526:A1625,'Customer Info'!E1526:E1625,0,0)</f>
        <v>0</v>
      </c>
      <c r="J1297" s="1">
        <f>_xlfn.XLOOKUP('Customer Info'!A1526,'Customer Info'!A1526:A1625,'Customer Info'!M1526:M1625)</f>
        <v>0</v>
      </c>
    </row>
    <row r="1298" spans="1:10" ht="14" hidden="1" x14ac:dyDescent="0.2">
      <c r="A1298" s="2" t="s">
        <v>96</v>
      </c>
      <c r="B1298" s="2">
        <v>3</v>
      </c>
      <c r="C1298" s="2">
        <v>11</v>
      </c>
      <c r="D1298" s="2">
        <v>2020</v>
      </c>
      <c r="E1298" s="1" t="s">
        <v>94</v>
      </c>
      <c r="F1298" s="2">
        <v>90</v>
      </c>
      <c r="H1298" s="1">
        <f>_xlfn.XLOOKUP('Customer Info'!A111,'Customer Info'!A111:A210,'Customer Info'!E111:E210,0,0)</f>
        <v>0</v>
      </c>
      <c r="J1298" s="1">
        <f>_xlfn.XLOOKUP('Customer Info'!A111,'Customer Info'!A111:A210,'Customer Info'!M111:M210)</f>
        <v>0</v>
      </c>
    </row>
    <row r="1299" spans="1:10" ht="14" x14ac:dyDescent="0.2">
      <c r="A1299" s="2" t="s">
        <v>54</v>
      </c>
      <c r="B1299" s="2">
        <v>5</v>
      </c>
      <c r="C1299" s="2">
        <v>11</v>
      </c>
      <c r="D1299" s="2">
        <v>2021</v>
      </c>
      <c r="E1299" s="2">
        <v>108.3</v>
      </c>
      <c r="F1299" s="2">
        <v>90</v>
      </c>
      <c r="H1299" s="1">
        <f>_xlfn.XLOOKUP('Customer Info'!A1508,'Customer Info'!A1508:A1607,'Customer Info'!E1508:E1607,0,0)</f>
        <v>0</v>
      </c>
      <c r="J1299" s="1">
        <f>_xlfn.XLOOKUP('Customer Info'!A1508,'Customer Info'!A1508:A1607,'Customer Info'!M1508:M1607)</f>
        <v>0</v>
      </c>
    </row>
    <row r="1300" spans="1:10" ht="14" x14ac:dyDescent="0.2">
      <c r="A1300" s="2" t="s">
        <v>46</v>
      </c>
      <c r="B1300" s="2">
        <v>9</v>
      </c>
      <c r="C1300" s="2">
        <v>4</v>
      </c>
      <c r="D1300" s="2">
        <v>2021</v>
      </c>
      <c r="E1300" s="2">
        <v>66.3</v>
      </c>
      <c r="F1300" s="2">
        <v>90</v>
      </c>
      <c r="H1300" s="1">
        <f>_xlfn.XLOOKUP('Customer Info'!A1757,'Customer Info'!A1757:A1856,'Customer Info'!E1757:E1856,0,0)</f>
        <v>0</v>
      </c>
      <c r="J1300" s="1">
        <f>_xlfn.XLOOKUP('Customer Info'!A1757,'Customer Info'!A1757:A1856,'Customer Info'!M1757:M1856)</f>
        <v>0</v>
      </c>
    </row>
    <row r="1301" spans="1:10" ht="14" x14ac:dyDescent="0.2">
      <c r="A1301" s="2" t="s">
        <v>86</v>
      </c>
      <c r="B1301" s="2">
        <v>6</v>
      </c>
      <c r="C1301" s="2">
        <v>6</v>
      </c>
      <c r="D1301" s="2">
        <v>2021</v>
      </c>
      <c r="E1301" s="2">
        <v>49.8</v>
      </c>
      <c r="F1301" s="2">
        <v>90</v>
      </c>
      <c r="H1301" s="1">
        <f>_xlfn.XLOOKUP('Customer Info'!A1867,'Customer Info'!A1867:A1966,'Customer Info'!E1867:E1966,0,0)</f>
        <v>0</v>
      </c>
      <c r="J1301" s="1">
        <f>_xlfn.XLOOKUP('Customer Info'!A1867,'Customer Info'!A1867:A1966,'Customer Info'!M1867:M1966)</f>
        <v>0</v>
      </c>
    </row>
    <row r="1302" spans="1:10" ht="14" hidden="1" x14ac:dyDescent="0.2">
      <c r="A1302" s="2" t="s">
        <v>63</v>
      </c>
      <c r="B1302" s="2">
        <v>25</v>
      </c>
      <c r="C1302" s="2">
        <v>1</v>
      </c>
      <c r="D1302" s="2">
        <v>2020</v>
      </c>
      <c r="E1302" s="2">
        <v>123.07</v>
      </c>
      <c r="F1302" s="2">
        <v>89.9</v>
      </c>
      <c r="H1302" s="1">
        <f>_xlfn.XLOOKUP('Customer Info'!A194,'Customer Info'!A194:A293,'Customer Info'!E194:E293,0,0)</f>
        <v>0</v>
      </c>
      <c r="J1302" s="1">
        <f>_xlfn.XLOOKUP('Customer Info'!A194,'Customer Info'!A194:A293,'Customer Info'!M194:M293)</f>
        <v>0</v>
      </c>
    </row>
    <row r="1303" spans="1:10" ht="14" x14ac:dyDescent="0.2">
      <c r="A1303" s="2" t="s">
        <v>61</v>
      </c>
      <c r="B1303" s="2">
        <v>23</v>
      </c>
      <c r="C1303" s="2">
        <v>12</v>
      </c>
      <c r="D1303" s="2">
        <v>2021</v>
      </c>
      <c r="E1303" s="2">
        <v>122.14</v>
      </c>
      <c r="F1303" s="2">
        <v>89.9</v>
      </c>
      <c r="H1303" s="1">
        <f>_xlfn.XLOOKUP('Customer Info'!A1431,'Customer Info'!A1431:A1530,'Customer Info'!E1431:E1530,0,0)</f>
        <v>0</v>
      </c>
      <c r="J1303" s="1">
        <f>_xlfn.XLOOKUP('Customer Info'!A1431,'Customer Info'!A1431:A1530,'Customer Info'!M1431:M1530)</f>
        <v>0</v>
      </c>
    </row>
    <row r="1304" spans="1:10" ht="14" hidden="1" x14ac:dyDescent="0.2">
      <c r="A1304" s="2" t="s">
        <v>60</v>
      </c>
      <c r="B1304" s="2">
        <v>20</v>
      </c>
      <c r="C1304" s="2">
        <v>12</v>
      </c>
      <c r="D1304" s="2">
        <v>2020</v>
      </c>
      <c r="E1304" s="2">
        <v>119.66</v>
      </c>
      <c r="F1304" s="2">
        <v>89.9</v>
      </c>
      <c r="H1304" s="1">
        <f>_xlfn.XLOOKUP('Customer Info'!A209,'Customer Info'!A209:A308,'Customer Info'!E209:E308,0,0)</f>
        <v>0</v>
      </c>
      <c r="J1304" s="1">
        <f>_xlfn.XLOOKUP('Customer Info'!A209,'Customer Info'!A209:A308,'Customer Info'!M209:M308)</f>
        <v>0</v>
      </c>
    </row>
    <row r="1305" spans="1:10" ht="14" x14ac:dyDescent="0.2">
      <c r="A1305" s="2" t="s">
        <v>61</v>
      </c>
      <c r="B1305" s="2">
        <v>23</v>
      </c>
      <c r="C1305" s="2">
        <v>10</v>
      </c>
      <c r="D1305" s="2">
        <v>2021</v>
      </c>
      <c r="E1305" s="2">
        <v>86.49</v>
      </c>
      <c r="F1305" s="2">
        <v>89.9</v>
      </c>
      <c r="H1305" s="1">
        <f>_xlfn.XLOOKUP('Customer Info'!A1631,'Customer Info'!A1631:A1730,'Customer Info'!E1631:E1730,0,0)</f>
        <v>0</v>
      </c>
      <c r="J1305" s="1">
        <f>_xlfn.XLOOKUP('Customer Info'!A1631,'Customer Info'!A1631:A1730,'Customer Info'!M1631:M1730)</f>
        <v>0</v>
      </c>
    </row>
    <row r="1306" spans="1:10" ht="14" hidden="1" x14ac:dyDescent="0.2">
      <c r="A1306" s="2" t="s">
        <v>80</v>
      </c>
      <c r="B1306" s="2">
        <v>12</v>
      </c>
      <c r="C1306" s="2">
        <v>10</v>
      </c>
      <c r="D1306" s="2">
        <v>2020</v>
      </c>
      <c r="E1306" s="2">
        <v>84.01</v>
      </c>
      <c r="F1306" s="2">
        <v>89.9</v>
      </c>
      <c r="H1306" s="1">
        <f>_xlfn.XLOOKUP('Customer Info'!A423,'Customer Info'!A423:A522,'Customer Info'!E423:E522,0,0)</f>
        <v>0</v>
      </c>
      <c r="J1306" s="1">
        <f>_xlfn.XLOOKUP('Customer Info'!A423,'Customer Info'!A423:A522,'Customer Info'!M423:M522)</f>
        <v>0</v>
      </c>
    </row>
    <row r="1307" spans="1:10" ht="14" hidden="1" x14ac:dyDescent="0.2">
      <c r="A1307" s="2" t="s">
        <v>53</v>
      </c>
      <c r="B1307" s="2">
        <v>18</v>
      </c>
      <c r="C1307" s="2">
        <v>3</v>
      </c>
      <c r="D1307" s="2">
        <v>2020</v>
      </c>
      <c r="E1307" s="2">
        <v>76.569999999999993</v>
      </c>
      <c r="F1307" s="2">
        <v>89.9</v>
      </c>
      <c r="H1307" s="1">
        <f>_xlfn.XLOOKUP('Customer Info'!A458,'Customer Info'!A458:A557,'Customer Info'!E458:E557,0,0)</f>
        <v>0</v>
      </c>
      <c r="J1307" s="1">
        <f>_xlfn.XLOOKUP('Customer Info'!A458,'Customer Info'!A458:A557,'Customer Info'!M458:M557)</f>
        <v>0</v>
      </c>
    </row>
    <row r="1308" spans="1:10" ht="14" x14ac:dyDescent="0.2">
      <c r="A1308" s="2" t="s">
        <v>69</v>
      </c>
      <c r="B1308" s="2">
        <v>12</v>
      </c>
      <c r="C1308" s="2">
        <v>7</v>
      </c>
      <c r="D1308" s="2">
        <v>2021</v>
      </c>
      <c r="E1308" s="2">
        <v>37.51</v>
      </c>
      <c r="F1308" s="2">
        <v>89.9</v>
      </c>
      <c r="H1308" s="1">
        <f>_xlfn.XLOOKUP('Customer Info'!A1965,'Customer Info'!A1965:A2064,'Customer Info'!E1965:E2064,0,0)</f>
        <v>0</v>
      </c>
      <c r="J1308" s="1">
        <f>_xlfn.XLOOKUP('Customer Info'!A1965,'Customer Info'!A1965:A2064,'Customer Info'!M1965:M2064)</f>
        <v>0</v>
      </c>
    </row>
    <row r="1309" spans="1:10" ht="14" x14ac:dyDescent="0.2">
      <c r="A1309" s="2" t="s">
        <v>65</v>
      </c>
      <c r="B1309" s="2">
        <v>11</v>
      </c>
      <c r="C1309" s="2">
        <v>4</v>
      </c>
      <c r="D1309" s="2">
        <v>2021</v>
      </c>
      <c r="E1309" s="2">
        <v>88.2</v>
      </c>
      <c r="F1309" s="2">
        <v>89.7</v>
      </c>
      <c r="H1309" s="1">
        <f>_xlfn.XLOOKUP('Customer Info'!A1619,'Customer Info'!A1619:A1718,'Customer Info'!E1619:E1718,0,0)</f>
        <v>0</v>
      </c>
      <c r="J1309" s="1">
        <f>_xlfn.XLOOKUP('Customer Info'!A1619,'Customer Info'!A1619:A1718,'Customer Info'!M1619:M1718)</f>
        <v>0</v>
      </c>
    </row>
    <row r="1310" spans="1:10" ht="14" hidden="1" x14ac:dyDescent="0.2">
      <c r="A1310" s="2" t="s">
        <v>60</v>
      </c>
      <c r="B1310" s="2">
        <v>20</v>
      </c>
      <c r="C1310" s="2">
        <v>6</v>
      </c>
      <c r="D1310" s="2">
        <v>2020</v>
      </c>
      <c r="E1310" s="2">
        <v>39.6</v>
      </c>
      <c r="F1310" s="2">
        <v>89.7</v>
      </c>
      <c r="H1310" s="1">
        <f>_xlfn.XLOOKUP('Customer Info'!A734,'Customer Info'!A734:A833,'Customer Info'!E734:E833,0,0)</f>
        <v>0</v>
      </c>
      <c r="J1310" s="1">
        <f>_xlfn.XLOOKUP('Customer Info'!A734,'Customer Info'!A734:A833,'Customer Info'!M734:M833)</f>
        <v>0</v>
      </c>
    </row>
    <row r="1311" spans="1:10" ht="14" x14ac:dyDescent="0.2">
      <c r="A1311" s="2" t="s">
        <v>57</v>
      </c>
      <c r="B1311" s="2">
        <v>17</v>
      </c>
      <c r="C1311" s="2">
        <v>6</v>
      </c>
      <c r="D1311" s="2">
        <v>2021</v>
      </c>
      <c r="E1311" s="2">
        <v>39.6</v>
      </c>
      <c r="F1311" s="2">
        <v>89.7</v>
      </c>
      <c r="H1311" s="1">
        <f>_xlfn.XLOOKUP('Customer Info'!A1944,'Customer Info'!A1944:A2043,'Customer Info'!E1944:E2043,0,0)</f>
        <v>0</v>
      </c>
      <c r="J1311" s="1">
        <f>_xlfn.XLOOKUP('Customer Info'!A1944,'Customer Info'!A1944:A2043,'Customer Info'!M1944:M2043)</f>
        <v>0</v>
      </c>
    </row>
    <row r="1312" spans="1:10" ht="14" x14ac:dyDescent="0.2">
      <c r="A1312" s="2" t="s">
        <v>52</v>
      </c>
      <c r="B1312" s="2">
        <v>1</v>
      </c>
      <c r="C1312" s="2">
        <v>1</v>
      </c>
      <c r="D1312" s="2">
        <v>2021</v>
      </c>
      <c r="E1312" s="2">
        <v>100.75</v>
      </c>
      <c r="F1312" s="2">
        <v>89.59</v>
      </c>
      <c r="H1312" s="1">
        <f>_xlfn.XLOOKUP('Customer Info'!A1549,'Customer Info'!A1549:A1648,'Customer Info'!E1549:E1648,0,0)</f>
        <v>0</v>
      </c>
      <c r="J1312" s="1">
        <f>_xlfn.XLOOKUP('Customer Info'!A1549,'Customer Info'!A1549:A1648,'Customer Info'!M1549:M1648)</f>
        <v>0</v>
      </c>
    </row>
    <row r="1313" spans="1:10" ht="14" x14ac:dyDescent="0.2">
      <c r="A1313" s="2" t="s">
        <v>38</v>
      </c>
      <c r="B1313" s="2">
        <v>21</v>
      </c>
      <c r="C1313" s="2">
        <v>10</v>
      </c>
      <c r="D1313" s="2">
        <v>2021</v>
      </c>
      <c r="E1313" s="2">
        <v>70.06</v>
      </c>
      <c r="F1313" s="2">
        <v>89.59</v>
      </c>
      <c r="H1313" s="1">
        <f>_xlfn.XLOOKUP('Customer Info'!A1737,'Customer Info'!A1737:A1836,'Customer Info'!E1737:E1836,0,0)</f>
        <v>0</v>
      </c>
      <c r="J1313" s="1">
        <f>_xlfn.XLOOKUP('Customer Info'!A1737,'Customer Info'!A1737:A1836,'Customer Info'!M1737:M1836)</f>
        <v>0</v>
      </c>
    </row>
    <row r="1314" spans="1:10" ht="14" x14ac:dyDescent="0.2">
      <c r="A1314" s="2" t="s">
        <v>85</v>
      </c>
      <c r="B1314" s="2">
        <v>3</v>
      </c>
      <c r="C1314" s="2">
        <v>5</v>
      </c>
      <c r="D1314" s="2">
        <v>2021</v>
      </c>
      <c r="E1314" s="2">
        <v>69.13</v>
      </c>
      <c r="F1314" s="2">
        <v>89.59</v>
      </c>
      <c r="H1314" s="1">
        <f>_xlfn.XLOOKUP('Customer Info'!A1739,'Customer Info'!A1739:A1838,'Customer Info'!E1739:E1838,0,0)</f>
        <v>0</v>
      </c>
      <c r="J1314" s="1">
        <f>_xlfn.XLOOKUP('Customer Info'!A1739,'Customer Info'!A1739:A1838,'Customer Info'!M1739:M1838)</f>
        <v>0</v>
      </c>
    </row>
    <row r="1315" spans="1:10" ht="14" hidden="1" x14ac:dyDescent="0.2">
      <c r="A1315" s="2" t="s">
        <v>92</v>
      </c>
      <c r="B1315" s="2">
        <v>7</v>
      </c>
      <c r="C1315" s="2">
        <v>6</v>
      </c>
      <c r="D1315" s="2">
        <v>2020</v>
      </c>
      <c r="E1315" s="2">
        <v>70.8</v>
      </c>
      <c r="F1315" s="2">
        <v>89.4</v>
      </c>
      <c r="H1315" s="1">
        <f>_xlfn.XLOOKUP('Customer Info'!A498,'Customer Info'!A498:A597,'Customer Info'!E498:E597,0,0)</f>
        <v>0</v>
      </c>
      <c r="J1315" s="1">
        <f>_xlfn.XLOOKUP('Customer Info'!A498,'Customer Info'!A498:A597,'Customer Info'!M498:M597)</f>
        <v>0</v>
      </c>
    </row>
    <row r="1316" spans="1:10" ht="14" hidden="1" x14ac:dyDescent="0.2">
      <c r="A1316" s="2" t="s">
        <v>43</v>
      </c>
      <c r="B1316" s="2">
        <v>15</v>
      </c>
      <c r="C1316" s="2">
        <v>4</v>
      </c>
      <c r="D1316" s="2">
        <v>2020</v>
      </c>
      <c r="E1316" s="2">
        <v>65.099999999999994</v>
      </c>
      <c r="F1316" s="2">
        <v>89.4</v>
      </c>
      <c r="H1316" s="1">
        <f>_xlfn.XLOOKUP('Customer Info'!A546,'Customer Info'!A546:A645,'Customer Info'!E546:E645,0,0)</f>
        <v>0</v>
      </c>
      <c r="J1316" s="1">
        <f>_xlfn.XLOOKUP('Customer Info'!A546,'Customer Info'!A546:A645,'Customer Info'!M546:M645)</f>
        <v>0</v>
      </c>
    </row>
    <row r="1317" spans="1:10" ht="14" x14ac:dyDescent="0.2">
      <c r="A1317" s="2" t="s">
        <v>72</v>
      </c>
      <c r="B1317" s="2">
        <v>22</v>
      </c>
      <c r="C1317" s="2">
        <v>2</v>
      </c>
      <c r="D1317" s="2">
        <v>2021</v>
      </c>
      <c r="E1317" s="2">
        <v>116.76</v>
      </c>
      <c r="F1317" s="2">
        <v>89.32</v>
      </c>
      <c r="H1317" s="1">
        <f>_xlfn.XLOOKUP('Customer Info'!A1455,'Customer Info'!A1455:A1554,'Customer Info'!E1455:E1554,0,0)</f>
        <v>0</v>
      </c>
      <c r="J1317" s="1">
        <f>_xlfn.XLOOKUP('Customer Info'!A1455,'Customer Info'!A1455:A1554,'Customer Info'!M1455:M1554)</f>
        <v>0</v>
      </c>
    </row>
    <row r="1318" spans="1:10" ht="14" x14ac:dyDescent="0.2">
      <c r="A1318" s="2" t="s">
        <v>63</v>
      </c>
      <c r="B1318" s="2">
        <v>25</v>
      </c>
      <c r="C1318" s="2">
        <v>2</v>
      </c>
      <c r="D1318" s="2">
        <v>2021</v>
      </c>
      <c r="E1318" s="2">
        <v>102.48</v>
      </c>
      <c r="F1318" s="2">
        <v>89.32</v>
      </c>
      <c r="H1318" s="1">
        <f>_xlfn.XLOOKUP('Customer Info'!A1540,'Customer Info'!A1540:A1639,'Customer Info'!E1540:E1639,0,0)</f>
        <v>0</v>
      </c>
      <c r="J1318" s="1">
        <f>_xlfn.XLOOKUP('Customer Info'!A1540,'Customer Info'!A1540:A1639,'Customer Info'!M1540:M1639)</f>
        <v>0</v>
      </c>
    </row>
    <row r="1319" spans="1:10" ht="14" x14ac:dyDescent="0.2">
      <c r="A1319" s="2" t="s">
        <v>51</v>
      </c>
      <c r="B1319" s="2">
        <v>16</v>
      </c>
      <c r="C1319" s="2">
        <v>3</v>
      </c>
      <c r="D1319" s="2">
        <v>2021</v>
      </c>
      <c r="E1319" s="2">
        <v>66.03</v>
      </c>
      <c r="F1319" s="2">
        <v>89.28</v>
      </c>
      <c r="H1319" s="1">
        <f>_xlfn.XLOOKUP('Customer Info'!A1761,'Customer Info'!A1761:A1860,'Customer Info'!E1761:E1860,0,0)</f>
        <v>0</v>
      </c>
      <c r="J1319" s="1">
        <f>_xlfn.XLOOKUP('Customer Info'!A1761,'Customer Info'!A1761:A1860,'Customer Info'!M1761:M1860)</f>
        <v>0</v>
      </c>
    </row>
    <row r="1320" spans="1:10" ht="14" x14ac:dyDescent="0.2">
      <c r="A1320" s="2" t="s">
        <v>86</v>
      </c>
      <c r="B1320" s="2">
        <v>6</v>
      </c>
      <c r="C1320" s="2">
        <v>8</v>
      </c>
      <c r="D1320" s="2">
        <v>2021</v>
      </c>
      <c r="E1320" s="2">
        <v>60.45</v>
      </c>
      <c r="F1320" s="2">
        <v>89.28</v>
      </c>
      <c r="H1320" s="1">
        <f>_xlfn.XLOOKUP('Customer Info'!A1801,'Customer Info'!A1801:A1900,'Customer Info'!E1801:E1900,0,0)</f>
        <v>0</v>
      </c>
      <c r="J1320" s="1">
        <f>_xlfn.XLOOKUP('Customer Info'!A1801,'Customer Info'!A1801:A1900,'Customer Info'!M1801:M1900)</f>
        <v>0</v>
      </c>
    </row>
    <row r="1321" spans="1:10" ht="14" hidden="1" x14ac:dyDescent="0.2">
      <c r="A1321" s="2" t="s">
        <v>73</v>
      </c>
      <c r="B1321" s="2">
        <v>5</v>
      </c>
      <c r="C1321" s="2">
        <v>8</v>
      </c>
      <c r="D1321" s="2">
        <v>2020</v>
      </c>
      <c r="E1321" s="2">
        <v>46.19</v>
      </c>
      <c r="F1321" s="2">
        <v>89.28</v>
      </c>
      <c r="H1321" s="1">
        <f>_xlfn.XLOOKUP('Customer Info'!A673,'Customer Info'!A673:A772,'Customer Info'!E673:E772,0,0)</f>
        <v>0</v>
      </c>
      <c r="J1321" s="1">
        <f>_xlfn.XLOOKUP('Customer Info'!A673,'Customer Info'!A673:A772,'Customer Info'!M673:M772)</f>
        <v>0</v>
      </c>
    </row>
    <row r="1322" spans="1:10" ht="14" x14ac:dyDescent="0.2">
      <c r="A1322" s="2" t="s">
        <v>39</v>
      </c>
      <c r="B1322" s="2">
        <v>22</v>
      </c>
      <c r="C1322" s="2">
        <v>5</v>
      </c>
      <c r="D1322" s="2">
        <v>2021</v>
      </c>
      <c r="E1322" s="2">
        <v>38.130000000000003</v>
      </c>
      <c r="F1322" s="2">
        <v>89.28</v>
      </c>
      <c r="H1322" s="1">
        <f>_xlfn.XLOOKUP('Customer Info'!A1958,'Customer Info'!A1958:A2057,'Customer Info'!E1958:E2057,0,0)</f>
        <v>0</v>
      </c>
      <c r="J1322" s="1">
        <f>_xlfn.XLOOKUP('Customer Info'!A1958,'Customer Info'!A1958:A2057,'Customer Info'!M1958:M2057)</f>
        <v>0</v>
      </c>
    </row>
    <row r="1323" spans="1:10" ht="14" x14ac:dyDescent="0.2">
      <c r="A1323" s="2" t="s">
        <v>41</v>
      </c>
      <c r="B1323" s="2">
        <v>15</v>
      </c>
      <c r="C1323" s="2">
        <v>7</v>
      </c>
      <c r="D1323" s="2">
        <v>2021</v>
      </c>
      <c r="E1323" s="2">
        <v>26.66</v>
      </c>
      <c r="F1323" s="2">
        <v>89.28</v>
      </c>
      <c r="H1323" s="1">
        <f>_xlfn.XLOOKUP('Customer Info'!A2043,'Customer Info'!A2043:A2142,'Customer Info'!E2043:E2142,0,0)</f>
        <v>0</v>
      </c>
      <c r="J1323" s="1">
        <f>_xlfn.XLOOKUP('Customer Info'!A2043,'Customer Info'!A2043:A2142,'Customer Info'!M2043:M2142)</f>
        <v>0</v>
      </c>
    </row>
    <row r="1324" spans="1:10" ht="14" hidden="1" x14ac:dyDescent="0.2">
      <c r="A1324" s="2" t="s">
        <v>87</v>
      </c>
      <c r="B1324" s="2">
        <v>1</v>
      </c>
      <c r="C1324" s="2">
        <v>11</v>
      </c>
      <c r="D1324" s="2">
        <v>2020</v>
      </c>
      <c r="E1324" s="2">
        <v>124.8</v>
      </c>
      <c r="F1324" s="2">
        <v>89.1</v>
      </c>
      <c r="H1324" s="1">
        <f>_xlfn.XLOOKUP('Customer Info'!A189,'Customer Info'!A189:A288,'Customer Info'!E189:E288,0,0)</f>
        <v>0</v>
      </c>
      <c r="J1324" s="1">
        <f>_xlfn.XLOOKUP('Customer Info'!A189,'Customer Info'!A189:A288,'Customer Info'!M189:M288)</f>
        <v>0</v>
      </c>
    </row>
    <row r="1325" spans="1:10" ht="14" hidden="1" x14ac:dyDescent="0.2">
      <c r="A1325" s="2" t="s">
        <v>80</v>
      </c>
      <c r="B1325" s="2">
        <v>12</v>
      </c>
      <c r="C1325" s="2">
        <v>11</v>
      </c>
      <c r="D1325" s="2">
        <v>2020</v>
      </c>
      <c r="E1325" s="2">
        <v>113.7</v>
      </c>
      <c r="F1325" s="2">
        <v>89.1</v>
      </c>
      <c r="H1325" s="1">
        <f>_xlfn.XLOOKUP('Customer Info'!A245,'Customer Info'!A245:A344,'Customer Info'!E245:E344,0,0)</f>
        <v>0</v>
      </c>
      <c r="J1325" s="1">
        <f>_xlfn.XLOOKUP('Customer Info'!A245,'Customer Info'!A245:A344,'Customer Info'!M245:M344)</f>
        <v>0</v>
      </c>
    </row>
    <row r="1326" spans="1:10" ht="14" hidden="1" x14ac:dyDescent="0.2">
      <c r="A1326" s="2" t="s">
        <v>65</v>
      </c>
      <c r="B1326" s="2">
        <v>11</v>
      </c>
      <c r="C1326" s="2">
        <v>11</v>
      </c>
      <c r="D1326" s="2">
        <v>2020</v>
      </c>
      <c r="E1326" s="2">
        <v>98.1</v>
      </c>
      <c r="F1326" s="2">
        <v>89.1</v>
      </c>
      <c r="H1326" s="1">
        <f>_xlfn.XLOOKUP('Customer Info'!A344,'Customer Info'!A344:A443,'Customer Info'!E344:E443,0,0)</f>
        <v>0</v>
      </c>
      <c r="J1326" s="1">
        <f>_xlfn.XLOOKUP('Customer Info'!A344,'Customer Info'!A344:A443,'Customer Info'!M344:M443)</f>
        <v>0</v>
      </c>
    </row>
    <row r="1327" spans="1:10" ht="14" x14ac:dyDescent="0.2">
      <c r="A1327" s="2" t="s">
        <v>57</v>
      </c>
      <c r="B1327" s="2">
        <v>17</v>
      </c>
      <c r="C1327" s="2">
        <v>12</v>
      </c>
      <c r="D1327" s="2">
        <v>2021</v>
      </c>
      <c r="E1327" s="2">
        <v>140.74</v>
      </c>
      <c r="F1327" s="2">
        <v>88.97</v>
      </c>
      <c r="H1327" s="1">
        <f>_xlfn.XLOOKUP('Customer Info'!A1363,'Customer Info'!A1363:A1462,'Customer Info'!E1363:E1462,0,0)</f>
        <v>0</v>
      </c>
      <c r="J1327" s="1">
        <f>_xlfn.XLOOKUP('Customer Info'!A1363,'Customer Info'!A1363:A1462,'Customer Info'!M1363:M1462)</f>
        <v>0</v>
      </c>
    </row>
    <row r="1328" spans="1:10" ht="14" hidden="1" x14ac:dyDescent="0.2">
      <c r="A1328" s="2" t="s">
        <v>59</v>
      </c>
      <c r="B1328" s="2">
        <v>11</v>
      </c>
      <c r="C1328" s="2">
        <v>10</v>
      </c>
      <c r="D1328" s="2">
        <v>2020</v>
      </c>
      <c r="E1328" s="2">
        <v>64.790000000000006</v>
      </c>
      <c r="F1328" s="2">
        <v>88.97</v>
      </c>
      <c r="H1328" s="1">
        <f>_xlfn.XLOOKUP('Customer Info'!A549,'Customer Info'!A549:A648,'Customer Info'!E549:E648,0,0)</f>
        <v>0</v>
      </c>
      <c r="J1328" s="1">
        <f>_xlfn.XLOOKUP('Customer Info'!A549,'Customer Info'!A549:A648,'Customer Info'!M549:M648)</f>
        <v>0</v>
      </c>
    </row>
    <row r="1329" spans="1:10" ht="14" hidden="1" x14ac:dyDescent="0.2">
      <c r="A1329" s="2" t="s">
        <v>67</v>
      </c>
      <c r="B1329" s="2">
        <v>13</v>
      </c>
      <c r="C1329" s="2">
        <v>10</v>
      </c>
      <c r="D1329" s="2">
        <v>2020</v>
      </c>
      <c r="E1329" s="2">
        <v>64.48</v>
      </c>
      <c r="F1329" s="2">
        <v>88.97</v>
      </c>
      <c r="H1329" s="1">
        <f>_xlfn.XLOOKUP('Customer Info'!A552,'Customer Info'!A552:A651,'Customer Info'!E552:E651,0,0)</f>
        <v>0</v>
      </c>
      <c r="J1329" s="1">
        <f>_xlfn.XLOOKUP('Customer Info'!A552,'Customer Info'!A552:A651,'Customer Info'!M552:M651)</f>
        <v>0</v>
      </c>
    </row>
    <row r="1330" spans="1:10" ht="14" hidden="1" x14ac:dyDescent="0.2">
      <c r="A1330" s="2" t="s">
        <v>65</v>
      </c>
      <c r="B1330" s="2">
        <v>11</v>
      </c>
      <c r="C1330" s="2">
        <v>7</v>
      </c>
      <c r="D1330" s="2">
        <v>2020</v>
      </c>
      <c r="E1330" s="2">
        <v>35.340000000000003</v>
      </c>
      <c r="F1330" s="2">
        <v>88.97</v>
      </c>
      <c r="H1330" s="1">
        <f>_xlfn.XLOOKUP('Customer Info'!A783,'Customer Info'!A783:A882,'Customer Info'!E783:E882,0,0)</f>
        <v>0</v>
      </c>
      <c r="J1330" s="1">
        <f>_xlfn.XLOOKUP('Customer Info'!A783,'Customer Info'!A783:A882,'Customer Info'!M783:M882)</f>
        <v>0</v>
      </c>
    </row>
    <row r="1331" spans="1:10" ht="14" x14ac:dyDescent="0.2">
      <c r="A1331" s="2" t="s">
        <v>41</v>
      </c>
      <c r="B1331" s="2">
        <v>15</v>
      </c>
      <c r="C1331" s="2">
        <v>8</v>
      </c>
      <c r="D1331" s="2">
        <v>2021</v>
      </c>
      <c r="E1331" s="2">
        <v>35.03</v>
      </c>
      <c r="F1331" s="2">
        <v>88.97</v>
      </c>
      <c r="H1331" s="1">
        <f>_xlfn.XLOOKUP('Customer Info'!A1990,'Customer Info'!A1990:A2089,'Customer Info'!E1990:E2089,0,0)</f>
        <v>0</v>
      </c>
      <c r="J1331" s="1">
        <f>_xlfn.XLOOKUP('Customer Info'!A1990,'Customer Info'!A1990:A2089,'Customer Info'!M1990:M2089)</f>
        <v>0</v>
      </c>
    </row>
    <row r="1332" spans="1:10" ht="14" x14ac:dyDescent="0.2">
      <c r="A1332" s="2" t="s">
        <v>92</v>
      </c>
      <c r="B1332" s="2">
        <v>7</v>
      </c>
      <c r="C1332" s="2">
        <v>11</v>
      </c>
      <c r="D1332" s="2">
        <v>2021</v>
      </c>
      <c r="E1332" s="2">
        <v>129.9</v>
      </c>
      <c r="F1332" s="2">
        <v>88.8</v>
      </c>
      <c r="H1332" s="1">
        <f>_xlfn.XLOOKUP('Customer Info'!A1399,'Customer Info'!A1399:A1498,'Customer Info'!E1399:E1498,0,0)</f>
        <v>0</v>
      </c>
      <c r="J1332" s="1">
        <f>_xlfn.XLOOKUP('Customer Info'!A1399,'Customer Info'!A1399:A1498,'Customer Info'!M1399:M1498)</f>
        <v>0</v>
      </c>
    </row>
    <row r="1333" spans="1:10" ht="14" hidden="1" x14ac:dyDescent="0.2">
      <c r="A1333" s="2" t="s">
        <v>73</v>
      </c>
      <c r="B1333" s="2">
        <v>5</v>
      </c>
      <c r="C1333" s="2">
        <v>11</v>
      </c>
      <c r="D1333" s="2">
        <v>2020</v>
      </c>
      <c r="E1333" s="2">
        <v>116.7</v>
      </c>
      <c r="F1333" s="2">
        <v>88.8</v>
      </c>
      <c r="H1333" s="1">
        <f>_xlfn.XLOOKUP('Customer Info'!A221,'Customer Info'!A221:A320,'Customer Info'!E221:E320,0,0)</f>
        <v>0</v>
      </c>
      <c r="J1333" s="1">
        <f>_xlfn.XLOOKUP('Customer Info'!A221,'Customer Info'!A221:A320,'Customer Info'!M221:M320)</f>
        <v>0</v>
      </c>
    </row>
    <row r="1334" spans="1:10" ht="14" hidden="1" x14ac:dyDescent="0.2">
      <c r="A1334" s="2" t="s">
        <v>55</v>
      </c>
      <c r="B1334" s="2">
        <v>18</v>
      </c>
      <c r="C1334" s="2">
        <v>11</v>
      </c>
      <c r="D1334" s="2">
        <v>2020</v>
      </c>
      <c r="E1334" s="2">
        <v>107.4</v>
      </c>
      <c r="F1334" s="2">
        <v>88.8</v>
      </c>
      <c r="H1334" s="1">
        <f>_xlfn.XLOOKUP('Customer Info'!A277,'Customer Info'!A277:A376,'Customer Info'!E277:E376,0,0)</f>
        <v>0</v>
      </c>
      <c r="J1334" s="1">
        <f>_xlfn.XLOOKUP('Customer Info'!A277,'Customer Info'!A277:A376,'Customer Info'!M277:M376)</f>
        <v>0</v>
      </c>
    </row>
    <row r="1335" spans="1:10" ht="14" x14ac:dyDescent="0.2">
      <c r="A1335" s="2" t="s">
        <v>79</v>
      </c>
      <c r="B1335" s="2">
        <v>3</v>
      </c>
      <c r="C1335" s="2">
        <v>6</v>
      </c>
      <c r="D1335" s="2">
        <v>2021</v>
      </c>
      <c r="E1335" s="2">
        <v>59.1</v>
      </c>
      <c r="F1335" s="2">
        <v>88.8</v>
      </c>
      <c r="H1335" s="1">
        <f>_xlfn.XLOOKUP('Customer Info'!A1812,'Customer Info'!A1812:A1911,'Customer Info'!E1812:E1911,0,0)</f>
        <v>0</v>
      </c>
      <c r="J1335" s="1">
        <f>_xlfn.XLOOKUP('Customer Info'!A1812,'Customer Info'!A1812:A1911,'Customer Info'!M1812:M1911)</f>
        <v>0</v>
      </c>
    </row>
    <row r="1336" spans="1:10" ht="14" x14ac:dyDescent="0.2">
      <c r="A1336" s="2" t="s">
        <v>73</v>
      </c>
      <c r="B1336" s="2">
        <v>5</v>
      </c>
      <c r="C1336" s="2">
        <v>9</v>
      </c>
      <c r="D1336" s="2">
        <v>2021</v>
      </c>
      <c r="E1336" s="2">
        <v>47.1</v>
      </c>
      <c r="F1336" s="2">
        <v>88.8</v>
      </c>
      <c r="H1336" s="1">
        <f>_xlfn.XLOOKUP('Customer Info'!A1891,'Customer Info'!A1891:A1990,'Customer Info'!E1891:E1990,0,0)</f>
        <v>0</v>
      </c>
      <c r="J1336" s="1">
        <f>_xlfn.XLOOKUP('Customer Info'!A1891,'Customer Info'!A1891:A1990,'Customer Info'!M1891:M1990)</f>
        <v>0</v>
      </c>
    </row>
    <row r="1337" spans="1:10" ht="14" hidden="1" x14ac:dyDescent="0.2">
      <c r="A1337" s="2" t="s">
        <v>73</v>
      </c>
      <c r="B1337" s="2">
        <v>5</v>
      </c>
      <c r="C1337" s="2">
        <v>6</v>
      </c>
      <c r="D1337" s="2">
        <v>2020</v>
      </c>
      <c r="E1337" s="2">
        <v>38.4</v>
      </c>
      <c r="F1337" s="2">
        <v>88.8</v>
      </c>
      <c r="H1337" s="1">
        <f>_xlfn.XLOOKUP('Customer Info'!A748,'Customer Info'!A748:A847,'Customer Info'!E748:E847,0,0)</f>
        <v>0</v>
      </c>
      <c r="J1337" s="1">
        <f>_xlfn.XLOOKUP('Customer Info'!A748,'Customer Info'!A748:A847,'Customer Info'!M748:M847)</f>
        <v>0</v>
      </c>
    </row>
    <row r="1338" spans="1:10" ht="14" hidden="1" x14ac:dyDescent="0.2">
      <c r="A1338" s="2" t="s">
        <v>53</v>
      </c>
      <c r="B1338" s="2">
        <v>18</v>
      </c>
      <c r="C1338" s="2">
        <v>12</v>
      </c>
      <c r="D1338" s="2">
        <v>2020</v>
      </c>
      <c r="E1338" s="2">
        <v>124.93</v>
      </c>
      <c r="F1338" s="2">
        <v>88.66</v>
      </c>
      <c r="H1338" s="1">
        <f>_xlfn.XLOOKUP('Customer Info'!A188,'Customer Info'!A188:A287,'Customer Info'!E188:E287,0,0)</f>
        <v>0</v>
      </c>
      <c r="J1338" s="1">
        <f>_xlfn.XLOOKUP('Customer Info'!A188,'Customer Info'!A188:A287,'Customer Info'!M188:M287)</f>
        <v>0</v>
      </c>
    </row>
    <row r="1339" spans="1:10" ht="14" hidden="1" x14ac:dyDescent="0.2">
      <c r="A1339" s="2" t="s">
        <v>40</v>
      </c>
      <c r="B1339" s="2">
        <v>15</v>
      </c>
      <c r="C1339" s="2">
        <v>1</v>
      </c>
      <c r="D1339" s="2">
        <v>2020</v>
      </c>
      <c r="E1339" s="2">
        <v>106.02</v>
      </c>
      <c r="F1339" s="2">
        <v>88.66</v>
      </c>
      <c r="H1339" s="1">
        <f>_xlfn.XLOOKUP('Customer Info'!A289,'Customer Info'!A289:A388,'Customer Info'!E289:E388,0,0)</f>
        <v>0</v>
      </c>
      <c r="J1339" s="1">
        <f>_xlfn.XLOOKUP('Customer Info'!A289,'Customer Info'!A289:A388,'Customer Info'!M289:M388)</f>
        <v>0</v>
      </c>
    </row>
    <row r="1340" spans="1:10" ht="14" x14ac:dyDescent="0.2">
      <c r="A1340" s="2" t="s">
        <v>38</v>
      </c>
      <c r="B1340" s="2">
        <v>21</v>
      </c>
      <c r="C1340" s="2">
        <v>1</v>
      </c>
      <c r="D1340" s="2">
        <v>2021</v>
      </c>
      <c r="E1340" s="2">
        <v>97.34</v>
      </c>
      <c r="F1340" s="2">
        <v>88.66</v>
      </c>
      <c r="H1340" s="1">
        <f>_xlfn.XLOOKUP('Customer Info'!A1568,'Customer Info'!A1568:A1667,'Customer Info'!E1568:E1667,0,0)</f>
        <v>0</v>
      </c>
      <c r="J1340" s="1">
        <f>_xlfn.XLOOKUP('Customer Info'!A1568,'Customer Info'!A1568:A1667,'Customer Info'!M1568:M1667)</f>
        <v>0</v>
      </c>
    </row>
    <row r="1341" spans="1:10" ht="14" x14ac:dyDescent="0.2">
      <c r="A1341" s="2" t="s">
        <v>57</v>
      </c>
      <c r="B1341" s="2">
        <v>17</v>
      </c>
      <c r="C1341" s="2">
        <v>10</v>
      </c>
      <c r="D1341" s="2">
        <v>2021</v>
      </c>
      <c r="E1341" s="2">
        <v>81.84</v>
      </c>
      <c r="F1341" s="2">
        <v>88.66</v>
      </c>
      <c r="H1341" s="1">
        <f>_xlfn.XLOOKUP('Customer Info'!A1654,'Customer Info'!A1654:A1753,'Customer Info'!E1654:E1753,0,0)</f>
        <v>0</v>
      </c>
      <c r="J1341" s="1">
        <f>_xlfn.XLOOKUP('Customer Info'!A1654,'Customer Info'!A1654:A1753,'Customer Info'!M1654:M1753)</f>
        <v>0</v>
      </c>
    </row>
    <row r="1342" spans="1:10" ht="14" x14ac:dyDescent="0.2">
      <c r="A1342" s="2" t="s">
        <v>54</v>
      </c>
      <c r="B1342" s="2">
        <v>5</v>
      </c>
      <c r="C1342" s="2">
        <v>3</v>
      </c>
      <c r="D1342" s="2">
        <v>2021</v>
      </c>
      <c r="E1342" s="2">
        <v>74.09</v>
      </c>
      <c r="F1342" s="2">
        <v>88.66</v>
      </c>
      <c r="H1342" s="1">
        <f>_xlfn.XLOOKUP('Customer Info'!A1704,'Customer Info'!A1704:A1803,'Customer Info'!E1704:E1803,0,0)</f>
        <v>0</v>
      </c>
      <c r="J1342" s="1">
        <f>_xlfn.XLOOKUP('Customer Info'!A1704,'Customer Info'!A1704:A1803,'Customer Info'!M1704:M1803)</f>
        <v>0</v>
      </c>
    </row>
    <row r="1343" spans="1:10" ht="14" x14ac:dyDescent="0.2">
      <c r="A1343" s="2" t="s">
        <v>2</v>
      </c>
      <c r="B1343" s="2">
        <v>18</v>
      </c>
      <c r="C1343" s="2">
        <v>8</v>
      </c>
      <c r="D1343" s="2">
        <v>2021</v>
      </c>
      <c r="E1343" s="2">
        <v>0</v>
      </c>
      <c r="F1343" s="2">
        <v>88.66</v>
      </c>
      <c r="H1343" s="1">
        <f>_xlfn.XLOOKUP('Customer Info'!A2399,'Customer Info'!A2399:A2498,'Customer Info'!E2399:E2498,0,0)</f>
        <v>0</v>
      </c>
      <c r="J1343" s="1">
        <f>_xlfn.XLOOKUP('Customer Info'!A2399,'Customer Info'!A2399:A2498,'Customer Info'!M2399:M2498)</f>
        <v>0</v>
      </c>
    </row>
    <row r="1344" spans="1:10" ht="14" x14ac:dyDescent="0.2">
      <c r="A1344" s="2" t="s">
        <v>64</v>
      </c>
      <c r="B1344" s="2">
        <v>21</v>
      </c>
      <c r="C1344" s="2">
        <v>4</v>
      </c>
      <c r="D1344" s="2">
        <v>2021</v>
      </c>
      <c r="E1344" s="2">
        <v>71.7</v>
      </c>
      <c r="F1344" s="2">
        <v>88.5</v>
      </c>
      <c r="H1344" s="1">
        <f>_xlfn.XLOOKUP('Customer Info'!A1720,'Customer Info'!A1720:A1819,'Customer Info'!E1720:E1819,0,0)</f>
        <v>0</v>
      </c>
      <c r="J1344" s="1">
        <f>_xlfn.XLOOKUP('Customer Info'!A1720,'Customer Info'!A1720:A1819,'Customer Info'!M1720:M1819)</f>
        <v>0</v>
      </c>
    </row>
    <row r="1345" spans="1:10" ht="14" x14ac:dyDescent="0.2">
      <c r="A1345" s="2" t="s">
        <v>78</v>
      </c>
      <c r="B1345" s="2">
        <v>18</v>
      </c>
      <c r="C1345" s="2">
        <v>6</v>
      </c>
      <c r="D1345" s="2">
        <v>2021</v>
      </c>
      <c r="E1345" s="2">
        <v>42.3</v>
      </c>
      <c r="F1345" s="2">
        <v>88.5</v>
      </c>
      <c r="H1345" s="1">
        <f>_xlfn.XLOOKUP('Customer Info'!A1926,'Customer Info'!A1926:A2025,'Customer Info'!E1926:E2025,0,0)</f>
        <v>0</v>
      </c>
      <c r="J1345" s="1">
        <f>_xlfn.XLOOKUP('Customer Info'!A1926,'Customer Info'!A1926:A2025,'Customer Info'!M1926:M2025)</f>
        <v>0</v>
      </c>
    </row>
    <row r="1346" spans="1:10" ht="14" x14ac:dyDescent="0.2">
      <c r="A1346" s="2" t="s">
        <v>2</v>
      </c>
      <c r="B1346" s="2">
        <v>18</v>
      </c>
      <c r="C1346" s="2">
        <v>6</v>
      </c>
      <c r="D1346" s="2">
        <v>2021</v>
      </c>
      <c r="E1346" s="2">
        <v>0</v>
      </c>
      <c r="F1346" s="2">
        <v>88.5</v>
      </c>
      <c r="H1346" s="1">
        <f>_xlfn.XLOOKUP('Customer Info'!A2400,'Customer Info'!A2400:A2499,'Customer Info'!E2400:E2499,0,0)</f>
        <v>0</v>
      </c>
      <c r="J1346" s="1">
        <f>_xlfn.XLOOKUP('Customer Info'!A2400,'Customer Info'!A2400:A2499,'Customer Info'!M2400:M2499)</f>
        <v>0</v>
      </c>
    </row>
    <row r="1347" spans="1:10" ht="14" hidden="1" x14ac:dyDescent="0.2">
      <c r="A1347" s="2" t="s">
        <v>87</v>
      </c>
      <c r="B1347" s="2">
        <v>1</v>
      </c>
      <c r="C1347" s="2">
        <v>12</v>
      </c>
      <c r="D1347" s="2">
        <v>2020</v>
      </c>
      <c r="E1347" s="2">
        <v>135.78</v>
      </c>
      <c r="F1347" s="2">
        <v>88.35</v>
      </c>
      <c r="H1347" s="1">
        <f>_xlfn.XLOOKUP('Customer Info'!A168,'Customer Info'!A168:A267,'Customer Info'!E168:E267,0,0)</f>
        <v>0</v>
      </c>
      <c r="J1347" s="1">
        <f>_xlfn.XLOOKUP('Customer Info'!A168,'Customer Info'!A168:A267,'Customer Info'!M168:M267)</f>
        <v>0</v>
      </c>
    </row>
    <row r="1348" spans="1:10" ht="14" x14ac:dyDescent="0.2">
      <c r="A1348" s="2" t="s">
        <v>63</v>
      </c>
      <c r="B1348" s="2">
        <v>25</v>
      </c>
      <c r="C1348" s="2">
        <v>12</v>
      </c>
      <c r="D1348" s="2">
        <v>2021</v>
      </c>
      <c r="E1348" s="2">
        <v>128.65</v>
      </c>
      <c r="F1348" s="2">
        <v>88.35</v>
      </c>
      <c r="H1348" s="1">
        <f>_xlfn.XLOOKUP('Customer Info'!A1404,'Customer Info'!A1404:A1503,'Customer Info'!E1404:E1503,0,0)</f>
        <v>0</v>
      </c>
      <c r="J1348" s="1">
        <f>_xlfn.XLOOKUP('Customer Info'!A1404,'Customer Info'!A1404:A1503,'Customer Info'!M1404:M1503)</f>
        <v>0</v>
      </c>
    </row>
    <row r="1349" spans="1:10" ht="14" x14ac:dyDescent="0.2">
      <c r="A1349" s="2" t="s">
        <v>85</v>
      </c>
      <c r="B1349" s="2">
        <v>3</v>
      </c>
      <c r="C1349" s="2">
        <v>1</v>
      </c>
      <c r="D1349" s="2">
        <v>2021</v>
      </c>
      <c r="E1349" s="2">
        <v>125.86</v>
      </c>
      <c r="F1349" s="2">
        <v>88.35</v>
      </c>
      <c r="H1349" s="1">
        <f>_xlfn.XLOOKUP('Customer Info'!A1420,'Customer Info'!A1420:A1519,'Customer Info'!E1420:E1519,0,0)</f>
        <v>0</v>
      </c>
      <c r="J1349" s="1">
        <f>_xlfn.XLOOKUP('Customer Info'!A1420,'Customer Info'!A1420:A1519,'Customer Info'!M1420:M1519)</f>
        <v>0</v>
      </c>
    </row>
    <row r="1350" spans="1:10" ht="14" x14ac:dyDescent="0.2">
      <c r="A1350" s="2" t="s">
        <v>88</v>
      </c>
      <c r="B1350" s="2">
        <v>23</v>
      </c>
      <c r="C1350" s="2">
        <v>3</v>
      </c>
      <c r="D1350" s="2">
        <v>2021</v>
      </c>
      <c r="E1350" s="2">
        <v>110.98</v>
      </c>
      <c r="F1350" s="2">
        <v>88.35</v>
      </c>
      <c r="H1350" s="1">
        <f>_xlfn.XLOOKUP('Customer Info'!A1491,'Customer Info'!A1491:A1590,'Customer Info'!E1491:E1590,0,0)</f>
        <v>0</v>
      </c>
      <c r="J1350" s="1">
        <f>_xlfn.XLOOKUP('Customer Info'!A1491,'Customer Info'!A1491:A1590,'Customer Info'!M1491:M1590)</f>
        <v>0</v>
      </c>
    </row>
    <row r="1351" spans="1:10" ht="14" x14ac:dyDescent="0.2">
      <c r="A1351" s="2" t="s">
        <v>84</v>
      </c>
      <c r="B1351" s="2">
        <v>20</v>
      </c>
      <c r="C1351" s="2">
        <v>10</v>
      </c>
      <c r="D1351" s="2">
        <v>2021</v>
      </c>
      <c r="E1351" s="2">
        <v>88.66</v>
      </c>
      <c r="F1351" s="2">
        <v>88.35</v>
      </c>
      <c r="H1351" s="1">
        <f>_xlfn.XLOOKUP('Customer Info'!A1618,'Customer Info'!A1618:A1717,'Customer Info'!E1618:E1717,0,0)</f>
        <v>0</v>
      </c>
      <c r="J1351" s="1">
        <f>_xlfn.XLOOKUP('Customer Info'!A1618,'Customer Info'!A1618:A1717,'Customer Info'!M1618:M1717)</f>
        <v>0</v>
      </c>
    </row>
    <row r="1352" spans="1:10" ht="14" hidden="1" x14ac:dyDescent="0.2">
      <c r="A1352" s="2" t="s">
        <v>65</v>
      </c>
      <c r="B1352" s="2">
        <v>11</v>
      </c>
      <c r="C1352" s="2">
        <v>3</v>
      </c>
      <c r="D1352" s="2">
        <v>2020</v>
      </c>
      <c r="E1352" s="2">
        <v>77.19</v>
      </c>
      <c r="F1352" s="2">
        <v>88.35</v>
      </c>
      <c r="H1352" s="1">
        <f>_xlfn.XLOOKUP('Customer Info'!A454,'Customer Info'!A454:A553,'Customer Info'!E454:E553,0,0)</f>
        <v>0</v>
      </c>
      <c r="J1352" s="1">
        <f>_xlfn.XLOOKUP('Customer Info'!A454,'Customer Info'!A454:A553,'Customer Info'!M454:M553)</f>
        <v>0</v>
      </c>
    </row>
    <row r="1353" spans="1:10" ht="14" x14ac:dyDescent="0.2">
      <c r="A1353" s="2" t="s">
        <v>65</v>
      </c>
      <c r="B1353" s="2">
        <v>11</v>
      </c>
      <c r="C1353" s="2">
        <v>5</v>
      </c>
      <c r="D1353" s="2">
        <v>2021</v>
      </c>
      <c r="E1353" s="2">
        <v>53.94</v>
      </c>
      <c r="F1353" s="2">
        <v>88.35</v>
      </c>
      <c r="H1353" s="1">
        <f>_xlfn.XLOOKUP('Customer Info'!A1839,'Customer Info'!A1839:A1938,'Customer Info'!E1839:E1938,0,0)</f>
        <v>0</v>
      </c>
      <c r="J1353" s="1">
        <f>_xlfn.XLOOKUP('Customer Info'!A1839,'Customer Info'!A1839:A1938,'Customer Info'!M1839:M1938)</f>
        <v>0</v>
      </c>
    </row>
    <row r="1354" spans="1:10" ht="14" hidden="1" x14ac:dyDescent="0.2">
      <c r="A1354" s="2" t="s">
        <v>87</v>
      </c>
      <c r="B1354" s="2">
        <v>1</v>
      </c>
      <c r="C1354" s="2">
        <v>7</v>
      </c>
      <c r="D1354" s="2">
        <v>2020</v>
      </c>
      <c r="E1354" s="2">
        <v>49.6</v>
      </c>
      <c r="F1354" s="2">
        <v>88.35</v>
      </c>
      <c r="H1354" s="1">
        <f>_xlfn.XLOOKUP('Customer Info'!A647,'Customer Info'!A647:A746,'Customer Info'!E647:E746,0,0)</f>
        <v>0</v>
      </c>
      <c r="J1354" s="1">
        <f>_xlfn.XLOOKUP('Customer Info'!A647,'Customer Info'!A647:A746,'Customer Info'!M647:M746)</f>
        <v>0</v>
      </c>
    </row>
    <row r="1355" spans="1:10" ht="14" hidden="1" x14ac:dyDescent="0.2">
      <c r="A1355" s="2" t="s">
        <v>85</v>
      </c>
      <c r="B1355" s="2">
        <v>3</v>
      </c>
      <c r="C1355" s="2">
        <v>7</v>
      </c>
      <c r="D1355" s="2">
        <v>2020</v>
      </c>
      <c r="E1355" s="2">
        <v>49.6</v>
      </c>
      <c r="F1355" s="2">
        <v>88.35</v>
      </c>
      <c r="H1355" s="1">
        <f>_xlfn.XLOOKUP('Customer Info'!A648,'Customer Info'!A648:A747,'Customer Info'!E648:E747,0,0)</f>
        <v>0</v>
      </c>
      <c r="J1355" s="1">
        <f>_xlfn.XLOOKUP('Customer Info'!A648,'Customer Info'!A648:A747,'Customer Info'!M648:M747)</f>
        <v>0</v>
      </c>
    </row>
    <row r="1356" spans="1:10" ht="14" x14ac:dyDescent="0.2">
      <c r="A1356" s="2" t="s">
        <v>76</v>
      </c>
      <c r="B1356" s="2">
        <v>9</v>
      </c>
      <c r="C1356" s="2">
        <v>2</v>
      </c>
      <c r="D1356" s="2">
        <v>2021</v>
      </c>
      <c r="E1356" s="2">
        <v>108.36</v>
      </c>
      <c r="F1356" s="2">
        <v>88.2</v>
      </c>
      <c r="H1356" s="1">
        <f>_xlfn.XLOOKUP('Customer Info'!A1507,'Customer Info'!A1507:A1606,'Customer Info'!E1507:E1606,0,0)</f>
        <v>0</v>
      </c>
      <c r="J1356" s="1">
        <f>_xlfn.XLOOKUP('Customer Info'!A1507,'Customer Info'!A1507:A1606,'Customer Info'!M1507:M1606)</f>
        <v>0</v>
      </c>
    </row>
    <row r="1357" spans="1:10" ht="14" hidden="1" x14ac:dyDescent="0.2">
      <c r="A1357" s="2" t="s">
        <v>87</v>
      </c>
      <c r="B1357" s="2">
        <v>1</v>
      </c>
      <c r="C1357" s="2">
        <v>4</v>
      </c>
      <c r="D1357" s="2">
        <v>2020</v>
      </c>
      <c r="E1357" s="2">
        <v>84.3</v>
      </c>
      <c r="F1357" s="2">
        <v>88.2</v>
      </c>
      <c r="H1357" s="1">
        <f>_xlfn.XLOOKUP('Customer Info'!A421,'Customer Info'!A421:A520,'Customer Info'!E421:E520,0,0)</f>
        <v>0</v>
      </c>
      <c r="J1357" s="1">
        <f>_xlfn.XLOOKUP('Customer Info'!A421,'Customer Info'!A421:A520,'Customer Info'!M421:M520)</f>
        <v>0</v>
      </c>
    </row>
    <row r="1358" spans="1:10" ht="14" x14ac:dyDescent="0.2">
      <c r="A1358" s="2" t="s">
        <v>86</v>
      </c>
      <c r="B1358" s="2">
        <v>6</v>
      </c>
      <c r="C1358" s="2">
        <v>9</v>
      </c>
      <c r="D1358" s="2">
        <v>2021</v>
      </c>
      <c r="E1358" s="2">
        <v>59.4</v>
      </c>
      <c r="F1358" s="2">
        <v>88.2</v>
      </c>
      <c r="H1358" s="1">
        <f>_xlfn.XLOOKUP('Customer Info'!A1809,'Customer Info'!A1809:A1908,'Customer Info'!E1809:E1908,0,0)</f>
        <v>0</v>
      </c>
      <c r="J1358" s="1">
        <f>_xlfn.XLOOKUP('Customer Info'!A1809,'Customer Info'!A1809:A1908,'Customer Info'!M1809:M1908)</f>
        <v>0</v>
      </c>
    </row>
    <row r="1359" spans="1:10" ht="14" hidden="1" x14ac:dyDescent="0.2">
      <c r="A1359" s="2" t="s">
        <v>90</v>
      </c>
      <c r="B1359" s="2">
        <v>18</v>
      </c>
      <c r="C1359" s="2">
        <v>6</v>
      </c>
      <c r="D1359" s="2">
        <v>2020</v>
      </c>
      <c r="E1359" s="2">
        <v>58.2</v>
      </c>
      <c r="F1359" s="2">
        <v>88.2</v>
      </c>
      <c r="H1359" s="1">
        <f>_xlfn.XLOOKUP('Customer Info'!A598,'Customer Info'!A598:A697,'Customer Info'!E598:E697,0,0)</f>
        <v>0</v>
      </c>
      <c r="J1359" s="1">
        <f>_xlfn.XLOOKUP('Customer Info'!A598,'Customer Info'!A598:A697,'Customer Info'!M598:M697)</f>
        <v>0</v>
      </c>
    </row>
    <row r="1360" spans="1:10" ht="14" hidden="1" x14ac:dyDescent="0.2">
      <c r="A1360" s="2" t="s">
        <v>61</v>
      </c>
      <c r="B1360" s="2">
        <v>23</v>
      </c>
      <c r="C1360" s="2">
        <v>6</v>
      </c>
      <c r="D1360" s="2">
        <v>2020</v>
      </c>
      <c r="E1360" s="2">
        <v>41.7</v>
      </c>
      <c r="F1360" s="2">
        <v>88.2</v>
      </c>
      <c r="H1360" s="1">
        <f>_xlfn.XLOOKUP('Customer Info'!A719,'Customer Info'!A719:A818,'Customer Info'!E719:E818,0,0)</f>
        <v>0</v>
      </c>
      <c r="J1360" s="1">
        <f>_xlfn.XLOOKUP('Customer Info'!A719,'Customer Info'!A719:A818,'Customer Info'!M719:M818)</f>
        <v>0</v>
      </c>
    </row>
    <row r="1361" spans="1:10" ht="14" hidden="1" x14ac:dyDescent="0.2">
      <c r="A1361" s="2" t="s">
        <v>96</v>
      </c>
      <c r="B1361" s="2">
        <v>3</v>
      </c>
      <c r="C1361" s="2">
        <v>3</v>
      </c>
      <c r="D1361" s="2">
        <v>2020</v>
      </c>
      <c r="E1361" s="1" t="s">
        <v>94</v>
      </c>
      <c r="F1361" s="2">
        <v>88.04</v>
      </c>
      <c r="H1361" s="1">
        <f>_xlfn.XLOOKUP('Customer Info'!A112,'Customer Info'!A112:A211,'Customer Info'!E112:E211,0,0)</f>
        <v>0</v>
      </c>
      <c r="J1361" s="1">
        <f>_xlfn.XLOOKUP('Customer Info'!A112,'Customer Info'!A112:A211,'Customer Info'!M112:M211)</f>
        <v>0</v>
      </c>
    </row>
    <row r="1362" spans="1:10" ht="14" x14ac:dyDescent="0.2">
      <c r="A1362" s="2" t="s">
        <v>90</v>
      </c>
      <c r="B1362" s="2">
        <v>18</v>
      </c>
      <c r="C1362" s="2">
        <v>12</v>
      </c>
      <c r="D1362" s="2">
        <v>2021</v>
      </c>
      <c r="E1362" s="2">
        <v>144.46</v>
      </c>
      <c r="F1362" s="2">
        <v>88.04</v>
      </c>
      <c r="H1362" s="1">
        <f>_xlfn.XLOOKUP('Customer Info'!A1357,'Customer Info'!A1357:A1456,'Customer Info'!E1357:E1456,0,0)</f>
        <v>0</v>
      </c>
      <c r="J1362" s="1">
        <f>_xlfn.XLOOKUP('Customer Info'!A1357,'Customer Info'!A1357:A1456,'Customer Info'!M1357:M1456)</f>
        <v>0</v>
      </c>
    </row>
    <row r="1363" spans="1:10" ht="14" x14ac:dyDescent="0.2">
      <c r="A1363" s="2" t="s">
        <v>88</v>
      </c>
      <c r="B1363" s="2">
        <v>23</v>
      </c>
      <c r="C1363" s="2">
        <v>1</v>
      </c>
      <c r="D1363" s="2">
        <v>2021</v>
      </c>
      <c r="E1363" s="2">
        <v>141.97999999999999</v>
      </c>
      <c r="F1363" s="2">
        <v>88.04</v>
      </c>
      <c r="H1363" s="1">
        <f>_xlfn.XLOOKUP('Customer Info'!A1361,'Customer Info'!A1361:A1460,'Customer Info'!E1361:E1460,0,0)</f>
        <v>0</v>
      </c>
      <c r="J1363" s="1">
        <f>_xlfn.XLOOKUP('Customer Info'!A1361,'Customer Info'!A1361:A1460,'Customer Info'!M1361:M1460)</f>
        <v>0</v>
      </c>
    </row>
    <row r="1364" spans="1:10" ht="14" hidden="1" x14ac:dyDescent="0.2">
      <c r="A1364" s="2" t="s">
        <v>84</v>
      </c>
      <c r="B1364" s="2">
        <v>20</v>
      </c>
      <c r="C1364" s="2">
        <v>12</v>
      </c>
      <c r="D1364" s="2">
        <v>2020</v>
      </c>
      <c r="E1364" s="2">
        <v>135.16</v>
      </c>
      <c r="F1364" s="2">
        <v>88.04</v>
      </c>
      <c r="H1364" s="1">
        <f>_xlfn.XLOOKUP('Customer Info'!A169,'Customer Info'!A169:A268,'Customer Info'!E169:E268,0,0)</f>
        <v>0</v>
      </c>
      <c r="J1364" s="1">
        <f>_xlfn.XLOOKUP('Customer Info'!A169,'Customer Info'!A169:A268,'Customer Info'!M169:M268)</f>
        <v>0</v>
      </c>
    </row>
    <row r="1365" spans="1:10" ht="14" x14ac:dyDescent="0.2">
      <c r="A1365" s="2" t="s">
        <v>78</v>
      </c>
      <c r="B1365" s="2">
        <v>18</v>
      </c>
      <c r="C1365" s="2">
        <v>1</v>
      </c>
      <c r="D1365" s="2">
        <v>2021</v>
      </c>
      <c r="E1365" s="2">
        <v>125.55</v>
      </c>
      <c r="F1365" s="2">
        <v>88.04</v>
      </c>
      <c r="H1365" s="1">
        <f>_xlfn.XLOOKUP('Customer Info'!A1422,'Customer Info'!A1422:A1521,'Customer Info'!E1422:E1521,0,0)</f>
        <v>0</v>
      </c>
      <c r="J1365" s="1">
        <f>_xlfn.XLOOKUP('Customer Info'!A1422,'Customer Info'!A1422:A1521,'Customer Info'!M1422:M1521)</f>
        <v>0</v>
      </c>
    </row>
    <row r="1366" spans="1:10" ht="14" hidden="1" x14ac:dyDescent="0.2">
      <c r="A1366" s="2" t="s">
        <v>66</v>
      </c>
      <c r="B1366" s="2">
        <v>23</v>
      </c>
      <c r="C1366" s="2">
        <v>12</v>
      </c>
      <c r="D1366" s="2">
        <v>2020</v>
      </c>
      <c r="E1366" s="2">
        <v>115.63</v>
      </c>
      <c r="F1366" s="2">
        <v>88.04</v>
      </c>
      <c r="H1366" s="1">
        <f>_xlfn.XLOOKUP('Customer Info'!A226,'Customer Info'!A226:A325,'Customer Info'!E226:E325,0,0)</f>
        <v>0</v>
      </c>
      <c r="J1366" s="1">
        <f>_xlfn.XLOOKUP('Customer Info'!A226,'Customer Info'!A226:A325,'Customer Info'!M226:M325)</f>
        <v>0</v>
      </c>
    </row>
    <row r="1367" spans="1:10" ht="14" x14ac:dyDescent="0.2">
      <c r="A1367" s="2" t="s">
        <v>51</v>
      </c>
      <c r="B1367" s="2">
        <v>16</v>
      </c>
      <c r="C1367" s="2">
        <v>12</v>
      </c>
      <c r="D1367" s="2">
        <v>2021</v>
      </c>
      <c r="E1367" s="2">
        <v>112.84</v>
      </c>
      <c r="F1367" s="2">
        <v>88.04</v>
      </c>
      <c r="H1367" s="1">
        <f>_xlfn.XLOOKUP('Customer Info'!A1481,'Customer Info'!A1481:A1580,'Customer Info'!E1481:E1580,0,0)</f>
        <v>0</v>
      </c>
      <c r="J1367" s="1">
        <f>_xlfn.XLOOKUP('Customer Info'!A1481,'Customer Info'!A1481:A1580,'Customer Info'!M1481:M1580)</f>
        <v>0</v>
      </c>
    </row>
    <row r="1368" spans="1:10" ht="14" hidden="1" x14ac:dyDescent="0.2">
      <c r="A1368" s="2" t="s">
        <v>68</v>
      </c>
      <c r="B1368" s="2">
        <v>11</v>
      </c>
      <c r="C1368" s="2">
        <v>1</v>
      </c>
      <c r="D1368" s="2">
        <v>2020</v>
      </c>
      <c r="E1368" s="2">
        <v>106.95</v>
      </c>
      <c r="F1368" s="2">
        <v>88.04</v>
      </c>
      <c r="H1368" s="1">
        <f>_xlfn.XLOOKUP('Customer Info'!A281,'Customer Info'!A281:A380,'Customer Info'!E281:E380,0,0)</f>
        <v>0</v>
      </c>
      <c r="J1368" s="1">
        <f>_xlfn.XLOOKUP('Customer Info'!A281,'Customer Info'!A281:A380,'Customer Info'!M281:M380)</f>
        <v>0</v>
      </c>
    </row>
    <row r="1369" spans="1:10" ht="14" hidden="1" x14ac:dyDescent="0.2">
      <c r="A1369" s="2" t="s">
        <v>63</v>
      </c>
      <c r="B1369" s="2">
        <v>25</v>
      </c>
      <c r="C1369" s="2">
        <v>10</v>
      </c>
      <c r="D1369" s="2">
        <v>2020</v>
      </c>
      <c r="E1369" s="2">
        <v>65.099999999999994</v>
      </c>
      <c r="F1369" s="2">
        <v>88.04</v>
      </c>
      <c r="H1369" s="1">
        <f>_xlfn.XLOOKUP('Customer Info'!A547,'Customer Info'!A547:A646,'Customer Info'!E547:E646,0,0)</f>
        <v>0</v>
      </c>
      <c r="J1369" s="1">
        <f>_xlfn.XLOOKUP('Customer Info'!A547,'Customer Info'!A547:A646,'Customer Info'!M547:M646)</f>
        <v>0</v>
      </c>
    </row>
    <row r="1370" spans="1:10" ht="14" x14ac:dyDescent="0.2">
      <c r="A1370" s="2" t="s">
        <v>46</v>
      </c>
      <c r="B1370" s="2">
        <v>9</v>
      </c>
      <c r="C1370" s="2">
        <v>3</v>
      </c>
      <c r="D1370" s="2">
        <v>2021</v>
      </c>
      <c r="E1370" s="2">
        <v>59.21</v>
      </c>
      <c r="F1370" s="2">
        <v>88.04</v>
      </c>
      <c r="H1370" s="1">
        <f>_xlfn.XLOOKUP('Customer Info'!A1811,'Customer Info'!A1811:A1910,'Customer Info'!E1811:E1910,0,0)</f>
        <v>0</v>
      </c>
      <c r="J1370" s="1">
        <f>_xlfn.XLOOKUP('Customer Info'!A1811,'Customer Info'!A1811:A1910,'Customer Info'!M1811:M1910)</f>
        <v>0</v>
      </c>
    </row>
    <row r="1371" spans="1:10" ht="14" x14ac:dyDescent="0.2">
      <c r="A1371" s="2" t="s">
        <v>70</v>
      </c>
      <c r="B1371" s="2">
        <v>16</v>
      </c>
      <c r="C1371" s="2">
        <v>7</v>
      </c>
      <c r="D1371" s="2">
        <v>2021</v>
      </c>
      <c r="E1371" s="2">
        <v>45.26</v>
      </c>
      <c r="F1371" s="2">
        <v>88.04</v>
      </c>
      <c r="H1371" s="1">
        <f>_xlfn.XLOOKUP('Customer Info'!A1903,'Customer Info'!A1903:A2002,'Customer Info'!E1903:E2002,0,0)</f>
        <v>0</v>
      </c>
      <c r="J1371" s="1">
        <f>_xlfn.XLOOKUP('Customer Info'!A1903,'Customer Info'!A1903:A2002,'Customer Info'!M1903:M2002)</f>
        <v>0</v>
      </c>
    </row>
    <row r="1372" spans="1:10" ht="14" x14ac:dyDescent="0.2">
      <c r="A1372" s="2" t="s">
        <v>51</v>
      </c>
      <c r="B1372" s="2">
        <v>16</v>
      </c>
      <c r="C1372" s="2">
        <v>5</v>
      </c>
      <c r="D1372" s="2">
        <v>2021</v>
      </c>
      <c r="E1372" s="2">
        <v>38.44</v>
      </c>
      <c r="F1372" s="2">
        <v>88.04</v>
      </c>
      <c r="H1372" s="1">
        <f>_xlfn.XLOOKUP('Customer Info'!A1954,'Customer Info'!A1954:A2053,'Customer Info'!E1954:E2053,0,0)</f>
        <v>0</v>
      </c>
      <c r="J1372" s="1">
        <f>_xlfn.XLOOKUP('Customer Info'!A1954,'Customer Info'!A1954:A2053,'Customer Info'!M1954:M2053)</f>
        <v>0</v>
      </c>
    </row>
    <row r="1373" spans="1:10" ht="14" x14ac:dyDescent="0.2">
      <c r="A1373" s="2" t="s">
        <v>45</v>
      </c>
      <c r="B1373" s="2">
        <v>18</v>
      </c>
      <c r="C1373" s="2">
        <v>5</v>
      </c>
      <c r="D1373" s="2">
        <v>2021</v>
      </c>
      <c r="E1373" s="2">
        <v>35.65</v>
      </c>
      <c r="F1373" s="2">
        <v>88.04</v>
      </c>
      <c r="H1373" s="1">
        <f>_xlfn.XLOOKUP('Customer Info'!A1984,'Customer Info'!A1984:A2083,'Customer Info'!E1984:E2083,0,0)</f>
        <v>0</v>
      </c>
      <c r="J1373" s="1">
        <f>_xlfn.XLOOKUP('Customer Info'!A1984,'Customer Info'!A1984:A2083,'Customer Info'!M1984:M2083)</f>
        <v>0</v>
      </c>
    </row>
    <row r="1374" spans="1:10" ht="14" x14ac:dyDescent="0.2">
      <c r="A1374" s="2" t="s">
        <v>77</v>
      </c>
      <c r="B1374" s="2">
        <v>16</v>
      </c>
      <c r="C1374" s="2">
        <v>2</v>
      </c>
      <c r="D1374" s="2">
        <v>2021</v>
      </c>
      <c r="E1374" s="2">
        <v>115.64</v>
      </c>
      <c r="F1374" s="2">
        <v>87.92</v>
      </c>
      <c r="H1374" s="1">
        <f>_xlfn.XLOOKUP('Customer Info'!A1461,'Customer Info'!A1461:A1560,'Customer Info'!E1461:E1560,0,0)</f>
        <v>0</v>
      </c>
      <c r="J1374" s="1">
        <f>_xlfn.XLOOKUP('Customer Info'!A1461,'Customer Info'!A1461:A1560,'Customer Info'!M1461:M1560)</f>
        <v>0</v>
      </c>
    </row>
    <row r="1375" spans="1:10" ht="14" x14ac:dyDescent="0.2">
      <c r="A1375" s="2" t="s">
        <v>93</v>
      </c>
      <c r="B1375" s="2">
        <v>3</v>
      </c>
      <c r="C1375" s="2">
        <v>4</v>
      </c>
      <c r="D1375" s="2">
        <v>2021</v>
      </c>
      <c r="E1375" s="2">
        <v>111.3</v>
      </c>
      <c r="F1375" s="2">
        <v>87.9</v>
      </c>
      <c r="H1375" s="1">
        <f>_xlfn.XLOOKUP('Customer Info'!A1488,'Customer Info'!A1488:A1587,'Customer Info'!E1488:E1587,0,0)</f>
        <v>0</v>
      </c>
      <c r="J1375" s="1">
        <f>_xlfn.XLOOKUP('Customer Info'!A1488,'Customer Info'!A1488:A1587,'Customer Info'!M1488:M1587)</f>
        <v>0</v>
      </c>
    </row>
    <row r="1376" spans="1:10" ht="14" hidden="1" x14ac:dyDescent="0.2">
      <c r="A1376" s="2" t="s">
        <v>53</v>
      </c>
      <c r="B1376" s="2">
        <v>18</v>
      </c>
      <c r="C1376" s="2">
        <v>9</v>
      </c>
      <c r="D1376" s="2">
        <v>2020</v>
      </c>
      <c r="E1376" s="2">
        <v>47.1</v>
      </c>
      <c r="F1376" s="2">
        <v>87.9</v>
      </c>
      <c r="H1376" s="1">
        <f>_xlfn.XLOOKUP('Customer Info'!A665,'Customer Info'!A665:A764,'Customer Info'!E665:E764,0,0)</f>
        <v>0</v>
      </c>
      <c r="J1376" s="1">
        <f>_xlfn.XLOOKUP('Customer Info'!A665,'Customer Info'!A665:A764,'Customer Info'!M665:M764)</f>
        <v>0</v>
      </c>
    </row>
    <row r="1377" spans="1:10" ht="14" hidden="1" x14ac:dyDescent="0.2">
      <c r="A1377" s="2" t="s">
        <v>68</v>
      </c>
      <c r="B1377" s="2">
        <v>11</v>
      </c>
      <c r="C1377" s="2">
        <v>6</v>
      </c>
      <c r="D1377" s="2">
        <v>2020</v>
      </c>
      <c r="E1377" s="2">
        <v>46.8</v>
      </c>
      <c r="F1377" s="2">
        <v>87.9</v>
      </c>
      <c r="H1377" s="1">
        <f>_xlfn.XLOOKUP('Customer Info'!A668,'Customer Info'!A668:A767,'Customer Info'!E668:E767,0,0)</f>
        <v>0</v>
      </c>
      <c r="J1377" s="1">
        <f>_xlfn.XLOOKUP('Customer Info'!A668,'Customer Info'!A668:A767,'Customer Info'!M668:M767)</f>
        <v>0</v>
      </c>
    </row>
    <row r="1378" spans="1:10" ht="14" x14ac:dyDescent="0.2">
      <c r="A1378" s="2" t="s">
        <v>60</v>
      </c>
      <c r="B1378" s="2">
        <v>20</v>
      </c>
      <c r="C1378" s="2">
        <v>9</v>
      </c>
      <c r="D1378" s="2">
        <v>2021</v>
      </c>
      <c r="E1378" s="2">
        <v>43.8</v>
      </c>
      <c r="F1378" s="2">
        <v>87.9</v>
      </c>
      <c r="H1378" s="1">
        <f>_xlfn.XLOOKUP('Customer Info'!A1914,'Customer Info'!A1914:A2013,'Customer Info'!E1914:E2013,0,0)</f>
        <v>0</v>
      </c>
      <c r="J1378" s="1">
        <f>_xlfn.XLOOKUP('Customer Info'!A1914,'Customer Info'!A1914:A2013,'Customer Info'!M1914:M2013)</f>
        <v>0</v>
      </c>
    </row>
    <row r="1379" spans="1:10" ht="14" hidden="1" x14ac:dyDescent="0.2">
      <c r="A1379" s="2" t="s">
        <v>93</v>
      </c>
      <c r="B1379" s="2">
        <v>3</v>
      </c>
      <c r="C1379" s="2">
        <v>1</v>
      </c>
      <c r="D1379" s="2">
        <v>2020</v>
      </c>
      <c r="E1379" s="2">
        <v>177.01</v>
      </c>
      <c r="F1379" s="2">
        <v>87.73</v>
      </c>
      <c r="H1379" s="1">
        <f>_xlfn.XLOOKUP('Customer Info'!A145,'Customer Info'!A145:A244,'Customer Info'!E145:E244,0,0)</f>
        <v>0</v>
      </c>
      <c r="J1379" s="1">
        <f>_xlfn.XLOOKUP('Customer Info'!A145,'Customer Info'!A145:A244,'Customer Info'!M145:M244)</f>
        <v>0</v>
      </c>
    </row>
    <row r="1380" spans="1:10" ht="14" x14ac:dyDescent="0.2">
      <c r="A1380" s="2" t="s">
        <v>33</v>
      </c>
      <c r="B1380" s="2">
        <v>21</v>
      </c>
      <c r="C1380" s="2">
        <v>12</v>
      </c>
      <c r="D1380" s="2">
        <v>2021</v>
      </c>
      <c r="E1380" s="2">
        <v>94.86</v>
      </c>
      <c r="F1380" s="2">
        <v>87.73</v>
      </c>
      <c r="H1380" s="1">
        <f>_xlfn.XLOOKUP('Customer Info'!A1584,'Customer Info'!A1584:A1683,'Customer Info'!E1584:E1683,0,0)</f>
        <v>0</v>
      </c>
      <c r="J1380" s="1">
        <f>_xlfn.XLOOKUP('Customer Info'!A1584,'Customer Info'!A1584:A1683,'Customer Info'!M1584:M1683)</f>
        <v>0</v>
      </c>
    </row>
    <row r="1381" spans="1:10" ht="14" hidden="1" x14ac:dyDescent="0.2">
      <c r="A1381" s="2" t="s">
        <v>85</v>
      </c>
      <c r="B1381" s="2">
        <v>3</v>
      </c>
      <c r="C1381" s="2">
        <v>3</v>
      </c>
      <c r="D1381" s="2">
        <v>2020</v>
      </c>
      <c r="E1381" s="2">
        <v>83.08</v>
      </c>
      <c r="F1381" s="2">
        <v>87.73</v>
      </c>
      <c r="H1381" s="1">
        <f>_xlfn.XLOOKUP('Customer Info'!A427,'Customer Info'!A427:A526,'Customer Info'!E427:E526,0,0)</f>
        <v>0</v>
      </c>
      <c r="J1381" s="1">
        <f>_xlfn.XLOOKUP('Customer Info'!A427,'Customer Info'!A427:A526,'Customer Info'!M427:M526)</f>
        <v>0</v>
      </c>
    </row>
    <row r="1382" spans="1:10" ht="14" hidden="1" x14ac:dyDescent="0.2">
      <c r="A1382" s="2" t="s">
        <v>81</v>
      </c>
      <c r="B1382" s="2">
        <v>19</v>
      </c>
      <c r="C1382" s="2">
        <v>3</v>
      </c>
      <c r="D1382" s="2">
        <v>2020</v>
      </c>
      <c r="E1382" s="2">
        <v>74.400000000000006</v>
      </c>
      <c r="F1382" s="2">
        <v>87.73</v>
      </c>
      <c r="H1382" s="1">
        <f>_xlfn.XLOOKUP('Customer Info'!A474,'Customer Info'!A474:A573,'Customer Info'!E474:E573,0,0)</f>
        <v>0</v>
      </c>
      <c r="J1382" s="1">
        <f>_xlfn.XLOOKUP('Customer Info'!A474,'Customer Info'!A474:A573,'Customer Info'!M474:M573)</f>
        <v>0</v>
      </c>
    </row>
    <row r="1383" spans="1:10" ht="14" x14ac:dyDescent="0.2">
      <c r="A1383" s="2" t="s">
        <v>55</v>
      </c>
      <c r="B1383" s="2">
        <v>18</v>
      </c>
      <c r="C1383" s="2">
        <v>3</v>
      </c>
      <c r="D1383" s="2">
        <v>2021</v>
      </c>
      <c r="E1383" s="2">
        <v>71.61</v>
      </c>
      <c r="F1383" s="2">
        <v>87.73</v>
      </c>
      <c r="H1383" s="1">
        <f>_xlfn.XLOOKUP('Customer Info'!A1722,'Customer Info'!A1722:A1821,'Customer Info'!E1722:E1821,0,0)</f>
        <v>0</v>
      </c>
      <c r="J1383" s="1">
        <f>_xlfn.XLOOKUP('Customer Info'!A1722,'Customer Info'!A1722:A1821,'Customer Info'!M1722:M1821)</f>
        <v>0</v>
      </c>
    </row>
    <row r="1384" spans="1:10" ht="14" x14ac:dyDescent="0.2">
      <c r="A1384" s="2" t="s">
        <v>84</v>
      </c>
      <c r="B1384" s="2">
        <v>20</v>
      </c>
      <c r="C1384" s="2">
        <v>7</v>
      </c>
      <c r="D1384" s="2">
        <v>2021</v>
      </c>
      <c r="E1384" s="2">
        <v>58.28</v>
      </c>
      <c r="F1384" s="2">
        <v>87.73</v>
      </c>
      <c r="H1384" s="1">
        <f>_xlfn.XLOOKUP('Customer Info'!A1818,'Customer Info'!A1818:A1917,'Customer Info'!E1818:E1917,0,0)</f>
        <v>0</v>
      </c>
      <c r="J1384" s="1">
        <f>_xlfn.XLOOKUP('Customer Info'!A1818,'Customer Info'!A1818:A1917,'Customer Info'!M1818:M1917)</f>
        <v>0</v>
      </c>
    </row>
    <row r="1385" spans="1:10" ht="14" x14ac:dyDescent="0.2">
      <c r="A1385" s="2" t="s">
        <v>37</v>
      </c>
      <c r="B1385" s="2">
        <v>12</v>
      </c>
      <c r="C1385" s="2">
        <v>5</v>
      </c>
      <c r="D1385" s="2">
        <v>2021</v>
      </c>
      <c r="E1385" s="2">
        <v>28.83</v>
      </c>
      <c r="F1385" s="2">
        <v>87.73</v>
      </c>
      <c r="H1385" s="1">
        <f>_xlfn.XLOOKUP('Customer Info'!A2026,'Customer Info'!A2026:A2125,'Customer Info'!E2026:E2125,0,0)</f>
        <v>0</v>
      </c>
      <c r="J1385" s="1">
        <f>_xlfn.XLOOKUP('Customer Info'!A2026,'Customer Info'!A2026:A2125,'Customer Info'!M2026:M2125)</f>
        <v>0</v>
      </c>
    </row>
    <row r="1386" spans="1:10" ht="14" hidden="1" x14ac:dyDescent="0.2">
      <c r="A1386" s="2" t="s">
        <v>86</v>
      </c>
      <c r="B1386" s="2">
        <v>6</v>
      </c>
      <c r="C1386" s="2">
        <v>2</v>
      </c>
      <c r="D1386" s="2">
        <v>2020</v>
      </c>
      <c r="E1386" s="2">
        <v>123.2</v>
      </c>
      <c r="F1386" s="2">
        <v>87.64</v>
      </c>
      <c r="H1386" s="1">
        <f>_xlfn.XLOOKUP('Customer Info'!A193,'Customer Info'!A193:A292,'Customer Info'!E193:E292,0,0)</f>
        <v>0</v>
      </c>
      <c r="J1386" s="1">
        <f>_xlfn.XLOOKUP('Customer Info'!A193,'Customer Info'!A193:A292,'Customer Info'!M193:M292)</f>
        <v>0</v>
      </c>
    </row>
    <row r="1387" spans="1:10" ht="14" hidden="1" x14ac:dyDescent="0.2">
      <c r="A1387" s="2" t="s">
        <v>1</v>
      </c>
      <c r="B1387" s="2">
        <v>21</v>
      </c>
      <c r="C1387" s="2">
        <v>6</v>
      </c>
      <c r="D1387" s="2">
        <v>2020</v>
      </c>
      <c r="E1387" s="1" t="s">
        <v>94</v>
      </c>
      <c r="F1387" s="2">
        <v>87.6</v>
      </c>
      <c r="H1387" s="1">
        <f>_xlfn.XLOOKUP('Customer Info'!A113,'Customer Info'!A113:A212,'Customer Info'!E113:E212,0,0)</f>
        <v>0</v>
      </c>
      <c r="J1387" s="1">
        <f>_xlfn.XLOOKUP('Customer Info'!A113,'Customer Info'!A113:A212,'Customer Info'!M113:M212)</f>
        <v>0</v>
      </c>
    </row>
    <row r="1388" spans="1:10" ht="14" hidden="1" x14ac:dyDescent="0.2">
      <c r="A1388" s="2" t="s">
        <v>86</v>
      </c>
      <c r="B1388" s="2">
        <v>6</v>
      </c>
      <c r="C1388" s="2">
        <v>11</v>
      </c>
      <c r="D1388" s="2">
        <v>2020</v>
      </c>
      <c r="E1388" s="2">
        <v>121.5</v>
      </c>
      <c r="F1388" s="2">
        <v>87.6</v>
      </c>
      <c r="H1388" s="1">
        <f>_xlfn.XLOOKUP('Customer Info'!A202,'Customer Info'!A202:A301,'Customer Info'!E202:E301,0,0)</f>
        <v>0</v>
      </c>
      <c r="J1388" s="1">
        <f>_xlfn.XLOOKUP('Customer Info'!A202,'Customer Info'!A202:A301,'Customer Info'!M202:M301)</f>
        <v>0</v>
      </c>
    </row>
    <row r="1389" spans="1:10" ht="14" hidden="1" x14ac:dyDescent="0.2">
      <c r="A1389" s="2" t="s">
        <v>59</v>
      </c>
      <c r="B1389" s="2">
        <v>11</v>
      </c>
      <c r="C1389" s="2">
        <v>11</v>
      </c>
      <c r="D1389" s="2">
        <v>2020</v>
      </c>
      <c r="E1389" s="2">
        <v>95.7</v>
      </c>
      <c r="F1389" s="2">
        <v>87.6</v>
      </c>
      <c r="H1389" s="1">
        <f>_xlfn.XLOOKUP('Customer Info'!A358,'Customer Info'!A358:A457,'Customer Info'!E358:E457,0,0)</f>
        <v>0</v>
      </c>
      <c r="J1389" s="1">
        <f>_xlfn.XLOOKUP('Customer Info'!A358,'Customer Info'!A358:A457,'Customer Info'!M358:M457)</f>
        <v>0</v>
      </c>
    </row>
    <row r="1390" spans="1:10" ht="14" x14ac:dyDescent="0.2">
      <c r="A1390" s="2" t="s">
        <v>47</v>
      </c>
      <c r="B1390" s="2">
        <v>19</v>
      </c>
      <c r="C1390" s="2">
        <v>9</v>
      </c>
      <c r="D1390" s="2">
        <v>2021</v>
      </c>
      <c r="E1390" s="2">
        <v>27.6</v>
      </c>
      <c r="F1390" s="2">
        <v>87.6</v>
      </c>
      <c r="H1390" s="1">
        <f>_xlfn.XLOOKUP('Customer Info'!A2037,'Customer Info'!A2037:A2136,'Customer Info'!E2037:E2136,0,0)</f>
        <v>0</v>
      </c>
      <c r="J1390" s="1">
        <f>_xlfn.XLOOKUP('Customer Info'!A2037,'Customer Info'!A2037:A2136,'Customer Info'!M2037:M2136)</f>
        <v>0</v>
      </c>
    </row>
    <row r="1391" spans="1:10" ht="14" x14ac:dyDescent="0.2">
      <c r="A1391" s="2" t="s">
        <v>46</v>
      </c>
      <c r="B1391" s="2">
        <v>9</v>
      </c>
      <c r="C1391" s="2">
        <v>6</v>
      </c>
      <c r="D1391" s="2">
        <v>2021</v>
      </c>
      <c r="E1391" s="2">
        <v>24.6</v>
      </c>
      <c r="F1391" s="2">
        <v>87.6</v>
      </c>
      <c r="H1391" s="1">
        <f>_xlfn.XLOOKUP('Customer Info'!A2054,'Customer Info'!A2054:A2153,'Customer Info'!E2054:E2153,0,0)</f>
        <v>0</v>
      </c>
      <c r="J1391" s="1">
        <f>_xlfn.XLOOKUP('Customer Info'!A2054,'Customer Info'!A2054:A2153,'Customer Info'!M2054:M2153)</f>
        <v>0</v>
      </c>
    </row>
    <row r="1392" spans="1:10" ht="14" hidden="1" x14ac:dyDescent="0.2">
      <c r="A1392" s="2" t="s">
        <v>74</v>
      </c>
      <c r="B1392" s="2">
        <v>5</v>
      </c>
      <c r="C1392" s="2">
        <v>12</v>
      </c>
      <c r="D1392" s="2">
        <v>2020</v>
      </c>
      <c r="E1392" s="2">
        <v>130.82</v>
      </c>
      <c r="F1392" s="2">
        <v>87.42</v>
      </c>
      <c r="H1392" s="1">
        <f>_xlfn.XLOOKUP('Customer Info'!A175,'Customer Info'!A175:A274,'Customer Info'!E175:E274,0,0)</f>
        <v>0</v>
      </c>
      <c r="J1392" s="1">
        <f>_xlfn.XLOOKUP('Customer Info'!A175,'Customer Info'!A175:A274,'Customer Info'!M175:M274)</f>
        <v>0</v>
      </c>
    </row>
    <row r="1393" spans="1:10" ht="14" x14ac:dyDescent="0.2">
      <c r="A1393" s="2" t="s">
        <v>66</v>
      </c>
      <c r="B1393" s="2">
        <v>23</v>
      </c>
      <c r="C1393" s="2">
        <v>12</v>
      </c>
      <c r="D1393" s="2">
        <v>2021</v>
      </c>
      <c r="E1393" s="2">
        <v>128.65</v>
      </c>
      <c r="F1393" s="2">
        <v>87.42</v>
      </c>
      <c r="H1393" s="1">
        <f>_xlfn.XLOOKUP('Customer Info'!A1405,'Customer Info'!A1405:A1504,'Customer Info'!E1405:E1504,0,0)</f>
        <v>0</v>
      </c>
      <c r="J1393" s="1">
        <f>_xlfn.XLOOKUP('Customer Info'!A1405,'Customer Info'!A1405:A1504,'Customer Info'!M1405:M1504)</f>
        <v>0</v>
      </c>
    </row>
    <row r="1394" spans="1:10" ht="14" hidden="1" x14ac:dyDescent="0.2">
      <c r="A1394" s="2" t="s">
        <v>81</v>
      </c>
      <c r="B1394" s="2">
        <v>19</v>
      </c>
      <c r="C1394" s="2">
        <v>1</v>
      </c>
      <c r="D1394" s="2">
        <v>2020</v>
      </c>
      <c r="E1394" s="2">
        <v>119.35</v>
      </c>
      <c r="F1394" s="2">
        <v>87.42</v>
      </c>
      <c r="H1394" s="1">
        <f>_xlfn.XLOOKUP('Customer Info'!A210,'Customer Info'!A210:A309,'Customer Info'!E210:E309,0,0)</f>
        <v>0</v>
      </c>
      <c r="J1394" s="1">
        <f>_xlfn.XLOOKUP('Customer Info'!A210,'Customer Info'!A210:A309,'Customer Info'!M210:M309)</f>
        <v>0</v>
      </c>
    </row>
    <row r="1395" spans="1:10" ht="14" x14ac:dyDescent="0.2">
      <c r="A1395" s="2" t="s">
        <v>60</v>
      </c>
      <c r="B1395" s="2">
        <v>20</v>
      </c>
      <c r="C1395" s="2">
        <v>3</v>
      </c>
      <c r="D1395" s="2">
        <v>2021</v>
      </c>
      <c r="E1395" s="2">
        <v>78.430000000000007</v>
      </c>
      <c r="F1395" s="2">
        <v>87.42</v>
      </c>
      <c r="H1395" s="1">
        <f>_xlfn.XLOOKUP('Customer Info'!A1676,'Customer Info'!A1676:A1775,'Customer Info'!E1676:E1775,0,0)</f>
        <v>0</v>
      </c>
      <c r="J1395" s="1">
        <f>_xlfn.XLOOKUP('Customer Info'!A1676,'Customer Info'!A1676:A1775,'Customer Info'!M1676:M1775)</f>
        <v>0</v>
      </c>
    </row>
    <row r="1396" spans="1:10" ht="14" x14ac:dyDescent="0.2">
      <c r="A1396" s="2" t="s">
        <v>53</v>
      </c>
      <c r="B1396" s="2">
        <v>18</v>
      </c>
      <c r="C1396" s="2">
        <v>3</v>
      </c>
      <c r="D1396" s="2">
        <v>2021</v>
      </c>
      <c r="E1396" s="2">
        <v>73.16</v>
      </c>
      <c r="F1396" s="2">
        <v>87.42</v>
      </c>
      <c r="H1396" s="1">
        <f>_xlfn.XLOOKUP('Customer Info'!A1710,'Customer Info'!A1710:A1809,'Customer Info'!E1710:E1809,0,0)</f>
        <v>0</v>
      </c>
      <c r="J1396" s="1">
        <f>_xlfn.XLOOKUP('Customer Info'!A1710,'Customer Info'!A1710:A1809,'Customer Info'!M1710:M1809)</f>
        <v>0</v>
      </c>
    </row>
    <row r="1397" spans="1:10" ht="14" hidden="1" x14ac:dyDescent="0.2">
      <c r="A1397" s="2" t="s">
        <v>57</v>
      </c>
      <c r="B1397" s="2">
        <v>17</v>
      </c>
      <c r="C1397" s="2">
        <v>10</v>
      </c>
      <c r="D1397" s="2">
        <v>2020</v>
      </c>
      <c r="E1397" s="2">
        <v>68.819999999999993</v>
      </c>
      <c r="F1397" s="2">
        <v>87.42</v>
      </c>
      <c r="H1397" s="1">
        <f>_xlfn.XLOOKUP('Customer Info'!A515,'Customer Info'!A515:A614,'Customer Info'!E515:E614,0,0)</f>
        <v>0</v>
      </c>
      <c r="J1397" s="1">
        <f>_xlfn.XLOOKUP('Customer Info'!A515,'Customer Info'!A515:A614,'Customer Info'!M515:M614)</f>
        <v>0</v>
      </c>
    </row>
    <row r="1398" spans="1:10" ht="14" hidden="1" x14ac:dyDescent="0.2">
      <c r="A1398" s="2" t="s">
        <v>62</v>
      </c>
      <c r="B1398" s="2">
        <v>1</v>
      </c>
      <c r="C1398" s="2">
        <v>5</v>
      </c>
      <c r="D1398" s="2">
        <v>2020</v>
      </c>
      <c r="E1398" s="2">
        <v>53.01</v>
      </c>
      <c r="F1398" s="2">
        <v>87.42</v>
      </c>
      <c r="H1398" s="1">
        <f>_xlfn.XLOOKUP('Customer Info'!A624,'Customer Info'!A624:A723,'Customer Info'!E624:E723,0,0)</f>
        <v>0</v>
      </c>
      <c r="J1398" s="1">
        <f>_xlfn.XLOOKUP('Customer Info'!A624,'Customer Info'!A624:A723,'Customer Info'!M624:M723)</f>
        <v>0</v>
      </c>
    </row>
    <row r="1399" spans="1:10" ht="14" x14ac:dyDescent="0.2">
      <c r="A1399" s="2" t="s">
        <v>64</v>
      </c>
      <c r="B1399" s="2">
        <v>21</v>
      </c>
      <c r="C1399" s="2">
        <v>5</v>
      </c>
      <c r="D1399" s="2">
        <v>2021</v>
      </c>
      <c r="E1399" s="2">
        <v>40.61</v>
      </c>
      <c r="F1399" s="2">
        <v>87.42</v>
      </c>
      <c r="H1399" s="1">
        <f>_xlfn.XLOOKUP('Customer Info'!A1937,'Customer Info'!A1937:A2036,'Customer Info'!E1937:E2036,0,0)</f>
        <v>0</v>
      </c>
      <c r="J1399" s="1">
        <f>_xlfn.XLOOKUP('Customer Info'!A1937,'Customer Info'!A1937:A2036,'Customer Info'!M1937:M2036)</f>
        <v>0</v>
      </c>
    </row>
    <row r="1400" spans="1:10" ht="14" x14ac:dyDescent="0.2">
      <c r="A1400" s="2" t="s">
        <v>40</v>
      </c>
      <c r="B1400" s="2">
        <v>15</v>
      </c>
      <c r="C1400" s="2">
        <v>8</v>
      </c>
      <c r="D1400" s="2">
        <v>2021</v>
      </c>
      <c r="E1400" s="2">
        <v>25.11</v>
      </c>
      <c r="F1400" s="2">
        <v>87.42</v>
      </c>
      <c r="H1400" s="1">
        <f>_xlfn.XLOOKUP('Customer Info'!A2052,'Customer Info'!A2052:A2151,'Customer Info'!E2052:E2151,0,0)</f>
        <v>0</v>
      </c>
      <c r="J1400" s="1">
        <f>_xlfn.XLOOKUP('Customer Info'!A2052,'Customer Info'!A2052:A2151,'Customer Info'!M2052:M2151)</f>
        <v>0</v>
      </c>
    </row>
    <row r="1401" spans="1:10" ht="14" hidden="1" x14ac:dyDescent="0.2">
      <c r="A1401" s="2" t="s">
        <v>43</v>
      </c>
      <c r="B1401" s="2">
        <v>15</v>
      </c>
      <c r="C1401" s="2">
        <v>7</v>
      </c>
      <c r="D1401" s="2">
        <v>2020</v>
      </c>
      <c r="E1401" s="2">
        <v>22.63</v>
      </c>
      <c r="F1401" s="2">
        <v>87.42</v>
      </c>
      <c r="H1401" s="1">
        <f>_xlfn.XLOOKUP('Customer Info'!A863,'Customer Info'!A863:A962,'Customer Info'!E863:E962,0,0)</f>
        <v>0</v>
      </c>
      <c r="J1401" s="1">
        <f>_xlfn.XLOOKUP('Customer Info'!A863,'Customer Info'!A863:A962,'Customer Info'!M863:M962)</f>
        <v>0</v>
      </c>
    </row>
    <row r="1402" spans="1:10" ht="14" hidden="1" x14ac:dyDescent="0.2">
      <c r="A1402" s="2" t="s">
        <v>96</v>
      </c>
      <c r="B1402" s="2">
        <v>3</v>
      </c>
      <c r="C1402" s="2">
        <v>9</v>
      </c>
      <c r="D1402" s="2">
        <v>2020</v>
      </c>
      <c r="E1402" s="1" t="s">
        <v>94</v>
      </c>
      <c r="F1402" s="2">
        <v>87.3</v>
      </c>
      <c r="H1402" s="1">
        <f>_xlfn.XLOOKUP('Customer Info'!A114,'Customer Info'!A114:A213,'Customer Info'!E114:E213,0,0)</f>
        <v>0</v>
      </c>
      <c r="J1402" s="1">
        <f>_xlfn.XLOOKUP('Customer Info'!A114,'Customer Info'!A114:A213,'Customer Info'!M114:M213)</f>
        <v>0</v>
      </c>
    </row>
    <row r="1403" spans="1:10" ht="14" hidden="1" x14ac:dyDescent="0.2">
      <c r="A1403" s="2" t="s">
        <v>63</v>
      </c>
      <c r="B1403" s="2">
        <v>25</v>
      </c>
      <c r="C1403" s="2">
        <v>11</v>
      </c>
      <c r="D1403" s="2">
        <v>2020</v>
      </c>
      <c r="E1403" s="2">
        <v>97.5</v>
      </c>
      <c r="F1403" s="2">
        <v>87.3</v>
      </c>
      <c r="H1403" s="1">
        <f>_xlfn.XLOOKUP('Customer Info'!A351,'Customer Info'!A351:A450,'Customer Info'!E351:E450,0,0)</f>
        <v>0</v>
      </c>
      <c r="J1403" s="1">
        <f>_xlfn.XLOOKUP('Customer Info'!A351,'Customer Info'!A351:A450,'Customer Info'!M351:M450)</f>
        <v>0</v>
      </c>
    </row>
    <row r="1404" spans="1:10" ht="14" x14ac:dyDescent="0.2">
      <c r="A1404" s="2" t="s">
        <v>75</v>
      </c>
      <c r="B1404" s="2">
        <v>2</v>
      </c>
      <c r="C1404" s="2">
        <v>4</v>
      </c>
      <c r="D1404" s="2">
        <v>2021</v>
      </c>
      <c r="E1404" s="2">
        <v>78</v>
      </c>
      <c r="F1404" s="2">
        <v>87.3</v>
      </c>
      <c r="H1404" s="1">
        <f>_xlfn.XLOOKUP('Customer Info'!A1678,'Customer Info'!A1678:A1777,'Customer Info'!E1678:E1777,0,0)</f>
        <v>0</v>
      </c>
      <c r="J1404" s="1">
        <f>_xlfn.XLOOKUP('Customer Info'!A1678,'Customer Info'!A1678:A1777,'Customer Info'!M1678:M1777)</f>
        <v>0</v>
      </c>
    </row>
    <row r="1405" spans="1:10" ht="14" x14ac:dyDescent="0.2">
      <c r="A1405" s="2" t="s">
        <v>37</v>
      </c>
      <c r="B1405" s="2">
        <v>12</v>
      </c>
      <c r="C1405" s="2">
        <v>6</v>
      </c>
      <c r="D1405" s="2">
        <v>2021</v>
      </c>
      <c r="E1405" s="2">
        <v>29.1</v>
      </c>
      <c r="F1405" s="2">
        <v>87.3</v>
      </c>
      <c r="H1405" s="1">
        <f>_xlfn.XLOOKUP('Customer Info'!A2025,'Customer Info'!A2025:A2124,'Customer Info'!E2025:E2124,0,0)</f>
        <v>0</v>
      </c>
      <c r="J1405" s="1">
        <f>_xlfn.XLOOKUP('Customer Info'!A2025,'Customer Info'!A2025:A2124,'Customer Info'!M2025:M2124)</f>
        <v>0</v>
      </c>
    </row>
    <row r="1406" spans="1:10" ht="14" hidden="1" x14ac:dyDescent="0.2">
      <c r="A1406" s="2" t="s">
        <v>65</v>
      </c>
      <c r="B1406" s="2">
        <v>11</v>
      </c>
      <c r="C1406" s="2">
        <v>12</v>
      </c>
      <c r="D1406" s="2">
        <v>2020</v>
      </c>
      <c r="E1406" s="2">
        <v>119.35</v>
      </c>
      <c r="F1406" s="2">
        <v>87.11</v>
      </c>
      <c r="H1406" s="1">
        <f>_xlfn.XLOOKUP('Customer Info'!A211,'Customer Info'!A211:A310,'Customer Info'!E211:E310,0,0)</f>
        <v>0</v>
      </c>
      <c r="J1406" s="1">
        <f>_xlfn.XLOOKUP('Customer Info'!A211,'Customer Info'!A211:A310,'Customer Info'!M211:M310)</f>
        <v>0</v>
      </c>
    </row>
    <row r="1407" spans="1:10" ht="14" hidden="1" x14ac:dyDescent="0.2">
      <c r="A1407" s="2" t="s">
        <v>54</v>
      </c>
      <c r="B1407" s="2">
        <v>5</v>
      </c>
      <c r="C1407" s="2">
        <v>12</v>
      </c>
      <c r="D1407" s="2">
        <v>2020</v>
      </c>
      <c r="E1407" s="2">
        <v>100.44</v>
      </c>
      <c r="F1407" s="2">
        <v>87.11</v>
      </c>
      <c r="H1407" s="1">
        <f>_xlfn.XLOOKUP('Customer Info'!A326,'Customer Info'!A326:A425,'Customer Info'!E326:E425,0,0)</f>
        <v>0</v>
      </c>
      <c r="J1407" s="1">
        <f>_xlfn.XLOOKUP('Customer Info'!A326,'Customer Info'!A326:A425,'Customer Info'!M326:M425)</f>
        <v>0</v>
      </c>
    </row>
    <row r="1408" spans="1:10" ht="14" x14ac:dyDescent="0.2">
      <c r="A1408" s="2" t="s">
        <v>89</v>
      </c>
      <c r="B1408" s="2">
        <v>2</v>
      </c>
      <c r="C1408" s="2">
        <v>3</v>
      </c>
      <c r="D1408" s="2">
        <v>2021</v>
      </c>
      <c r="E1408" s="2">
        <v>91.45</v>
      </c>
      <c r="F1408" s="2">
        <v>87.11</v>
      </c>
      <c r="H1408" s="1">
        <f>_xlfn.XLOOKUP('Customer Info'!A1605,'Customer Info'!A1605:A1704,'Customer Info'!E1605:E1704,0,0)</f>
        <v>0</v>
      </c>
      <c r="J1408" s="1">
        <f>_xlfn.XLOOKUP('Customer Info'!A1605,'Customer Info'!A1605:A1704,'Customer Info'!M1605:M1704)</f>
        <v>0</v>
      </c>
    </row>
    <row r="1409" spans="1:10" ht="14" x14ac:dyDescent="0.2">
      <c r="A1409" s="2" t="s">
        <v>43</v>
      </c>
      <c r="B1409" s="2">
        <v>15</v>
      </c>
      <c r="C1409" s="2">
        <v>10</v>
      </c>
      <c r="D1409" s="2">
        <v>2021</v>
      </c>
      <c r="E1409" s="2">
        <v>66.34</v>
      </c>
      <c r="F1409" s="2">
        <v>87.11</v>
      </c>
      <c r="H1409" s="1">
        <f>_xlfn.XLOOKUP('Customer Info'!A1756,'Customer Info'!A1756:A1855,'Customer Info'!E1756:E1855,0,0)</f>
        <v>0</v>
      </c>
      <c r="J1409" s="1">
        <f>_xlfn.XLOOKUP('Customer Info'!A1756,'Customer Info'!A1756:A1855,'Customer Info'!M1756:M1855)</f>
        <v>0</v>
      </c>
    </row>
    <row r="1410" spans="1:10" ht="14" x14ac:dyDescent="0.2">
      <c r="A1410" s="2" t="s">
        <v>40</v>
      </c>
      <c r="B1410" s="2">
        <v>15</v>
      </c>
      <c r="C1410" s="2">
        <v>3</v>
      </c>
      <c r="D1410" s="2">
        <v>2021</v>
      </c>
      <c r="E1410" s="2">
        <v>65.72</v>
      </c>
      <c r="F1410" s="2">
        <v>87.11</v>
      </c>
      <c r="H1410" s="1">
        <f>_xlfn.XLOOKUP('Customer Info'!A1764,'Customer Info'!A1764:A1863,'Customer Info'!E1764:E1863,0,0)</f>
        <v>0</v>
      </c>
      <c r="J1410" s="1">
        <f>_xlfn.XLOOKUP('Customer Info'!A1764,'Customer Info'!A1764:A1863,'Customer Info'!M1764:M1863)</f>
        <v>0</v>
      </c>
    </row>
    <row r="1411" spans="1:10" ht="14" hidden="1" x14ac:dyDescent="0.2">
      <c r="A1411" s="2" t="s">
        <v>72</v>
      </c>
      <c r="B1411" s="2">
        <v>22</v>
      </c>
      <c r="C1411" s="2">
        <v>8</v>
      </c>
      <c r="D1411" s="2">
        <v>2020</v>
      </c>
      <c r="E1411" s="2">
        <v>48.67</v>
      </c>
      <c r="F1411" s="2">
        <v>87.11</v>
      </c>
      <c r="H1411" s="1">
        <f>_xlfn.XLOOKUP('Customer Info'!A654,'Customer Info'!A654:A753,'Customer Info'!E654:E753,0,0)</f>
        <v>0</v>
      </c>
      <c r="J1411" s="1">
        <f>_xlfn.XLOOKUP('Customer Info'!A654,'Customer Info'!A654:A753,'Customer Info'!M654:M753)</f>
        <v>0</v>
      </c>
    </row>
    <row r="1412" spans="1:10" ht="14" x14ac:dyDescent="0.2">
      <c r="A1412" s="2" t="s">
        <v>40</v>
      </c>
      <c r="B1412" s="2">
        <v>15</v>
      </c>
      <c r="C1412" s="2">
        <v>7</v>
      </c>
      <c r="D1412" s="2">
        <v>2021</v>
      </c>
      <c r="E1412" s="2">
        <v>31.62</v>
      </c>
      <c r="F1412" s="2">
        <v>87.11</v>
      </c>
      <c r="H1412" s="1">
        <f>_xlfn.XLOOKUP('Customer Info'!A2011,'Customer Info'!A2011:A2110,'Customer Info'!E2011:E2110,0,0)</f>
        <v>0</v>
      </c>
      <c r="J1412" s="1">
        <f>_xlfn.XLOOKUP('Customer Info'!A2011,'Customer Info'!A2011:A2110,'Customer Info'!M2011:M2110)</f>
        <v>0</v>
      </c>
    </row>
    <row r="1413" spans="1:10" ht="14" x14ac:dyDescent="0.2">
      <c r="A1413" s="2" t="s">
        <v>51</v>
      </c>
      <c r="B1413" s="2">
        <v>16</v>
      </c>
      <c r="C1413" s="2">
        <v>7</v>
      </c>
      <c r="D1413" s="2">
        <v>2021</v>
      </c>
      <c r="E1413" s="2">
        <v>28.83</v>
      </c>
      <c r="F1413" s="2">
        <v>87.11</v>
      </c>
      <c r="H1413" s="1">
        <f>_xlfn.XLOOKUP('Customer Info'!A2027,'Customer Info'!A2027:A2126,'Customer Info'!E2027:E2126,0,0)</f>
        <v>0</v>
      </c>
      <c r="J1413" s="1">
        <f>_xlfn.XLOOKUP('Customer Info'!A2027,'Customer Info'!A2027:A2126,'Customer Info'!M2027:M2126)</f>
        <v>0</v>
      </c>
    </row>
    <row r="1414" spans="1:10" ht="14" x14ac:dyDescent="0.2">
      <c r="A1414" s="2" t="s">
        <v>38</v>
      </c>
      <c r="B1414" s="2">
        <v>21</v>
      </c>
      <c r="C1414" s="2">
        <v>2</v>
      </c>
      <c r="D1414" s="2">
        <v>2021</v>
      </c>
      <c r="E1414" s="2">
        <v>89.88</v>
      </c>
      <c r="F1414" s="2">
        <v>87.08</v>
      </c>
      <c r="H1414" s="1">
        <f>_xlfn.XLOOKUP('Customer Info'!A1614,'Customer Info'!A1614:A1713,'Customer Info'!E1614:E1713,0,0)</f>
        <v>0</v>
      </c>
      <c r="J1414" s="1">
        <f>_xlfn.XLOOKUP('Customer Info'!A1614,'Customer Info'!A1614:A1713,'Customer Info'!M1614:M1713)</f>
        <v>0</v>
      </c>
    </row>
    <row r="1415" spans="1:10" ht="14" hidden="1" x14ac:dyDescent="0.2">
      <c r="A1415" s="2" t="s">
        <v>40</v>
      </c>
      <c r="B1415" s="2">
        <v>15</v>
      </c>
      <c r="C1415" s="2">
        <v>4</v>
      </c>
      <c r="D1415" s="2">
        <v>2020</v>
      </c>
      <c r="E1415" s="2">
        <v>52.8</v>
      </c>
      <c r="F1415" s="2">
        <v>87</v>
      </c>
      <c r="H1415" s="1">
        <f>_xlfn.XLOOKUP('Customer Info'!A625,'Customer Info'!A625:A724,'Customer Info'!E625:E724,0,0)</f>
        <v>0</v>
      </c>
      <c r="J1415" s="1">
        <f>_xlfn.XLOOKUP('Customer Info'!A625,'Customer Info'!A625:A724,'Customer Info'!M625:M724)</f>
        <v>0</v>
      </c>
    </row>
    <row r="1416" spans="1:10" ht="14" x14ac:dyDescent="0.2">
      <c r="A1416" s="2" t="s">
        <v>46</v>
      </c>
      <c r="B1416" s="2">
        <v>9</v>
      </c>
      <c r="C1416" s="2">
        <v>9</v>
      </c>
      <c r="D1416" s="2">
        <v>2021</v>
      </c>
      <c r="E1416" s="2">
        <v>31.5</v>
      </c>
      <c r="F1416" s="2">
        <v>87</v>
      </c>
      <c r="H1416" s="1">
        <f>_xlfn.XLOOKUP('Customer Info'!A2015,'Customer Info'!A2015:A2114,'Customer Info'!E2015:E2114,0,0)</f>
        <v>0</v>
      </c>
      <c r="J1416" s="1">
        <f>_xlfn.XLOOKUP('Customer Info'!A2015,'Customer Info'!A2015:A2114,'Customer Info'!M2015:M2114)</f>
        <v>0</v>
      </c>
    </row>
    <row r="1417" spans="1:10" ht="14" hidden="1" x14ac:dyDescent="0.2">
      <c r="A1417" s="2" t="s">
        <v>43</v>
      </c>
      <c r="B1417" s="2">
        <v>15</v>
      </c>
      <c r="C1417" s="2">
        <v>6</v>
      </c>
      <c r="D1417" s="2">
        <v>2020</v>
      </c>
      <c r="E1417" s="2">
        <v>24.9</v>
      </c>
      <c r="F1417" s="2">
        <v>87</v>
      </c>
      <c r="H1417" s="1">
        <f>_xlfn.XLOOKUP('Customer Info'!A852,'Customer Info'!A852:A951,'Customer Info'!E852:E951,0,0)</f>
        <v>0</v>
      </c>
      <c r="J1417" s="1">
        <f>_xlfn.XLOOKUP('Customer Info'!A852,'Customer Info'!A852:A951,'Customer Info'!M852:M951)</f>
        <v>0</v>
      </c>
    </row>
    <row r="1418" spans="1:10" ht="14" x14ac:dyDescent="0.2">
      <c r="A1418" s="2" t="s">
        <v>87</v>
      </c>
      <c r="B1418" s="2">
        <v>1</v>
      </c>
      <c r="C1418" s="2">
        <v>1</v>
      </c>
      <c r="D1418" s="2">
        <v>2021</v>
      </c>
      <c r="E1418" s="2">
        <v>150.97</v>
      </c>
      <c r="F1418" s="2">
        <v>86.8</v>
      </c>
      <c r="H1418" s="1">
        <f>_xlfn.XLOOKUP('Customer Info'!A1350,'Customer Info'!A1350:A1449,'Customer Info'!E1350:E1449,0,0)</f>
        <v>0</v>
      </c>
      <c r="J1418" s="1">
        <f>_xlfn.XLOOKUP('Customer Info'!A1350,'Customer Info'!A1350:A1449,'Customer Info'!M1350:M1449)</f>
        <v>0</v>
      </c>
    </row>
    <row r="1419" spans="1:10" ht="14" x14ac:dyDescent="0.2">
      <c r="A1419" s="2" t="s">
        <v>80</v>
      </c>
      <c r="B1419" s="2">
        <v>12</v>
      </c>
      <c r="C1419" s="2">
        <v>5</v>
      </c>
      <c r="D1419" s="2">
        <v>2021</v>
      </c>
      <c r="E1419" s="2">
        <v>65.72</v>
      </c>
      <c r="F1419" s="2">
        <v>86.8</v>
      </c>
      <c r="H1419" s="1">
        <f>_xlfn.XLOOKUP('Customer Info'!A1765,'Customer Info'!A1765:A1864,'Customer Info'!E1765:E1864,0,0)</f>
        <v>0</v>
      </c>
      <c r="J1419" s="1">
        <f>_xlfn.XLOOKUP('Customer Info'!A1765,'Customer Info'!A1765:A1864,'Customer Info'!M1765:M1864)</f>
        <v>0</v>
      </c>
    </row>
    <row r="1420" spans="1:10" ht="14" x14ac:dyDescent="0.2">
      <c r="A1420" s="2" t="s">
        <v>80</v>
      </c>
      <c r="B1420" s="2">
        <v>12</v>
      </c>
      <c r="C1420" s="2">
        <v>8</v>
      </c>
      <c r="D1420" s="2">
        <v>2021</v>
      </c>
      <c r="E1420" s="2">
        <v>52.08</v>
      </c>
      <c r="F1420" s="2">
        <v>86.8</v>
      </c>
      <c r="H1420" s="1">
        <f>_xlfn.XLOOKUP('Customer Info'!A1850,'Customer Info'!A1850:A1949,'Customer Info'!E1850:E1949,0,0)</f>
        <v>0</v>
      </c>
      <c r="J1420" s="1">
        <f>_xlfn.XLOOKUP('Customer Info'!A1850,'Customer Info'!A1850:A1949,'Customer Info'!M1850:M1949)</f>
        <v>0</v>
      </c>
    </row>
    <row r="1421" spans="1:10" ht="14" hidden="1" x14ac:dyDescent="0.2">
      <c r="A1421" s="2" t="s">
        <v>70</v>
      </c>
      <c r="B1421" s="2">
        <v>16</v>
      </c>
      <c r="C1421" s="2">
        <v>7</v>
      </c>
      <c r="D1421" s="2">
        <v>2020</v>
      </c>
      <c r="E1421" s="2">
        <v>46.19</v>
      </c>
      <c r="F1421" s="2">
        <v>86.8</v>
      </c>
      <c r="H1421" s="1">
        <f>_xlfn.XLOOKUP('Customer Info'!A674,'Customer Info'!A674:A773,'Customer Info'!E674:E773,0,0)</f>
        <v>0</v>
      </c>
      <c r="J1421" s="1">
        <f>_xlfn.XLOOKUP('Customer Info'!A674,'Customer Info'!A674:A773,'Customer Info'!M674:M773)</f>
        <v>0</v>
      </c>
    </row>
    <row r="1422" spans="1:10" ht="14" hidden="1" x14ac:dyDescent="0.2">
      <c r="A1422" s="2" t="s">
        <v>55</v>
      </c>
      <c r="B1422" s="2">
        <v>18</v>
      </c>
      <c r="C1422" s="2">
        <v>5</v>
      </c>
      <c r="D1422" s="2">
        <v>2020</v>
      </c>
      <c r="E1422" s="2">
        <v>36.58</v>
      </c>
      <c r="F1422" s="2">
        <v>86.8</v>
      </c>
      <c r="H1422" s="1">
        <f>_xlfn.XLOOKUP('Customer Info'!A771,'Customer Info'!A771:A870,'Customer Info'!E771:E870,0,0)</f>
        <v>0</v>
      </c>
      <c r="J1422" s="1">
        <f>_xlfn.XLOOKUP('Customer Info'!A771,'Customer Info'!A771:A870,'Customer Info'!M771:M870)</f>
        <v>0</v>
      </c>
    </row>
    <row r="1423" spans="1:10" ht="14" x14ac:dyDescent="0.2">
      <c r="A1423" s="2" t="s">
        <v>51</v>
      </c>
      <c r="B1423" s="2">
        <v>16</v>
      </c>
      <c r="C1423" s="2">
        <v>8</v>
      </c>
      <c r="D1423" s="2">
        <v>2021</v>
      </c>
      <c r="E1423" s="2">
        <v>31.62</v>
      </c>
      <c r="F1423" s="2">
        <v>86.8</v>
      </c>
      <c r="H1423" s="1">
        <f>_xlfn.XLOOKUP('Customer Info'!A2012,'Customer Info'!A2012:A2111,'Customer Info'!E2012:E2111,0,0)</f>
        <v>0</v>
      </c>
      <c r="J1423" s="1">
        <f>_xlfn.XLOOKUP('Customer Info'!A2012,'Customer Info'!A2012:A2111,'Customer Info'!M2012:M2111)</f>
        <v>0</v>
      </c>
    </row>
    <row r="1424" spans="1:10" ht="14" x14ac:dyDescent="0.2">
      <c r="A1424" s="2" t="s">
        <v>43</v>
      </c>
      <c r="B1424" s="2">
        <v>15</v>
      </c>
      <c r="C1424" s="2">
        <v>4</v>
      </c>
      <c r="D1424" s="2">
        <v>2021</v>
      </c>
      <c r="E1424" s="2">
        <v>74.099999999999994</v>
      </c>
      <c r="F1424" s="2">
        <v>86.7</v>
      </c>
      <c r="H1424" s="1">
        <f>_xlfn.XLOOKUP('Customer Info'!A1701,'Customer Info'!A1701:A1800,'Customer Info'!E1701:E1800,0,0)</f>
        <v>0</v>
      </c>
      <c r="J1424" s="1">
        <f>_xlfn.XLOOKUP('Customer Info'!A1701,'Customer Info'!A1701:A1800,'Customer Info'!M1701:M1800)</f>
        <v>0</v>
      </c>
    </row>
    <row r="1425" spans="1:10" ht="14" x14ac:dyDescent="0.2">
      <c r="A1425" s="2" t="s">
        <v>34</v>
      </c>
      <c r="B1425" s="2">
        <v>4</v>
      </c>
      <c r="C1425" s="2">
        <v>9</v>
      </c>
      <c r="D1425" s="2">
        <v>2021</v>
      </c>
      <c r="E1425" s="2">
        <v>23.1</v>
      </c>
      <c r="F1425" s="2">
        <v>86.7</v>
      </c>
      <c r="H1425" s="1">
        <f>_xlfn.XLOOKUP('Customer Info'!A2059,'Customer Info'!A2059:A2158,'Customer Info'!E2059:E2158,0,0)</f>
        <v>0</v>
      </c>
      <c r="J1425" s="1">
        <f>_xlfn.XLOOKUP('Customer Info'!A2059,'Customer Info'!A2059:A2158,'Customer Info'!M2059:M2158)</f>
        <v>0</v>
      </c>
    </row>
    <row r="1426" spans="1:10" ht="14" x14ac:dyDescent="0.2">
      <c r="A1426" s="2" t="s">
        <v>87</v>
      </c>
      <c r="B1426" s="2">
        <v>1</v>
      </c>
      <c r="C1426" s="2">
        <v>12</v>
      </c>
      <c r="D1426" s="2">
        <v>2021</v>
      </c>
      <c r="E1426" s="2">
        <v>128.96</v>
      </c>
      <c r="F1426" s="2">
        <v>86.49</v>
      </c>
      <c r="H1426" s="1">
        <f>_xlfn.XLOOKUP('Customer Info'!A1403,'Customer Info'!A1403:A1502,'Customer Info'!E1403:E1502,0,0)</f>
        <v>0</v>
      </c>
      <c r="J1426" s="1">
        <f>_xlfn.XLOOKUP('Customer Info'!A1403,'Customer Info'!A1403:A1502,'Customer Info'!M1403:M1502)</f>
        <v>0</v>
      </c>
    </row>
    <row r="1427" spans="1:10" ht="14" x14ac:dyDescent="0.2">
      <c r="A1427" s="2" t="s">
        <v>73</v>
      </c>
      <c r="B1427" s="2">
        <v>5</v>
      </c>
      <c r="C1427" s="2">
        <v>1</v>
      </c>
      <c r="D1427" s="2">
        <v>2021</v>
      </c>
      <c r="E1427" s="2">
        <v>120.59</v>
      </c>
      <c r="F1427" s="2">
        <v>86.49</v>
      </c>
      <c r="H1427" s="1">
        <f>_xlfn.XLOOKUP('Customer Info'!A1437,'Customer Info'!A1437:A1536,'Customer Info'!E1437:E1536,0,0)</f>
        <v>0</v>
      </c>
      <c r="J1427" s="1">
        <f>_xlfn.XLOOKUP('Customer Info'!A1437,'Customer Info'!A1437:A1536,'Customer Info'!M1437:M1536)</f>
        <v>0</v>
      </c>
    </row>
    <row r="1428" spans="1:10" ht="14" x14ac:dyDescent="0.2">
      <c r="A1428" s="2" t="s">
        <v>90</v>
      </c>
      <c r="B1428" s="2">
        <v>18</v>
      </c>
      <c r="C1428" s="2">
        <v>10</v>
      </c>
      <c r="D1428" s="2">
        <v>2021</v>
      </c>
      <c r="E1428" s="2">
        <v>109.12</v>
      </c>
      <c r="F1428" s="2">
        <v>86.49</v>
      </c>
      <c r="H1428" s="1">
        <f>_xlfn.XLOOKUP('Customer Info'!A1505,'Customer Info'!A1505:A1604,'Customer Info'!E1505:E1604,0,0)</f>
        <v>0</v>
      </c>
      <c r="J1428" s="1">
        <f>_xlfn.XLOOKUP('Customer Info'!A1505,'Customer Info'!A1505:A1604,'Customer Info'!M1505:M1604)</f>
        <v>0</v>
      </c>
    </row>
    <row r="1429" spans="1:10" ht="14" x14ac:dyDescent="0.2">
      <c r="A1429" s="2" t="s">
        <v>46</v>
      </c>
      <c r="B1429" s="2">
        <v>9</v>
      </c>
      <c r="C1429" s="2">
        <v>12</v>
      </c>
      <c r="D1429" s="2">
        <v>2021</v>
      </c>
      <c r="E1429" s="2">
        <v>102.3</v>
      </c>
      <c r="F1429" s="2">
        <v>86.49</v>
      </c>
      <c r="H1429" s="1">
        <f>_xlfn.XLOOKUP('Customer Info'!A1541,'Customer Info'!A1541:A1640,'Customer Info'!E1541:E1640,0,0)</f>
        <v>0</v>
      </c>
      <c r="J1429" s="1">
        <f>_xlfn.XLOOKUP('Customer Info'!A1541,'Customer Info'!A1541:A1640,'Customer Info'!M1541:M1640)</f>
        <v>0</v>
      </c>
    </row>
    <row r="1430" spans="1:10" ht="14" hidden="1" x14ac:dyDescent="0.2">
      <c r="A1430" s="2" t="s">
        <v>82</v>
      </c>
      <c r="B1430" s="2">
        <v>8</v>
      </c>
      <c r="C1430" s="2">
        <v>10</v>
      </c>
      <c r="D1430" s="2">
        <v>2020</v>
      </c>
      <c r="E1430" s="2">
        <v>94.24</v>
      </c>
      <c r="F1430" s="2">
        <v>86.49</v>
      </c>
      <c r="H1430" s="1">
        <f>_xlfn.XLOOKUP('Customer Info'!A370,'Customer Info'!A370:A469,'Customer Info'!E370:E469,0,0)</f>
        <v>0</v>
      </c>
      <c r="J1430" s="1">
        <f>_xlfn.XLOOKUP('Customer Info'!A370,'Customer Info'!A370:A469,'Customer Info'!M370:M469)</f>
        <v>0</v>
      </c>
    </row>
    <row r="1431" spans="1:10" ht="14" hidden="1" x14ac:dyDescent="0.2">
      <c r="A1431" s="2" t="s">
        <v>58</v>
      </c>
      <c r="B1431" s="2">
        <v>16</v>
      </c>
      <c r="C1431" s="2">
        <v>10</v>
      </c>
      <c r="D1431" s="2">
        <v>2020</v>
      </c>
      <c r="E1431" s="2">
        <v>80.599999999999994</v>
      </c>
      <c r="F1431" s="2">
        <v>86.49</v>
      </c>
      <c r="H1431" s="1">
        <f>_xlfn.XLOOKUP('Customer Info'!A437,'Customer Info'!A437:A536,'Customer Info'!E437:E536,0,0)</f>
        <v>0</v>
      </c>
      <c r="J1431" s="1">
        <f>_xlfn.XLOOKUP('Customer Info'!A437,'Customer Info'!A437:A536,'Customer Info'!M437:M536)</f>
        <v>0</v>
      </c>
    </row>
    <row r="1432" spans="1:10" ht="14" hidden="1" x14ac:dyDescent="0.2">
      <c r="A1432" s="2" t="s">
        <v>69</v>
      </c>
      <c r="B1432" s="2">
        <v>12</v>
      </c>
      <c r="C1432" s="2">
        <v>10</v>
      </c>
      <c r="D1432" s="2">
        <v>2020</v>
      </c>
      <c r="E1432" s="2">
        <v>70.680000000000007</v>
      </c>
      <c r="F1432" s="2">
        <v>86.49</v>
      </c>
      <c r="H1432" s="1">
        <f>_xlfn.XLOOKUP('Customer Info'!A500,'Customer Info'!A500:A599,'Customer Info'!E500:E599,0,0)</f>
        <v>0</v>
      </c>
      <c r="J1432" s="1">
        <f>_xlfn.XLOOKUP('Customer Info'!A500,'Customer Info'!A500:A599,'Customer Info'!M500:M599)</f>
        <v>0</v>
      </c>
    </row>
    <row r="1433" spans="1:10" ht="14" hidden="1" x14ac:dyDescent="0.2">
      <c r="A1433" s="2" t="s">
        <v>67</v>
      </c>
      <c r="B1433" s="2">
        <v>13</v>
      </c>
      <c r="C1433" s="2">
        <v>3</v>
      </c>
      <c r="D1433" s="2">
        <v>2020</v>
      </c>
      <c r="E1433" s="2">
        <v>69.44</v>
      </c>
      <c r="F1433" s="2">
        <v>86.49</v>
      </c>
      <c r="H1433" s="1">
        <f>_xlfn.XLOOKUP('Customer Info'!A510,'Customer Info'!A510:A609,'Customer Info'!E510:E609,0,0)</f>
        <v>0</v>
      </c>
      <c r="J1433" s="1">
        <f>_xlfn.XLOOKUP('Customer Info'!A510,'Customer Info'!A510:A609,'Customer Info'!M510:M609)</f>
        <v>0</v>
      </c>
    </row>
    <row r="1434" spans="1:10" ht="14" x14ac:dyDescent="0.2">
      <c r="A1434" s="2" t="s">
        <v>78</v>
      </c>
      <c r="B1434" s="2">
        <v>18</v>
      </c>
      <c r="C1434" s="2">
        <v>7</v>
      </c>
      <c r="D1434" s="2">
        <v>2021</v>
      </c>
      <c r="E1434" s="2">
        <v>53.01</v>
      </c>
      <c r="F1434" s="2">
        <v>86.49</v>
      </c>
      <c r="H1434" s="1">
        <f>_xlfn.XLOOKUP('Customer Info'!A1842,'Customer Info'!A1842:A1941,'Customer Info'!E1842:E1941,0,0)</f>
        <v>0</v>
      </c>
      <c r="J1434" s="1">
        <f>_xlfn.XLOOKUP('Customer Info'!A1842,'Customer Info'!A1842:A1941,'Customer Info'!M1842:M1941)</f>
        <v>0</v>
      </c>
    </row>
    <row r="1435" spans="1:10" ht="14" hidden="1" x14ac:dyDescent="0.2">
      <c r="A1435" s="2" t="s">
        <v>52</v>
      </c>
      <c r="B1435" s="2">
        <v>1</v>
      </c>
      <c r="C1435" s="2">
        <v>5</v>
      </c>
      <c r="D1435" s="2">
        <v>2020</v>
      </c>
      <c r="E1435" s="2">
        <v>40.61</v>
      </c>
      <c r="F1435" s="2">
        <v>86.49</v>
      </c>
      <c r="H1435" s="1">
        <f>_xlfn.XLOOKUP('Customer Info'!A728,'Customer Info'!A728:A827,'Customer Info'!E728:E827,0,0)</f>
        <v>0</v>
      </c>
      <c r="J1435" s="1">
        <f>_xlfn.XLOOKUP('Customer Info'!A728,'Customer Info'!A728:A827,'Customer Info'!M728:M827)</f>
        <v>0</v>
      </c>
    </row>
    <row r="1436" spans="1:10" ht="14" hidden="1" x14ac:dyDescent="0.2">
      <c r="A1436" s="2" t="s">
        <v>69</v>
      </c>
      <c r="B1436" s="2">
        <v>12</v>
      </c>
      <c r="C1436" s="2">
        <v>7</v>
      </c>
      <c r="D1436" s="2">
        <v>2020</v>
      </c>
      <c r="E1436" s="2">
        <v>38.44</v>
      </c>
      <c r="F1436" s="2">
        <v>86.49</v>
      </c>
      <c r="H1436" s="1">
        <f>_xlfn.XLOOKUP('Customer Info'!A746,'Customer Info'!A746:A845,'Customer Info'!E746:E845,0,0)</f>
        <v>0</v>
      </c>
      <c r="J1436" s="1">
        <f>_xlfn.XLOOKUP('Customer Info'!A746,'Customer Info'!A746:A845,'Customer Info'!M746:M845)</f>
        <v>0</v>
      </c>
    </row>
    <row r="1437" spans="1:10" ht="14" x14ac:dyDescent="0.2">
      <c r="A1437" s="2" t="s">
        <v>65</v>
      </c>
      <c r="B1437" s="2">
        <v>11</v>
      </c>
      <c r="C1437" s="2">
        <v>11</v>
      </c>
      <c r="D1437" s="2">
        <v>2021</v>
      </c>
      <c r="E1437" s="2">
        <v>134.4</v>
      </c>
      <c r="F1437" s="2">
        <v>86.4</v>
      </c>
      <c r="H1437" s="1">
        <f>_xlfn.XLOOKUP('Customer Info'!A1379,'Customer Info'!A1379:A1478,'Customer Info'!E1379:E1478,0,0)</f>
        <v>0</v>
      </c>
      <c r="J1437" s="1">
        <f>_xlfn.XLOOKUP('Customer Info'!A1379,'Customer Info'!A1379:A1478,'Customer Info'!M1379:M1478)</f>
        <v>0</v>
      </c>
    </row>
    <row r="1438" spans="1:10" ht="14" x14ac:dyDescent="0.2">
      <c r="A1438" s="2" t="s">
        <v>66</v>
      </c>
      <c r="B1438" s="2">
        <v>23</v>
      </c>
      <c r="C1438" s="2">
        <v>11</v>
      </c>
      <c r="D1438" s="2">
        <v>2021</v>
      </c>
      <c r="E1438" s="2">
        <v>125.4</v>
      </c>
      <c r="F1438" s="2">
        <v>86.4</v>
      </c>
      <c r="H1438" s="1">
        <f>_xlfn.XLOOKUP('Customer Info'!A1424,'Customer Info'!A1424:A1523,'Customer Info'!E1424:E1523,0,0)</f>
        <v>0</v>
      </c>
      <c r="J1438" s="1">
        <f>_xlfn.XLOOKUP('Customer Info'!A1424,'Customer Info'!A1424:A1523,'Customer Info'!M1424:M1523)</f>
        <v>0</v>
      </c>
    </row>
    <row r="1439" spans="1:10" ht="14" x14ac:dyDescent="0.2">
      <c r="A1439" s="2" t="s">
        <v>45</v>
      </c>
      <c r="B1439" s="2">
        <v>18</v>
      </c>
      <c r="C1439" s="2">
        <v>11</v>
      </c>
      <c r="D1439" s="2">
        <v>2021</v>
      </c>
      <c r="E1439" s="2">
        <v>95.7</v>
      </c>
      <c r="F1439" s="2">
        <v>86.4</v>
      </c>
      <c r="H1439" s="1">
        <f>_xlfn.XLOOKUP('Customer Info'!A1579,'Customer Info'!A1579:A1678,'Customer Info'!E1579:E1678,0,0)</f>
        <v>0</v>
      </c>
      <c r="J1439" s="1">
        <f>_xlfn.XLOOKUP('Customer Info'!A1579,'Customer Info'!A1579:A1678,'Customer Info'!M1579:M1678)</f>
        <v>0</v>
      </c>
    </row>
    <row r="1440" spans="1:10" ht="14" hidden="1" x14ac:dyDescent="0.2">
      <c r="A1440" s="2" t="s">
        <v>70</v>
      </c>
      <c r="B1440" s="2">
        <v>16</v>
      </c>
      <c r="C1440" s="2">
        <v>4</v>
      </c>
      <c r="D1440" s="2">
        <v>2020</v>
      </c>
      <c r="E1440" s="2">
        <v>79.8</v>
      </c>
      <c r="F1440" s="2">
        <v>86.4</v>
      </c>
      <c r="H1440" s="1">
        <f>_xlfn.XLOOKUP('Customer Info'!A443,'Customer Info'!A443:A542,'Customer Info'!E443:E542,0,0)</f>
        <v>0</v>
      </c>
      <c r="J1440" s="1">
        <f>_xlfn.XLOOKUP('Customer Info'!A443,'Customer Info'!A443:A542,'Customer Info'!M443:M542)</f>
        <v>0</v>
      </c>
    </row>
    <row r="1441" spans="1:10" ht="14" x14ac:dyDescent="0.2">
      <c r="A1441" s="2" t="s">
        <v>53</v>
      </c>
      <c r="B1441" s="2">
        <v>18</v>
      </c>
      <c r="C1441" s="2">
        <v>4</v>
      </c>
      <c r="D1441" s="2">
        <v>2021</v>
      </c>
      <c r="E1441" s="2">
        <v>71.099999999999994</v>
      </c>
      <c r="F1441" s="2">
        <v>86.4</v>
      </c>
      <c r="H1441" s="1">
        <f>_xlfn.XLOOKUP('Customer Info'!A1726,'Customer Info'!A1726:A1825,'Customer Info'!E1726:E1825,0,0)</f>
        <v>0</v>
      </c>
      <c r="J1441" s="1">
        <f>_xlfn.XLOOKUP('Customer Info'!A1726,'Customer Info'!A1726:A1825,'Customer Info'!M1726:M1825)</f>
        <v>0</v>
      </c>
    </row>
    <row r="1442" spans="1:10" ht="14" x14ac:dyDescent="0.2">
      <c r="A1442" s="2" t="s">
        <v>81</v>
      </c>
      <c r="B1442" s="2">
        <v>19</v>
      </c>
      <c r="C1442" s="2">
        <v>9</v>
      </c>
      <c r="D1442" s="2">
        <v>2021</v>
      </c>
      <c r="E1442" s="2">
        <v>56.4</v>
      </c>
      <c r="F1442" s="2">
        <v>86.4</v>
      </c>
      <c r="H1442" s="1">
        <f>_xlfn.XLOOKUP('Customer Info'!A1826,'Customer Info'!A1826:A1925,'Customer Info'!E1826:E1925,0,0)</f>
        <v>0</v>
      </c>
      <c r="J1442" s="1">
        <f>_xlfn.XLOOKUP('Customer Info'!A1826,'Customer Info'!A1826:A1925,'Customer Info'!M1826:M1925)</f>
        <v>0</v>
      </c>
    </row>
    <row r="1443" spans="1:10" ht="14" hidden="1" x14ac:dyDescent="0.2">
      <c r="A1443" s="2" t="s">
        <v>54</v>
      </c>
      <c r="B1443" s="2">
        <v>5</v>
      </c>
      <c r="C1443" s="2">
        <v>6</v>
      </c>
      <c r="D1443" s="2">
        <v>2020</v>
      </c>
      <c r="E1443" s="2">
        <v>27.6</v>
      </c>
      <c r="F1443" s="2">
        <v>86.4</v>
      </c>
      <c r="H1443" s="1">
        <f>_xlfn.XLOOKUP('Customer Info'!A834,'Customer Info'!A834:A933,'Customer Info'!E834:E933,0,0)</f>
        <v>0</v>
      </c>
      <c r="J1443" s="1">
        <f>_xlfn.XLOOKUP('Customer Info'!A834,'Customer Info'!A834:A933,'Customer Info'!M834:M933)</f>
        <v>0</v>
      </c>
    </row>
    <row r="1444" spans="1:10" ht="14" x14ac:dyDescent="0.2">
      <c r="A1444" s="2" t="s">
        <v>38</v>
      </c>
      <c r="B1444" s="2">
        <v>21</v>
      </c>
      <c r="C1444" s="2">
        <v>6</v>
      </c>
      <c r="D1444" s="2">
        <v>2021</v>
      </c>
      <c r="E1444" s="2">
        <v>23.7</v>
      </c>
      <c r="F1444" s="2">
        <v>86.4</v>
      </c>
      <c r="H1444" s="1">
        <f>_xlfn.XLOOKUP('Customer Info'!A2057,'Customer Info'!A2057:A2156,'Customer Info'!E2057:E2156,0,0)</f>
        <v>0</v>
      </c>
      <c r="J1444" s="1">
        <f>_xlfn.XLOOKUP('Customer Info'!A2057,'Customer Info'!A2057:A2156,'Customer Info'!M2057:M2156)</f>
        <v>0</v>
      </c>
    </row>
    <row r="1445" spans="1:10" ht="14" x14ac:dyDescent="0.2">
      <c r="A1445" s="2" t="s">
        <v>81</v>
      </c>
      <c r="B1445" s="2">
        <v>19</v>
      </c>
      <c r="C1445" s="2">
        <v>2</v>
      </c>
      <c r="D1445" s="2">
        <v>2021</v>
      </c>
      <c r="E1445" s="2">
        <v>118.16</v>
      </c>
      <c r="F1445" s="2">
        <v>86.24</v>
      </c>
      <c r="H1445" s="1">
        <f>_xlfn.XLOOKUP('Customer Info'!A1447,'Customer Info'!A1447:A1546,'Customer Info'!E1447:E1546,0,0)</f>
        <v>0</v>
      </c>
      <c r="J1445" s="1">
        <f>_xlfn.XLOOKUP('Customer Info'!A1447,'Customer Info'!A1447:A1546,'Customer Info'!M1447:M1546)</f>
        <v>0</v>
      </c>
    </row>
    <row r="1446" spans="1:10" ht="14" hidden="1" x14ac:dyDescent="0.2">
      <c r="A1446" s="2" t="s">
        <v>92</v>
      </c>
      <c r="B1446" s="2">
        <v>7</v>
      </c>
      <c r="C1446" s="2">
        <v>3</v>
      </c>
      <c r="D1446" s="2">
        <v>2020</v>
      </c>
      <c r="E1446" s="2">
        <v>117.49</v>
      </c>
      <c r="F1446" s="2">
        <v>86.18</v>
      </c>
      <c r="H1446" s="1">
        <f>_xlfn.XLOOKUP('Customer Info'!A216,'Customer Info'!A216:A315,'Customer Info'!E216:E315,0,0)</f>
        <v>0</v>
      </c>
      <c r="J1446" s="1">
        <f>_xlfn.XLOOKUP('Customer Info'!A216,'Customer Info'!A216:A315,'Customer Info'!M216:M315)</f>
        <v>0</v>
      </c>
    </row>
    <row r="1447" spans="1:10" ht="14" hidden="1" x14ac:dyDescent="0.2">
      <c r="A1447" s="2" t="s">
        <v>59</v>
      </c>
      <c r="B1447" s="2">
        <v>11</v>
      </c>
      <c r="C1447" s="2">
        <v>12</v>
      </c>
      <c r="D1447" s="2">
        <v>2020</v>
      </c>
      <c r="E1447" s="2">
        <v>91.76</v>
      </c>
      <c r="F1447" s="2">
        <v>86.18</v>
      </c>
      <c r="H1447" s="1">
        <f>_xlfn.XLOOKUP('Customer Info'!A381,'Customer Info'!A381:A480,'Customer Info'!E381:E480,0,0)</f>
        <v>0</v>
      </c>
      <c r="J1447" s="1">
        <f>_xlfn.XLOOKUP('Customer Info'!A381,'Customer Info'!A381:A480,'Customer Info'!M381:M480)</f>
        <v>0</v>
      </c>
    </row>
    <row r="1448" spans="1:10" ht="14" hidden="1" x14ac:dyDescent="0.2">
      <c r="A1448" s="2" t="s">
        <v>87</v>
      </c>
      <c r="B1448" s="2">
        <v>1</v>
      </c>
      <c r="C1448" s="2">
        <v>5</v>
      </c>
      <c r="D1448" s="2">
        <v>2020</v>
      </c>
      <c r="E1448" s="2">
        <v>63.24</v>
      </c>
      <c r="F1448" s="2">
        <v>86.18</v>
      </c>
      <c r="H1448" s="1">
        <f>_xlfn.XLOOKUP('Customer Info'!A564,'Customer Info'!A564:A663,'Customer Info'!E564:E663,0,0)</f>
        <v>0</v>
      </c>
      <c r="J1448" s="1">
        <f>_xlfn.XLOOKUP('Customer Info'!A564,'Customer Info'!A564:A663,'Customer Info'!M564:M663)</f>
        <v>0</v>
      </c>
    </row>
    <row r="1449" spans="1:10" ht="14" x14ac:dyDescent="0.2">
      <c r="A1449" s="2" t="s">
        <v>56</v>
      </c>
      <c r="B1449" s="2">
        <v>14</v>
      </c>
      <c r="C1449" s="2">
        <v>5</v>
      </c>
      <c r="D1449" s="2">
        <v>2021</v>
      </c>
      <c r="E1449" s="2">
        <v>44.95</v>
      </c>
      <c r="F1449" s="2">
        <v>86.18</v>
      </c>
      <c r="H1449" s="1">
        <f>_xlfn.XLOOKUP('Customer Info'!A1907,'Customer Info'!A1907:A2006,'Customer Info'!E1907:E2006,0,0)</f>
        <v>0</v>
      </c>
      <c r="J1449" s="1">
        <f>_xlfn.XLOOKUP('Customer Info'!A1907,'Customer Info'!A1907:A2006,'Customer Info'!M1907:M2006)</f>
        <v>0</v>
      </c>
    </row>
    <row r="1450" spans="1:10" ht="14" hidden="1" x14ac:dyDescent="0.2">
      <c r="A1450" s="2" t="s">
        <v>36</v>
      </c>
      <c r="B1450" s="2">
        <v>12</v>
      </c>
      <c r="C1450" s="2">
        <v>5</v>
      </c>
      <c r="D1450" s="2">
        <v>2020</v>
      </c>
      <c r="E1450" s="2">
        <v>36.89</v>
      </c>
      <c r="F1450" s="2">
        <v>86.18</v>
      </c>
      <c r="H1450" s="1">
        <f>_xlfn.XLOOKUP('Customer Info'!A766,'Customer Info'!A766:A865,'Customer Info'!E766:E865,0,0)</f>
        <v>0</v>
      </c>
      <c r="J1450" s="1">
        <f>_xlfn.XLOOKUP('Customer Info'!A766,'Customer Info'!A766:A865,'Customer Info'!M766:M865)</f>
        <v>0</v>
      </c>
    </row>
    <row r="1451" spans="1:10" ht="14" x14ac:dyDescent="0.2">
      <c r="A1451" s="2" t="s">
        <v>52</v>
      </c>
      <c r="B1451" s="2">
        <v>1</v>
      </c>
      <c r="C1451" s="2">
        <v>7</v>
      </c>
      <c r="D1451" s="2">
        <v>2021</v>
      </c>
      <c r="E1451" s="2">
        <v>33.17</v>
      </c>
      <c r="F1451" s="2">
        <v>86.18</v>
      </c>
      <c r="H1451" s="1">
        <f>_xlfn.XLOOKUP('Customer Info'!A2001,'Customer Info'!A2001:A2100,'Customer Info'!E2001:E2100,0,0)</f>
        <v>0</v>
      </c>
      <c r="J1451" s="1">
        <f>_xlfn.XLOOKUP('Customer Info'!A2001,'Customer Info'!A2001:A2100,'Customer Info'!M2001:M2100)</f>
        <v>0</v>
      </c>
    </row>
    <row r="1452" spans="1:10" ht="14" hidden="1" x14ac:dyDescent="0.2">
      <c r="A1452" s="2" t="s">
        <v>80</v>
      </c>
      <c r="B1452" s="2">
        <v>12</v>
      </c>
      <c r="C1452" s="2">
        <v>4</v>
      </c>
      <c r="D1452" s="2">
        <v>2020</v>
      </c>
      <c r="E1452" s="2">
        <v>86.7</v>
      </c>
      <c r="F1452" s="2">
        <v>86.1</v>
      </c>
      <c r="H1452" s="1">
        <f>_xlfn.XLOOKUP('Customer Info'!A410,'Customer Info'!A410:A509,'Customer Info'!E410:E509,0,0)</f>
        <v>0</v>
      </c>
      <c r="J1452" s="1">
        <f>_xlfn.XLOOKUP('Customer Info'!A410,'Customer Info'!A410:A509,'Customer Info'!M410:M509)</f>
        <v>0</v>
      </c>
    </row>
    <row r="1453" spans="1:10" ht="14" x14ac:dyDescent="0.2">
      <c r="A1453" s="2" t="s">
        <v>66</v>
      </c>
      <c r="B1453" s="2">
        <v>23</v>
      </c>
      <c r="C1453" s="2">
        <v>4</v>
      </c>
      <c r="D1453" s="2">
        <v>2021</v>
      </c>
      <c r="E1453" s="2">
        <v>80.099999999999994</v>
      </c>
      <c r="F1453" s="2">
        <v>86.1</v>
      </c>
      <c r="H1453" s="1">
        <f>_xlfn.XLOOKUP('Customer Info'!A1664,'Customer Info'!A1664:A1763,'Customer Info'!E1664:E1763,0,0)</f>
        <v>0</v>
      </c>
      <c r="J1453" s="1">
        <f>_xlfn.XLOOKUP('Customer Info'!A1664,'Customer Info'!A1664:A1763,'Customer Info'!M1664:M1763)</f>
        <v>0</v>
      </c>
    </row>
    <row r="1454" spans="1:10" ht="14" hidden="1" x14ac:dyDescent="0.2">
      <c r="A1454" s="2" t="s">
        <v>67</v>
      </c>
      <c r="B1454" s="2">
        <v>13</v>
      </c>
      <c r="C1454" s="2">
        <v>4</v>
      </c>
      <c r="D1454" s="2">
        <v>2020</v>
      </c>
      <c r="E1454" s="2">
        <v>59.1</v>
      </c>
      <c r="F1454" s="2">
        <v>86.1</v>
      </c>
      <c r="H1454" s="1">
        <f>_xlfn.XLOOKUP('Customer Info'!A592,'Customer Info'!A592:A691,'Customer Info'!E592:E691,0,0)</f>
        <v>0</v>
      </c>
      <c r="J1454" s="1">
        <f>_xlfn.XLOOKUP('Customer Info'!A592,'Customer Info'!A592:A691,'Customer Info'!M592:M691)</f>
        <v>0</v>
      </c>
    </row>
    <row r="1455" spans="1:10" ht="14" x14ac:dyDescent="0.2">
      <c r="A1455" s="2" t="s">
        <v>56</v>
      </c>
      <c r="B1455" s="2">
        <v>14</v>
      </c>
      <c r="C1455" s="2">
        <v>9</v>
      </c>
      <c r="D1455" s="2">
        <v>2021</v>
      </c>
      <c r="E1455" s="2">
        <v>54.3</v>
      </c>
      <c r="F1455" s="2">
        <v>86.1</v>
      </c>
      <c r="H1455" s="1">
        <f>_xlfn.XLOOKUP('Customer Info'!A1836,'Customer Info'!A1836:A1935,'Customer Info'!E1836:E1935,0,0)</f>
        <v>0</v>
      </c>
      <c r="J1455" s="1">
        <f>_xlfn.XLOOKUP('Customer Info'!A1836,'Customer Info'!A1836:A1935,'Customer Info'!M1836:M1935)</f>
        <v>0</v>
      </c>
    </row>
    <row r="1456" spans="1:10" ht="14" hidden="1" x14ac:dyDescent="0.2">
      <c r="A1456" s="2" t="s">
        <v>2</v>
      </c>
      <c r="B1456" s="2">
        <v>18</v>
      </c>
      <c r="C1456" s="2">
        <v>6</v>
      </c>
      <c r="D1456" s="2">
        <v>2020</v>
      </c>
      <c r="E1456" s="2">
        <v>0</v>
      </c>
      <c r="F1456" s="2">
        <v>86.1</v>
      </c>
      <c r="H1456" s="1">
        <f>_xlfn.XLOOKUP('Customer Info'!A1200,'Customer Info'!A1200:A1299,'Customer Info'!E1200:E1299,0,0)</f>
        <v>0</v>
      </c>
      <c r="J1456" s="1">
        <f>_xlfn.XLOOKUP('Customer Info'!A1200,'Customer Info'!A1200:A1299,'Customer Info'!M1200:M1299)</f>
        <v>0</v>
      </c>
    </row>
    <row r="1457" spans="1:10" ht="14" hidden="1" x14ac:dyDescent="0.2">
      <c r="A1457" s="2" t="s">
        <v>50</v>
      </c>
      <c r="B1457" s="2">
        <v>24</v>
      </c>
      <c r="C1457" s="2">
        <v>1</v>
      </c>
      <c r="D1457" s="2">
        <v>2020</v>
      </c>
      <c r="E1457" s="2">
        <v>110.67</v>
      </c>
      <c r="F1457" s="2">
        <v>85.87</v>
      </c>
      <c r="H1457" s="1">
        <f>_xlfn.XLOOKUP('Customer Info'!A256,'Customer Info'!A256:A355,'Customer Info'!E256:E355,0,0)</f>
        <v>0</v>
      </c>
      <c r="J1457" s="1">
        <f>_xlfn.XLOOKUP('Customer Info'!A256,'Customer Info'!A256:A355,'Customer Info'!M256:M355)</f>
        <v>0</v>
      </c>
    </row>
    <row r="1458" spans="1:10" ht="14" x14ac:dyDescent="0.2">
      <c r="A1458" s="2" t="s">
        <v>67</v>
      </c>
      <c r="B1458" s="2">
        <v>13</v>
      </c>
      <c r="C1458" s="2">
        <v>1</v>
      </c>
      <c r="D1458" s="2">
        <v>2021</v>
      </c>
      <c r="E1458" s="2">
        <v>102.3</v>
      </c>
      <c r="F1458" s="2">
        <v>85.87</v>
      </c>
      <c r="H1458" s="1">
        <f>_xlfn.XLOOKUP('Customer Info'!A1542,'Customer Info'!A1542:A1641,'Customer Info'!E1542:E1641,0,0)</f>
        <v>0</v>
      </c>
      <c r="J1458" s="1">
        <f>_xlfn.XLOOKUP('Customer Info'!A1542,'Customer Info'!A1542:A1641,'Customer Info'!M1542:M1641)</f>
        <v>0</v>
      </c>
    </row>
    <row r="1459" spans="1:10" ht="14" x14ac:dyDescent="0.2">
      <c r="A1459" s="2" t="s">
        <v>91</v>
      </c>
      <c r="B1459" s="2">
        <v>5</v>
      </c>
      <c r="C1459" s="2">
        <v>3</v>
      </c>
      <c r="D1459" s="2">
        <v>2021</v>
      </c>
      <c r="E1459" s="2">
        <v>100.44</v>
      </c>
      <c r="F1459" s="2">
        <v>85.87</v>
      </c>
      <c r="H1459" s="1">
        <f>_xlfn.XLOOKUP('Customer Info'!A1553,'Customer Info'!A1553:A1652,'Customer Info'!E1553:E1652,0,0)</f>
        <v>0</v>
      </c>
      <c r="J1459" s="1">
        <f>_xlfn.XLOOKUP('Customer Info'!A1553,'Customer Info'!A1553:A1652,'Customer Info'!M1553:M1652)</f>
        <v>0</v>
      </c>
    </row>
    <row r="1460" spans="1:10" ht="14" hidden="1" x14ac:dyDescent="0.2">
      <c r="A1460" s="2" t="s">
        <v>82</v>
      </c>
      <c r="B1460" s="2">
        <v>8</v>
      </c>
      <c r="C1460" s="2">
        <v>3</v>
      </c>
      <c r="D1460" s="2">
        <v>2020</v>
      </c>
      <c r="E1460" s="2">
        <v>93</v>
      </c>
      <c r="F1460" s="2">
        <v>85.87</v>
      </c>
      <c r="H1460" s="1">
        <f>_xlfn.XLOOKUP('Customer Info'!A378,'Customer Info'!A378:A477,'Customer Info'!E378:E477,0,0)</f>
        <v>0</v>
      </c>
      <c r="J1460" s="1">
        <f>_xlfn.XLOOKUP('Customer Info'!A378,'Customer Info'!A378:A477,'Customer Info'!M378:M477)</f>
        <v>0</v>
      </c>
    </row>
    <row r="1461" spans="1:10" ht="14" x14ac:dyDescent="0.2">
      <c r="A1461" s="2" t="s">
        <v>68</v>
      </c>
      <c r="B1461" s="2">
        <v>11</v>
      </c>
      <c r="C1461" s="2">
        <v>3</v>
      </c>
      <c r="D1461" s="2">
        <v>2021</v>
      </c>
      <c r="E1461" s="2">
        <v>81.84</v>
      </c>
      <c r="F1461" s="2">
        <v>85.87</v>
      </c>
      <c r="H1461" s="1">
        <f>_xlfn.XLOOKUP('Customer Info'!A1655,'Customer Info'!A1655:A1754,'Customer Info'!E1655:E1754,0,0)</f>
        <v>0</v>
      </c>
      <c r="J1461" s="1">
        <f>_xlfn.XLOOKUP('Customer Info'!A1655,'Customer Info'!A1655:A1754,'Customer Info'!M1655:M1754)</f>
        <v>0</v>
      </c>
    </row>
    <row r="1462" spans="1:10" ht="14" x14ac:dyDescent="0.2">
      <c r="A1462" s="2" t="s">
        <v>69</v>
      </c>
      <c r="B1462" s="2">
        <v>12</v>
      </c>
      <c r="C1462" s="2">
        <v>8</v>
      </c>
      <c r="D1462" s="2">
        <v>2021</v>
      </c>
      <c r="E1462" s="2">
        <v>38.75</v>
      </c>
      <c r="F1462" s="2">
        <v>85.87</v>
      </c>
      <c r="H1462" s="1">
        <f>_xlfn.XLOOKUP('Customer Info'!A1951,'Customer Info'!A1951:A2050,'Customer Info'!E1951:E2050,0,0)</f>
        <v>0</v>
      </c>
      <c r="J1462" s="1">
        <f>_xlfn.XLOOKUP('Customer Info'!A1951,'Customer Info'!A1951:A2050,'Customer Info'!M1951:M2050)</f>
        <v>0</v>
      </c>
    </row>
    <row r="1463" spans="1:10" ht="14" hidden="1" x14ac:dyDescent="0.2">
      <c r="A1463" s="2" t="s">
        <v>68</v>
      </c>
      <c r="B1463" s="2">
        <v>11</v>
      </c>
      <c r="C1463" s="2">
        <v>7</v>
      </c>
      <c r="D1463" s="2">
        <v>2020</v>
      </c>
      <c r="E1463" s="2">
        <v>35.96</v>
      </c>
      <c r="F1463" s="2">
        <v>85.87</v>
      </c>
      <c r="H1463" s="1">
        <f>_xlfn.XLOOKUP('Customer Info'!A778,'Customer Info'!A778:A877,'Customer Info'!E778:E877,0,0)</f>
        <v>0</v>
      </c>
      <c r="J1463" s="1">
        <f>_xlfn.XLOOKUP('Customer Info'!A778,'Customer Info'!A778:A877,'Customer Info'!M778:M877)</f>
        <v>0</v>
      </c>
    </row>
    <row r="1464" spans="1:10" ht="14" x14ac:dyDescent="0.2">
      <c r="A1464" s="2" t="s">
        <v>68</v>
      </c>
      <c r="B1464" s="2">
        <v>11</v>
      </c>
      <c r="C1464" s="2">
        <v>11</v>
      </c>
      <c r="D1464" s="2">
        <v>2021</v>
      </c>
      <c r="E1464" s="2">
        <v>131.4</v>
      </c>
      <c r="F1464" s="2">
        <v>85.8</v>
      </c>
      <c r="H1464" s="1">
        <f>_xlfn.XLOOKUP('Customer Info'!A1394,'Customer Info'!A1394:A1493,'Customer Info'!E1394:E1493,0,0)</f>
        <v>0</v>
      </c>
      <c r="J1464" s="1">
        <f>_xlfn.XLOOKUP('Customer Info'!A1394,'Customer Info'!A1394:A1493,'Customer Info'!M1394:M1493)</f>
        <v>0</v>
      </c>
    </row>
    <row r="1465" spans="1:10" ht="14" x14ac:dyDescent="0.2">
      <c r="A1465" s="2" t="s">
        <v>90</v>
      </c>
      <c r="B1465" s="2">
        <v>18</v>
      </c>
      <c r="C1465" s="2">
        <v>4</v>
      </c>
      <c r="D1465" s="2">
        <v>2021</v>
      </c>
      <c r="E1465" s="2">
        <v>110.4</v>
      </c>
      <c r="F1465" s="2">
        <v>85.8</v>
      </c>
      <c r="H1465" s="1">
        <f>_xlfn.XLOOKUP('Customer Info'!A1493,'Customer Info'!A1493:A1592,'Customer Info'!E1493:E1592,0,0)</f>
        <v>0</v>
      </c>
      <c r="J1465" s="1">
        <f>_xlfn.XLOOKUP('Customer Info'!A1493,'Customer Info'!A1493:A1592,'Customer Info'!M1493:M1592)</f>
        <v>0</v>
      </c>
    </row>
    <row r="1466" spans="1:10" ht="14" x14ac:dyDescent="0.2">
      <c r="A1466" s="2" t="s">
        <v>60</v>
      </c>
      <c r="B1466" s="2">
        <v>20</v>
      </c>
      <c r="C1466" s="2">
        <v>11</v>
      </c>
      <c r="D1466" s="2">
        <v>2021</v>
      </c>
      <c r="E1466" s="2">
        <v>108</v>
      </c>
      <c r="F1466" s="2">
        <v>85.8</v>
      </c>
      <c r="H1466" s="1">
        <f>_xlfn.XLOOKUP('Customer Info'!A1509,'Customer Info'!A1509:A1608,'Customer Info'!E1509:E1608,0,0)</f>
        <v>0</v>
      </c>
      <c r="J1466" s="1">
        <f>_xlfn.XLOOKUP('Customer Info'!A1509,'Customer Info'!A1509:A1608,'Customer Info'!M1509:M1608)</f>
        <v>0</v>
      </c>
    </row>
    <row r="1467" spans="1:10" ht="14" hidden="1" x14ac:dyDescent="0.2">
      <c r="A1467" s="2" t="s">
        <v>44</v>
      </c>
      <c r="B1467" s="2">
        <v>1</v>
      </c>
      <c r="C1467" s="2">
        <v>11</v>
      </c>
      <c r="D1467" s="2">
        <v>2020</v>
      </c>
      <c r="E1467" s="2">
        <v>103.8</v>
      </c>
      <c r="F1467" s="2">
        <v>85.8</v>
      </c>
      <c r="H1467" s="1">
        <f>_xlfn.XLOOKUP('Customer Info'!A306,'Customer Info'!A306:A405,'Customer Info'!E306:E405,0,0)</f>
        <v>0</v>
      </c>
      <c r="J1467" s="1">
        <f>_xlfn.XLOOKUP('Customer Info'!A306,'Customer Info'!A306:A405,'Customer Info'!M306:M405)</f>
        <v>0</v>
      </c>
    </row>
    <row r="1468" spans="1:10" ht="14" x14ac:dyDescent="0.2">
      <c r="A1468" s="2" t="s">
        <v>88</v>
      </c>
      <c r="B1468" s="2">
        <v>23</v>
      </c>
      <c r="C1468" s="2">
        <v>2</v>
      </c>
      <c r="D1468" s="2">
        <v>2021</v>
      </c>
      <c r="E1468" s="2">
        <v>133.28</v>
      </c>
      <c r="F1468" s="2">
        <v>85.68</v>
      </c>
      <c r="H1468" s="1">
        <f>_xlfn.XLOOKUP('Customer Info'!A1388,'Customer Info'!A1388:A1487,'Customer Info'!E1388:E1487,0,0)</f>
        <v>0</v>
      </c>
      <c r="J1468" s="1">
        <f>_xlfn.XLOOKUP('Customer Info'!A1388,'Customer Info'!A1388:A1487,'Customer Info'!M1388:M1487)</f>
        <v>0</v>
      </c>
    </row>
    <row r="1469" spans="1:10" ht="14" hidden="1" x14ac:dyDescent="0.2">
      <c r="A1469" s="2" t="s">
        <v>68</v>
      </c>
      <c r="B1469" s="2">
        <v>11</v>
      </c>
      <c r="C1469" s="2">
        <v>2</v>
      </c>
      <c r="D1469" s="2">
        <v>2020</v>
      </c>
      <c r="E1469" s="2">
        <v>103.88</v>
      </c>
      <c r="F1469" s="2">
        <v>85.68</v>
      </c>
      <c r="H1469" s="1">
        <f>_xlfn.XLOOKUP('Customer Info'!A303,'Customer Info'!A303:A402,'Customer Info'!E303:E402,0,0)</f>
        <v>0</v>
      </c>
      <c r="J1469" s="1">
        <f>_xlfn.XLOOKUP('Customer Info'!A303,'Customer Info'!A303:A402,'Customer Info'!M303:M402)</f>
        <v>0</v>
      </c>
    </row>
    <row r="1470" spans="1:10" ht="14" x14ac:dyDescent="0.2">
      <c r="A1470" s="2" t="s">
        <v>60</v>
      </c>
      <c r="B1470" s="2">
        <v>20</v>
      </c>
      <c r="C1470" s="2">
        <v>2</v>
      </c>
      <c r="D1470" s="2">
        <v>2021</v>
      </c>
      <c r="E1470" s="2">
        <v>98</v>
      </c>
      <c r="F1470" s="2">
        <v>85.68</v>
      </c>
      <c r="H1470" s="1">
        <f>_xlfn.XLOOKUP('Customer Info'!A1565,'Customer Info'!A1565:A1664,'Customer Info'!E1565:E1664,0,0)</f>
        <v>0</v>
      </c>
      <c r="J1470" s="1">
        <f>_xlfn.XLOOKUP('Customer Info'!A1565,'Customer Info'!A1565:A1664,'Customer Info'!M1565:M1664)</f>
        <v>0</v>
      </c>
    </row>
    <row r="1471" spans="1:10" ht="14" x14ac:dyDescent="0.2">
      <c r="A1471" s="2" t="s">
        <v>56</v>
      </c>
      <c r="B1471" s="2">
        <v>14</v>
      </c>
      <c r="C1471" s="2">
        <v>1</v>
      </c>
      <c r="D1471" s="2">
        <v>2021</v>
      </c>
      <c r="E1471" s="2">
        <v>138.88</v>
      </c>
      <c r="F1471" s="2">
        <v>85.56</v>
      </c>
      <c r="H1471" s="1">
        <f>_xlfn.XLOOKUP('Customer Info'!A1366,'Customer Info'!A1366:A1465,'Customer Info'!E1366:E1465,0,0)</f>
        <v>0</v>
      </c>
      <c r="J1471" s="1">
        <f>_xlfn.XLOOKUP('Customer Info'!A1366,'Customer Info'!A1366:A1465,'Customer Info'!M1366:M1465)</f>
        <v>0</v>
      </c>
    </row>
    <row r="1472" spans="1:10" ht="14" hidden="1" x14ac:dyDescent="0.2">
      <c r="A1472" s="2" t="s">
        <v>42</v>
      </c>
      <c r="B1472" s="2">
        <v>12</v>
      </c>
      <c r="C1472" s="2">
        <v>12</v>
      </c>
      <c r="D1472" s="2">
        <v>2020</v>
      </c>
      <c r="E1472" s="2">
        <v>101.06</v>
      </c>
      <c r="F1472" s="2">
        <v>85.56</v>
      </c>
      <c r="H1472" s="1">
        <f>_xlfn.XLOOKUP('Customer Info'!A321,'Customer Info'!A321:A420,'Customer Info'!E321:E420,0,0)</f>
        <v>0</v>
      </c>
      <c r="J1472" s="1">
        <f>_xlfn.XLOOKUP('Customer Info'!A321,'Customer Info'!A321:A420,'Customer Info'!M321:M420)</f>
        <v>0</v>
      </c>
    </row>
    <row r="1473" spans="1:10" ht="14" x14ac:dyDescent="0.2">
      <c r="A1473" s="2" t="s">
        <v>37</v>
      </c>
      <c r="B1473" s="2">
        <v>12</v>
      </c>
      <c r="C1473" s="2">
        <v>12</v>
      </c>
      <c r="D1473" s="2">
        <v>2021</v>
      </c>
      <c r="E1473" s="2">
        <v>93.93</v>
      </c>
      <c r="F1473" s="2">
        <v>85.56</v>
      </c>
      <c r="H1473" s="1">
        <f>_xlfn.XLOOKUP('Customer Info'!A1593,'Customer Info'!A1593:A1692,'Customer Info'!E1593:E1692,0,0)</f>
        <v>0</v>
      </c>
      <c r="J1473" s="1">
        <f>_xlfn.XLOOKUP('Customer Info'!A1593,'Customer Info'!A1593:A1692,'Customer Info'!M1593:M1692)</f>
        <v>0</v>
      </c>
    </row>
    <row r="1474" spans="1:10" ht="14" hidden="1" x14ac:dyDescent="0.2">
      <c r="A1474" s="2" t="s">
        <v>73</v>
      </c>
      <c r="B1474" s="2">
        <v>5</v>
      </c>
      <c r="C1474" s="2">
        <v>3</v>
      </c>
      <c r="D1474" s="2">
        <v>2020</v>
      </c>
      <c r="E1474" s="2">
        <v>75.95</v>
      </c>
      <c r="F1474" s="2">
        <v>85.56</v>
      </c>
      <c r="H1474" s="1">
        <f>_xlfn.XLOOKUP('Customer Info'!A465,'Customer Info'!A465:A564,'Customer Info'!E465:E564,0,0)</f>
        <v>0</v>
      </c>
      <c r="J1474" s="1">
        <f>_xlfn.XLOOKUP('Customer Info'!A465,'Customer Info'!A465:A564,'Customer Info'!M465:M564)</f>
        <v>0</v>
      </c>
    </row>
    <row r="1475" spans="1:10" ht="14" hidden="1" x14ac:dyDescent="0.2">
      <c r="A1475" s="2" t="s">
        <v>40</v>
      </c>
      <c r="B1475" s="2">
        <v>15</v>
      </c>
      <c r="C1475" s="2">
        <v>3</v>
      </c>
      <c r="D1475" s="2">
        <v>2020</v>
      </c>
      <c r="E1475" s="2">
        <v>66.34</v>
      </c>
      <c r="F1475" s="2">
        <v>85.56</v>
      </c>
      <c r="H1475" s="1">
        <f>_xlfn.XLOOKUP('Customer Info'!A533,'Customer Info'!A533:A632,'Customer Info'!E533:E632,0,0)</f>
        <v>0</v>
      </c>
      <c r="J1475" s="1">
        <f>_xlfn.XLOOKUP('Customer Info'!A533,'Customer Info'!A533:A632,'Customer Info'!M533:M632)</f>
        <v>0</v>
      </c>
    </row>
    <row r="1476" spans="1:10" ht="14" x14ac:dyDescent="0.2">
      <c r="A1476" s="2" t="s">
        <v>91</v>
      </c>
      <c r="B1476" s="2">
        <v>5</v>
      </c>
      <c r="C1476" s="2">
        <v>5</v>
      </c>
      <c r="D1476" s="2">
        <v>2021</v>
      </c>
      <c r="E1476" s="2">
        <v>66.03</v>
      </c>
      <c r="F1476" s="2">
        <v>85.56</v>
      </c>
      <c r="H1476" s="1">
        <f>_xlfn.XLOOKUP('Customer Info'!A1762,'Customer Info'!A1762:A1861,'Customer Info'!E1762:E1861,0,0)</f>
        <v>0</v>
      </c>
      <c r="J1476" s="1">
        <f>_xlfn.XLOOKUP('Customer Info'!A1762,'Customer Info'!A1762:A1861,'Customer Info'!M1762:M1861)</f>
        <v>0</v>
      </c>
    </row>
    <row r="1477" spans="1:10" ht="14" x14ac:dyDescent="0.2">
      <c r="A1477" s="2" t="s">
        <v>76</v>
      </c>
      <c r="B1477" s="2">
        <v>9</v>
      </c>
      <c r="C1477" s="2">
        <v>5</v>
      </c>
      <c r="D1477" s="2">
        <v>2021</v>
      </c>
      <c r="E1477" s="2">
        <v>56.42</v>
      </c>
      <c r="F1477" s="2">
        <v>85.56</v>
      </c>
      <c r="H1477" s="1">
        <f>_xlfn.XLOOKUP('Customer Info'!A1825,'Customer Info'!A1825:A1924,'Customer Info'!E1825:E1924,0,0)</f>
        <v>0</v>
      </c>
      <c r="J1477" s="1">
        <f>_xlfn.XLOOKUP('Customer Info'!A1825,'Customer Info'!A1825:A1924,'Customer Info'!M1825:M1924)</f>
        <v>0</v>
      </c>
    </row>
    <row r="1478" spans="1:10" ht="14" hidden="1" x14ac:dyDescent="0.2">
      <c r="A1478" s="2" t="s">
        <v>82</v>
      </c>
      <c r="B1478" s="2">
        <v>8</v>
      </c>
      <c r="C1478" s="2">
        <v>7</v>
      </c>
      <c r="D1478" s="2">
        <v>2020</v>
      </c>
      <c r="E1478" s="2">
        <v>54.56</v>
      </c>
      <c r="F1478" s="2">
        <v>85.56</v>
      </c>
      <c r="H1478" s="1">
        <f>_xlfn.XLOOKUP('Customer Info'!A616,'Customer Info'!A616:A715,'Customer Info'!E616:E715,0,0)</f>
        <v>0</v>
      </c>
      <c r="J1478" s="1">
        <f>_xlfn.XLOOKUP('Customer Info'!A616,'Customer Info'!A616:A715,'Customer Info'!M616:M715)</f>
        <v>0</v>
      </c>
    </row>
    <row r="1479" spans="1:10" ht="14" hidden="1" x14ac:dyDescent="0.2">
      <c r="A1479" s="2" t="s">
        <v>44</v>
      </c>
      <c r="B1479" s="2">
        <v>1</v>
      </c>
      <c r="C1479" s="2">
        <v>5</v>
      </c>
      <c r="D1479" s="2">
        <v>2020</v>
      </c>
      <c r="E1479" s="2">
        <v>44.02</v>
      </c>
      <c r="F1479" s="2">
        <v>85.56</v>
      </c>
      <c r="H1479" s="1">
        <f>_xlfn.XLOOKUP('Customer Info'!A697,'Customer Info'!A697:A796,'Customer Info'!E697:E796,0,0)</f>
        <v>0</v>
      </c>
      <c r="J1479" s="1">
        <f>_xlfn.XLOOKUP('Customer Info'!A697,'Customer Info'!A697:A796,'Customer Info'!M697:M796)</f>
        <v>0</v>
      </c>
    </row>
    <row r="1480" spans="1:10" ht="14" x14ac:dyDescent="0.2">
      <c r="A1480" s="2" t="s">
        <v>70</v>
      </c>
      <c r="B1480" s="2">
        <v>16</v>
      </c>
      <c r="C1480" s="2">
        <v>11</v>
      </c>
      <c r="D1480" s="2">
        <v>2021</v>
      </c>
      <c r="E1480" s="2">
        <v>131.4</v>
      </c>
      <c r="F1480" s="2">
        <v>85.5</v>
      </c>
      <c r="H1480" s="1">
        <f>_xlfn.XLOOKUP('Customer Info'!A1395,'Customer Info'!A1395:A1494,'Customer Info'!E1395:E1494,0,0)</f>
        <v>0</v>
      </c>
      <c r="J1480" s="1">
        <f>_xlfn.XLOOKUP('Customer Info'!A1395,'Customer Info'!A1395:A1494,'Customer Info'!M1395:M1494)</f>
        <v>0</v>
      </c>
    </row>
    <row r="1481" spans="1:10" ht="14" x14ac:dyDescent="0.2">
      <c r="A1481" s="2" t="s">
        <v>43</v>
      </c>
      <c r="B1481" s="2">
        <v>15</v>
      </c>
      <c r="C1481" s="2">
        <v>11</v>
      </c>
      <c r="D1481" s="2">
        <v>2021</v>
      </c>
      <c r="E1481" s="2">
        <v>120.9</v>
      </c>
      <c r="F1481" s="2">
        <v>85.5</v>
      </c>
      <c r="H1481" s="1">
        <f>_xlfn.XLOOKUP('Customer Info'!A1435,'Customer Info'!A1435:A1534,'Customer Info'!E1435:E1534,0,0)</f>
        <v>0</v>
      </c>
      <c r="J1481" s="1">
        <f>_xlfn.XLOOKUP('Customer Info'!A1435,'Customer Info'!A1435:A1534,'Customer Info'!M1435:M1534)</f>
        <v>0</v>
      </c>
    </row>
    <row r="1482" spans="1:10" ht="14" hidden="1" x14ac:dyDescent="0.2">
      <c r="A1482" s="2" t="s">
        <v>40</v>
      </c>
      <c r="B1482" s="2">
        <v>15</v>
      </c>
      <c r="C1482" s="2">
        <v>9</v>
      </c>
      <c r="D1482" s="2">
        <v>2020</v>
      </c>
      <c r="E1482" s="2">
        <v>31.8</v>
      </c>
      <c r="F1482" s="2">
        <v>85.5</v>
      </c>
      <c r="H1482" s="1">
        <f>_xlfn.XLOOKUP('Customer Info'!A808,'Customer Info'!A808:A907,'Customer Info'!E808:E907,0,0)</f>
        <v>0</v>
      </c>
      <c r="J1482" s="1">
        <f>_xlfn.XLOOKUP('Customer Info'!A808,'Customer Info'!A808:A907,'Customer Info'!M808:M907)</f>
        <v>0</v>
      </c>
    </row>
    <row r="1483" spans="1:10" ht="14" hidden="1" x14ac:dyDescent="0.2">
      <c r="A1483" s="2" t="s">
        <v>69</v>
      </c>
      <c r="B1483" s="2">
        <v>12</v>
      </c>
      <c r="C1483" s="2">
        <v>2</v>
      </c>
      <c r="D1483" s="2">
        <v>2020</v>
      </c>
      <c r="E1483" s="2">
        <v>106.12</v>
      </c>
      <c r="F1483" s="2">
        <v>85.4</v>
      </c>
      <c r="H1483" s="1">
        <f>_xlfn.XLOOKUP('Customer Info'!A288,'Customer Info'!A288:A387,'Customer Info'!E288:E387,0,0)</f>
        <v>0</v>
      </c>
      <c r="J1483" s="1">
        <f>_xlfn.XLOOKUP('Customer Info'!A288,'Customer Info'!A288:A387,'Customer Info'!M288:M387)</f>
        <v>0</v>
      </c>
    </row>
    <row r="1484" spans="1:10" ht="14" hidden="1" x14ac:dyDescent="0.2">
      <c r="A1484" s="2" t="s">
        <v>66</v>
      </c>
      <c r="B1484" s="2">
        <v>23</v>
      </c>
      <c r="C1484" s="2">
        <v>2</v>
      </c>
      <c r="D1484" s="2">
        <v>2020</v>
      </c>
      <c r="E1484" s="2">
        <v>100.52</v>
      </c>
      <c r="F1484" s="2">
        <v>85.4</v>
      </c>
      <c r="H1484" s="1">
        <f>_xlfn.XLOOKUP('Customer Info'!A324,'Customer Info'!A324:A423,'Customer Info'!E324:E423,0,0)</f>
        <v>0</v>
      </c>
      <c r="J1484" s="1">
        <f>_xlfn.XLOOKUP('Customer Info'!A324,'Customer Info'!A324:A423,'Customer Info'!M324:M423)</f>
        <v>0</v>
      </c>
    </row>
    <row r="1485" spans="1:10" ht="14" hidden="1" x14ac:dyDescent="0.2">
      <c r="A1485" s="2" t="s">
        <v>81</v>
      </c>
      <c r="B1485" s="2">
        <v>19</v>
      </c>
      <c r="C1485" s="2">
        <v>12</v>
      </c>
      <c r="D1485" s="2">
        <v>2020</v>
      </c>
      <c r="E1485" s="2">
        <v>121.21</v>
      </c>
      <c r="F1485" s="2">
        <v>85.25</v>
      </c>
      <c r="H1485" s="1">
        <f>_xlfn.XLOOKUP('Customer Info'!A203,'Customer Info'!A203:A302,'Customer Info'!E203:E302,0,0)</f>
        <v>0</v>
      </c>
      <c r="J1485" s="1">
        <f>_xlfn.XLOOKUP('Customer Info'!A203,'Customer Info'!A203:A302,'Customer Info'!M203:M302)</f>
        <v>0</v>
      </c>
    </row>
    <row r="1486" spans="1:10" ht="14" hidden="1" x14ac:dyDescent="0.2">
      <c r="A1486" s="2" t="s">
        <v>69</v>
      </c>
      <c r="B1486" s="2">
        <v>12</v>
      </c>
      <c r="C1486" s="2">
        <v>1</v>
      </c>
      <c r="D1486" s="2">
        <v>2020</v>
      </c>
      <c r="E1486" s="2">
        <v>111.29</v>
      </c>
      <c r="F1486" s="2">
        <v>85.25</v>
      </c>
      <c r="H1486" s="1">
        <f>_xlfn.XLOOKUP('Customer Info'!A251,'Customer Info'!A251:A350,'Customer Info'!E251:E350,0,0)</f>
        <v>0</v>
      </c>
      <c r="J1486" s="1">
        <f>_xlfn.XLOOKUP('Customer Info'!A251,'Customer Info'!A251:A350,'Customer Info'!M251:M350)</f>
        <v>0</v>
      </c>
    </row>
    <row r="1487" spans="1:10" ht="14" hidden="1" x14ac:dyDescent="0.2">
      <c r="A1487" s="2" t="s">
        <v>66</v>
      </c>
      <c r="B1487" s="2">
        <v>23</v>
      </c>
      <c r="C1487" s="2">
        <v>10</v>
      </c>
      <c r="D1487" s="2">
        <v>2020</v>
      </c>
      <c r="E1487" s="2">
        <v>70.680000000000007</v>
      </c>
      <c r="F1487" s="2">
        <v>85.25</v>
      </c>
      <c r="H1487" s="1">
        <f>_xlfn.XLOOKUP('Customer Info'!A501,'Customer Info'!A501:A600,'Customer Info'!E501:E600,0,0)</f>
        <v>0</v>
      </c>
      <c r="J1487" s="1">
        <f>_xlfn.XLOOKUP('Customer Info'!A501,'Customer Info'!A501:A600,'Customer Info'!M501:M600)</f>
        <v>0</v>
      </c>
    </row>
    <row r="1488" spans="1:10" ht="14" hidden="1" x14ac:dyDescent="0.2">
      <c r="A1488" s="2" t="s">
        <v>56</v>
      </c>
      <c r="B1488" s="2">
        <v>14</v>
      </c>
      <c r="C1488" s="2">
        <v>3</v>
      </c>
      <c r="D1488" s="2">
        <v>2020</v>
      </c>
      <c r="E1488" s="2">
        <v>66.34</v>
      </c>
      <c r="F1488" s="2">
        <v>85.25</v>
      </c>
      <c r="H1488" s="1">
        <f>_xlfn.XLOOKUP('Customer Info'!A534,'Customer Info'!A534:A633,'Customer Info'!E534:E633,0,0)</f>
        <v>0</v>
      </c>
      <c r="J1488" s="1">
        <f>_xlfn.XLOOKUP('Customer Info'!A534,'Customer Info'!A534:A633,'Customer Info'!M534:M633)</f>
        <v>0</v>
      </c>
    </row>
    <row r="1489" spans="1:10" ht="14" hidden="1" x14ac:dyDescent="0.2">
      <c r="A1489" s="2" t="s">
        <v>35</v>
      </c>
      <c r="B1489" s="2">
        <v>9</v>
      </c>
      <c r="C1489" s="2">
        <v>3</v>
      </c>
      <c r="D1489" s="2">
        <v>2020</v>
      </c>
      <c r="E1489" s="2">
        <v>65.72</v>
      </c>
      <c r="F1489" s="2">
        <v>85.25</v>
      </c>
      <c r="H1489" s="1">
        <f>_xlfn.XLOOKUP('Customer Info'!A538,'Customer Info'!A538:A637,'Customer Info'!E538:E637,0,0)</f>
        <v>0</v>
      </c>
      <c r="J1489" s="1">
        <f>_xlfn.XLOOKUP('Customer Info'!A538,'Customer Info'!A538:A637,'Customer Info'!M538:M637)</f>
        <v>0</v>
      </c>
    </row>
    <row r="1490" spans="1:10" ht="14" x14ac:dyDescent="0.2">
      <c r="A1490" s="2" t="s">
        <v>87</v>
      </c>
      <c r="B1490" s="2">
        <v>1</v>
      </c>
      <c r="C1490" s="2">
        <v>7</v>
      </c>
      <c r="D1490" s="2">
        <v>2021</v>
      </c>
      <c r="E1490" s="2">
        <v>63.86</v>
      </c>
      <c r="F1490" s="2">
        <v>85.25</v>
      </c>
      <c r="H1490" s="1">
        <f>_xlfn.XLOOKUP('Customer Info'!A1777,'Customer Info'!A1777:A1876,'Customer Info'!E1777:E1876,0,0)</f>
        <v>0</v>
      </c>
      <c r="J1490" s="1">
        <f>_xlfn.XLOOKUP('Customer Info'!A1777,'Customer Info'!A1777:A1876,'Customer Info'!M1777:M1876)</f>
        <v>0</v>
      </c>
    </row>
    <row r="1491" spans="1:10" ht="14" hidden="1" x14ac:dyDescent="0.2">
      <c r="A1491" s="2" t="s">
        <v>53</v>
      </c>
      <c r="B1491" s="2">
        <v>18</v>
      </c>
      <c r="C1491" s="2">
        <v>11</v>
      </c>
      <c r="D1491" s="2">
        <v>2020</v>
      </c>
      <c r="E1491" s="2">
        <v>106.8</v>
      </c>
      <c r="F1491" s="2">
        <v>85.2</v>
      </c>
      <c r="H1491" s="1">
        <f>_xlfn.XLOOKUP('Customer Info'!A283,'Customer Info'!A283:A382,'Customer Info'!E283:E382,0,0)</f>
        <v>0</v>
      </c>
      <c r="J1491" s="1">
        <f>_xlfn.XLOOKUP('Customer Info'!A283,'Customer Info'!A283:A382,'Customer Info'!M283:M382)</f>
        <v>0</v>
      </c>
    </row>
    <row r="1492" spans="1:10" ht="14" x14ac:dyDescent="0.2">
      <c r="A1492" s="2" t="s">
        <v>85</v>
      </c>
      <c r="B1492" s="2">
        <v>3</v>
      </c>
      <c r="C1492" s="2">
        <v>4</v>
      </c>
      <c r="D1492" s="2">
        <v>2021</v>
      </c>
      <c r="E1492" s="2">
        <v>99</v>
      </c>
      <c r="F1492" s="2">
        <v>85.2</v>
      </c>
      <c r="H1492" s="1">
        <f>_xlfn.XLOOKUP('Customer Info'!A1560,'Customer Info'!A1560:A1659,'Customer Info'!E1560:E1659,0,0)</f>
        <v>0</v>
      </c>
      <c r="J1492" s="1">
        <f>_xlfn.XLOOKUP('Customer Info'!A1560,'Customer Info'!A1560:A1659,'Customer Info'!M1560:M1659)</f>
        <v>0</v>
      </c>
    </row>
    <row r="1493" spans="1:10" ht="14" x14ac:dyDescent="0.2">
      <c r="A1493" s="2" t="s">
        <v>51</v>
      </c>
      <c r="B1493" s="2">
        <v>16</v>
      </c>
      <c r="C1493" s="2">
        <v>6</v>
      </c>
      <c r="D1493" s="2">
        <v>2021</v>
      </c>
      <c r="E1493" s="2">
        <v>27</v>
      </c>
      <c r="F1493" s="2">
        <v>85.2</v>
      </c>
      <c r="H1493" s="1">
        <f>_xlfn.XLOOKUP('Customer Info'!A2040,'Customer Info'!A2040:A2139,'Customer Info'!E2040:E2139,0,0)</f>
        <v>0</v>
      </c>
      <c r="J1493" s="1">
        <f>_xlfn.XLOOKUP('Customer Info'!A2040,'Customer Info'!A2040:A2139,'Customer Info'!M2040:M2139)</f>
        <v>0</v>
      </c>
    </row>
    <row r="1494" spans="1:10" ht="14" x14ac:dyDescent="0.2">
      <c r="A1494" s="2" t="s">
        <v>45</v>
      </c>
      <c r="B1494" s="2">
        <v>18</v>
      </c>
      <c r="C1494" s="2">
        <v>6</v>
      </c>
      <c r="D1494" s="2">
        <v>2021</v>
      </c>
      <c r="E1494" s="2">
        <v>24.3</v>
      </c>
      <c r="F1494" s="2">
        <v>85.2</v>
      </c>
      <c r="H1494" s="1">
        <f>_xlfn.XLOOKUP('Customer Info'!A2056,'Customer Info'!A2056:A2155,'Customer Info'!E2056:E2155,0,0)</f>
        <v>0</v>
      </c>
      <c r="J1494" s="1">
        <f>_xlfn.XLOOKUP('Customer Info'!A2056,'Customer Info'!A2056:A2155,'Customer Info'!M2056:M2155)</f>
        <v>0</v>
      </c>
    </row>
    <row r="1495" spans="1:10" ht="14" x14ac:dyDescent="0.2">
      <c r="A1495" s="2" t="s">
        <v>1</v>
      </c>
      <c r="B1495" s="2">
        <v>21</v>
      </c>
      <c r="C1495" s="2">
        <v>6</v>
      </c>
      <c r="D1495" s="2">
        <v>2021</v>
      </c>
      <c r="E1495" s="2">
        <v>0</v>
      </c>
      <c r="F1495" s="2">
        <v>85.2</v>
      </c>
      <c r="H1495" s="1">
        <f>_xlfn.XLOOKUP('Customer Info'!A2401,'Customer Info'!A2401:A2500,'Customer Info'!E2401:E2500,0,0)</f>
        <v>0</v>
      </c>
      <c r="J1495" s="1">
        <f>_xlfn.XLOOKUP('Customer Info'!A2401,'Customer Info'!A2401:A2500,'Customer Info'!M2401:M2500)</f>
        <v>0</v>
      </c>
    </row>
    <row r="1496" spans="1:10" ht="14" hidden="1" x14ac:dyDescent="0.2">
      <c r="A1496" s="2" t="s">
        <v>72</v>
      </c>
      <c r="B1496" s="2">
        <v>22</v>
      </c>
      <c r="C1496" s="2">
        <v>2</v>
      </c>
      <c r="D1496" s="2">
        <v>2020</v>
      </c>
      <c r="E1496" s="2">
        <v>98</v>
      </c>
      <c r="F1496" s="2">
        <v>85.12</v>
      </c>
      <c r="H1496" s="1">
        <f>_xlfn.XLOOKUP('Customer Info'!A345,'Customer Info'!A345:A444,'Customer Info'!E345:E444,0,0)</f>
        <v>0</v>
      </c>
      <c r="J1496" s="1">
        <f>_xlfn.XLOOKUP('Customer Info'!A345,'Customer Info'!A345:A444,'Customer Info'!M345:M444)</f>
        <v>0</v>
      </c>
    </row>
    <row r="1497" spans="1:10" ht="14" x14ac:dyDescent="0.2">
      <c r="A1497" s="2" t="s">
        <v>91</v>
      </c>
      <c r="B1497" s="2">
        <v>5</v>
      </c>
      <c r="C1497" s="2">
        <v>10</v>
      </c>
      <c r="D1497" s="2">
        <v>2021</v>
      </c>
      <c r="E1497" s="2">
        <v>94.86</v>
      </c>
      <c r="F1497" s="2">
        <v>84.94</v>
      </c>
      <c r="H1497" s="1">
        <f>_xlfn.XLOOKUP('Customer Info'!A1585,'Customer Info'!A1585:A1684,'Customer Info'!E1585:E1684,0,0)</f>
        <v>0</v>
      </c>
      <c r="J1497" s="1">
        <f>_xlfn.XLOOKUP('Customer Info'!A1585,'Customer Info'!A1585:A1684,'Customer Info'!M1585:M1684)</f>
        <v>0</v>
      </c>
    </row>
    <row r="1498" spans="1:10" ht="14" x14ac:dyDescent="0.2">
      <c r="A1498" s="2" t="s">
        <v>80</v>
      </c>
      <c r="B1498" s="2">
        <v>12</v>
      </c>
      <c r="C1498" s="2">
        <v>10</v>
      </c>
      <c r="D1498" s="2">
        <v>2021</v>
      </c>
      <c r="E1498" s="2">
        <v>87.11</v>
      </c>
      <c r="F1498" s="2">
        <v>84.94</v>
      </c>
      <c r="H1498" s="1">
        <f>_xlfn.XLOOKUP('Customer Info'!A1626,'Customer Info'!A1626:A1725,'Customer Info'!E1626:E1725,0,0)</f>
        <v>0</v>
      </c>
      <c r="J1498" s="1">
        <f>_xlfn.XLOOKUP('Customer Info'!A1626,'Customer Info'!A1626:A1725,'Customer Info'!M1626:M1725)</f>
        <v>0</v>
      </c>
    </row>
    <row r="1499" spans="1:10" ht="14" hidden="1" x14ac:dyDescent="0.2">
      <c r="A1499" s="2" t="s">
        <v>85</v>
      </c>
      <c r="B1499" s="2">
        <v>3</v>
      </c>
      <c r="C1499" s="2">
        <v>10</v>
      </c>
      <c r="D1499" s="2">
        <v>2020</v>
      </c>
      <c r="E1499" s="2">
        <v>84.94</v>
      </c>
      <c r="F1499" s="2">
        <v>84.94</v>
      </c>
      <c r="H1499" s="1">
        <f>_xlfn.XLOOKUP('Customer Info'!A419,'Customer Info'!A419:A518,'Customer Info'!E419:E518,0,0)</f>
        <v>0</v>
      </c>
      <c r="J1499" s="1">
        <f>_xlfn.XLOOKUP('Customer Info'!A419,'Customer Info'!A419:A518,'Customer Info'!M419:M518)</f>
        <v>0</v>
      </c>
    </row>
    <row r="1500" spans="1:10" ht="14" x14ac:dyDescent="0.2">
      <c r="A1500" s="2" t="s">
        <v>55</v>
      </c>
      <c r="B1500" s="2">
        <v>18</v>
      </c>
      <c r="C1500" s="2">
        <v>10</v>
      </c>
      <c r="D1500" s="2">
        <v>2021</v>
      </c>
      <c r="E1500" s="2">
        <v>83.39</v>
      </c>
      <c r="F1500" s="2">
        <v>84.94</v>
      </c>
      <c r="H1500" s="1">
        <f>_xlfn.XLOOKUP('Customer Info'!A1644,'Customer Info'!A1644:A1743,'Customer Info'!E1644:E1743,0,0)</f>
        <v>0</v>
      </c>
      <c r="J1500" s="1">
        <f>_xlfn.XLOOKUP('Customer Info'!A1644,'Customer Info'!A1644:A1743,'Customer Info'!M1644:M1743)</f>
        <v>0</v>
      </c>
    </row>
    <row r="1501" spans="1:10" ht="14" x14ac:dyDescent="0.2">
      <c r="A1501" s="2" t="s">
        <v>93</v>
      </c>
      <c r="B1501" s="2">
        <v>3</v>
      </c>
      <c r="C1501" s="2">
        <v>5</v>
      </c>
      <c r="D1501" s="2">
        <v>2021</v>
      </c>
      <c r="E1501" s="2">
        <v>73.16</v>
      </c>
      <c r="F1501" s="2">
        <v>84.94</v>
      </c>
      <c r="H1501" s="1">
        <f>_xlfn.XLOOKUP('Customer Info'!A1711,'Customer Info'!A1711:A1810,'Customer Info'!E1711:E1810,0,0)</f>
        <v>0</v>
      </c>
      <c r="J1501" s="1">
        <f>_xlfn.XLOOKUP('Customer Info'!A1711,'Customer Info'!A1711:A1810,'Customer Info'!M1711:M1810)</f>
        <v>0</v>
      </c>
    </row>
    <row r="1502" spans="1:10" ht="14" hidden="1" x14ac:dyDescent="0.2">
      <c r="A1502" s="2" t="s">
        <v>52</v>
      </c>
      <c r="B1502" s="2">
        <v>1</v>
      </c>
      <c r="C1502" s="2">
        <v>10</v>
      </c>
      <c r="D1502" s="2">
        <v>2020</v>
      </c>
      <c r="E1502" s="2">
        <v>63.55</v>
      </c>
      <c r="F1502" s="2">
        <v>84.94</v>
      </c>
      <c r="H1502" s="1">
        <f>_xlfn.XLOOKUP('Customer Info'!A562,'Customer Info'!A562:A661,'Customer Info'!E562:E661,0,0)</f>
        <v>0</v>
      </c>
      <c r="J1502" s="1">
        <f>_xlfn.XLOOKUP('Customer Info'!A562,'Customer Info'!A562:A661,'Customer Info'!M562:M661)</f>
        <v>0</v>
      </c>
    </row>
    <row r="1503" spans="1:10" ht="14" x14ac:dyDescent="0.2">
      <c r="A1503" s="2" t="s">
        <v>78</v>
      </c>
      <c r="B1503" s="2">
        <v>18</v>
      </c>
      <c r="C1503" s="2">
        <v>8</v>
      </c>
      <c r="D1503" s="2">
        <v>2021</v>
      </c>
      <c r="E1503" s="2">
        <v>43.4</v>
      </c>
      <c r="F1503" s="2">
        <v>84.94</v>
      </c>
      <c r="H1503" s="1">
        <f>_xlfn.XLOOKUP('Customer Info'!A1918,'Customer Info'!A1918:A2017,'Customer Info'!E1918:E2017,0,0)</f>
        <v>0</v>
      </c>
      <c r="J1503" s="1">
        <f>_xlfn.XLOOKUP('Customer Info'!A1918,'Customer Info'!A1918:A2017,'Customer Info'!M1918:M2017)</f>
        <v>0</v>
      </c>
    </row>
    <row r="1504" spans="1:10" ht="14" x14ac:dyDescent="0.2">
      <c r="A1504" s="2" t="s">
        <v>47</v>
      </c>
      <c r="B1504" s="2">
        <v>19</v>
      </c>
      <c r="C1504" s="2">
        <v>11</v>
      </c>
      <c r="D1504" s="2">
        <v>2021</v>
      </c>
      <c r="E1504" s="2">
        <v>87.9</v>
      </c>
      <c r="F1504" s="2">
        <v>84.9</v>
      </c>
      <c r="H1504" s="1">
        <f>_xlfn.XLOOKUP('Customer Info'!A1622,'Customer Info'!A1622:A1721,'Customer Info'!E1622:E1721,0,0)</f>
        <v>0</v>
      </c>
      <c r="J1504" s="1">
        <f>_xlfn.XLOOKUP('Customer Info'!A1622,'Customer Info'!A1622:A1721,'Customer Info'!M1622:M1721)</f>
        <v>0</v>
      </c>
    </row>
    <row r="1505" spans="1:10" ht="14" x14ac:dyDescent="0.2">
      <c r="A1505" s="2" t="s">
        <v>73</v>
      </c>
      <c r="B1505" s="2">
        <v>5</v>
      </c>
      <c r="C1505" s="2">
        <v>4</v>
      </c>
      <c r="D1505" s="2">
        <v>2021</v>
      </c>
      <c r="E1505" s="2">
        <v>79.5</v>
      </c>
      <c r="F1505" s="2">
        <v>84.9</v>
      </c>
      <c r="H1505" s="1">
        <f>_xlfn.XLOOKUP('Customer Info'!A1670,'Customer Info'!A1670:A1769,'Customer Info'!E1670:E1769,0,0)</f>
        <v>0</v>
      </c>
      <c r="J1505" s="1">
        <f>_xlfn.XLOOKUP('Customer Info'!A1670,'Customer Info'!A1670:A1769,'Customer Info'!M1670:M1769)</f>
        <v>0</v>
      </c>
    </row>
    <row r="1506" spans="1:10" ht="14" x14ac:dyDescent="0.2">
      <c r="A1506" s="2" t="s">
        <v>55</v>
      </c>
      <c r="B1506" s="2">
        <v>18</v>
      </c>
      <c r="C1506" s="2">
        <v>4</v>
      </c>
      <c r="D1506" s="2">
        <v>2021</v>
      </c>
      <c r="E1506" s="2">
        <v>71.7</v>
      </c>
      <c r="F1506" s="2">
        <v>84.9</v>
      </c>
      <c r="H1506" s="1">
        <f>_xlfn.XLOOKUP('Customer Info'!A1721,'Customer Info'!A1721:A1820,'Customer Info'!E1721:E1820,0,0)</f>
        <v>0</v>
      </c>
      <c r="J1506" s="1">
        <f>_xlfn.XLOOKUP('Customer Info'!A1721,'Customer Info'!A1721:A1820,'Customer Info'!M1721:M1820)</f>
        <v>0</v>
      </c>
    </row>
    <row r="1507" spans="1:10" ht="14" x14ac:dyDescent="0.2">
      <c r="A1507" s="2" t="s">
        <v>87</v>
      </c>
      <c r="B1507" s="2">
        <v>1</v>
      </c>
      <c r="C1507" s="2">
        <v>2</v>
      </c>
      <c r="D1507" s="2">
        <v>2021</v>
      </c>
      <c r="E1507" s="2">
        <v>129.63999999999999</v>
      </c>
      <c r="F1507" s="2">
        <v>84.84</v>
      </c>
      <c r="H1507" s="1">
        <f>_xlfn.XLOOKUP('Customer Info'!A1400,'Customer Info'!A1400:A1499,'Customer Info'!E1400:E1499,0,0)</f>
        <v>0</v>
      </c>
      <c r="J1507" s="1">
        <f>_xlfn.XLOOKUP('Customer Info'!A1400,'Customer Info'!A1400:A1499,'Customer Info'!M1400:M1499)</f>
        <v>0</v>
      </c>
    </row>
    <row r="1508" spans="1:10" ht="14" hidden="1" x14ac:dyDescent="0.2">
      <c r="A1508" s="2" t="s">
        <v>0</v>
      </c>
      <c r="B1508" s="2">
        <v>25</v>
      </c>
      <c r="C1508" s="2">
        <v>5</v>
      </c>
      <c r="D1508" s="2">
        <v>2020</v>
      </c>
      <c r="E1508" s="1" t="s">
        <v>94</v>
      </c>
      <c r="F1508" s="2">
        <v>84.63</v>
      </c>
      <c r="H1508" s="1">
        <f>_xlfn.XLOOKUP('Customer Info'!A115,'Customer Info'!A115:A214,'Customer Info'!E115:E214,0,0)</f>
        <v>0</v>
      </c>
      <c r="J1508" s="1">
        <f>_xlfn.XLOOKUP('Customer Info'!A115,'Customer Info'!A115:A214,'Customer Info'!M115:M214)</f>
        <v>0</v>
      </c>
    </row>
    <row r="1509" spans="1:10" ht="14" x14ac:dyDescent="0.2">
      <c r="A1509" s="2" t="s">
        <v>44</v>
      </c>
      <c r="B1509" s="2">
        <v>1</v>
      </c>
      <c r="C1509" s="2">
        <v>12</v>
      </c>
      <c r="D1509" s="2">
        <v>2021</v>
      </c>
      <c r="E1509" s="2">
        <v>110.98</v>
      </c>
      <c r="F1509" s="2">
        <v>84.63</v>
      </c>
      <c r="H1509" s="1">
        <f>_xlfn.XLOOKUP('Customer Info'!A1492,'Customer Info'!A1492:A1591,'Customer Info'!E1492:E1591,0,0)</f>
        <v>0</v>
      </c>
      <c r="J1509" s="1">
        <f>_xlfn.XLOOKUP('Customer Info'!A1492,'Customer Info'!A1492:A1591,'Customer Info'!M1492:M1591)</f>
        <v>0</v>
      </c>
    </row>
    <row r="1510" spans="1:10" ht="14" hidden="1" x14ac:dyDescent="0.2">
      <c r="A1510" s="2" t="s">
        <v>44</v>
      </c>
      <c r="B1510" s="2">
        <v>1</v>
      </c>
      <c r="C1510" s="2">
        <v>1</v>
      </c>
      <c r="D1510" s="2">
        <v>2020</v>
      </c>
      <c r="E1510" s="2">
        <v>107.57</v>
      </c>
      <c r="F1510" s="2">
        <v>84.63</v>
      </c>
      <c r="H1510" s="1">
        <f>_xlfn.XLOOKUP('Customer Info'!A274,'Customer Info'!A274:A373,'Customer Info'!E274:E373,0,0)</f>
        <v>0</v>
      </c>
      <c r="J1510" s="1">
        <f>_xlfn.XLOOKUP('Customer Info'!A274,'Customer Info'!A274:A373,'Customer Info'!M274:M373)</f>
        <v>0</v>
      </c>
    </row>
    <row r="1511" spans="1:10" ht="14" hidden="1" x14ac:dyDescent="0.2">
      <c r="A1511" s="2" t="s">
        <v>84</v>
      </c>
      <c r="B1511" s="2">
        <v>20</v>
      </c>
      <c r="C1511" s="2">
        <v>10</v>
      </c>
      <c r="D1511" s="2">
        <v>2020</v>
      </c>
      <c r="E1511" s="2">
        <v>100.75</v>
      </c>
      <c r="F1511" s="2">
        <v>84.63</v>
      </c>
      <c r="H1511" s="1">
        <f>_xlfn.XLOOKUP('Customer Info'!A322,'Customer Info'!A322:A421,'Customer Info'!E322:E421,0,0)</f>
        <v>0</v>
      </c>
      <c r="J1511" s="1">
        <f>_xlfn.XLOOKUP('Customer Info'!A322,'Customer Info'!A322:A421,'Customer Info'!M322:M421)</f>
        <v>0</v>
      </c>
    </row>
    <row r="1512" spans="1:10" ht="14" hidden="1" x14ac:dyDescent="0.2">
      <c r="A1512" s="2" t="s">
        <v>87</v>
      </c>
      <c r="B1512" s="2">
        <v>1</v>
      </c>
      <c r="C1512" s="2">
        <v>3</v>
      </c>
      <c r="D1512" s="2">
        <v>2020</v>
      </c>
      <c r="E1512" s="2">
        <v>93</v>
      </c>
      <c r="F1512" s="2">
        <v>84.63</v>
      </c>
      <c r="H1512" s="1">
        <f>_xlfn.XLOOKUP('Customer Info'!A379,'Customer Info'!A379:A478,'Customer Info'!E379:E478,0,0)</f>
        <v>0</v>
      </c>
      <c r="J1512" s="1">
        <f>_xlfn.XLOOKUP('Customer Info'!A379,'Customer Info'!A379:A478,'Customer Info'!M379:M478)</f>
        <v>0</v>
      </c>
    </row>
    <row r="1513" spans="1:10" ht="14" hidden="1" x14ac:dyDescent="0.2">
      <c r="A1513" s="2" t="s">
        <v>74</v>
      </c>
      <c r="B1513" s="2">
        <v>5</v>
      </c>
      <c r="C1513" s="2">
        <v>10</v>
      </c>
      <c r="D1513" s="2">
        <v>2020</v>
      </c>
      <c r="E1513" s="2">
        <v>85.56</v>
      </c>
      <c r="F1513" s="2">
        <v>84.63</v>
      </c>
      <c r="H1513" s="1">
        <f>_xlfn.XLOOKUP('Customer Info'!A414,'Customer Info'!A414:A513,'Customer Info'!E414:E513,0,0)</f>
        <v>0</v>
      </c>
      <c r="J1513" s="1">
        <f>_xlfn.XLOOKUP('Customer Info'!A414,'Customer Info'!A414:A513,'Customer Info'!M414:M513)</f>
        <v>0</v>
      </c>
    </row>
    <row r="1514" spans="1:10" ht="14" x14ac:dyDescent="0.2">
      <c r="A1514" s="2" t="s">
        <v>90</v>
      </c>
      <c r="B1514" s="2">
        <v>18</v>
      </c>
      <c r="C1514" s="2">
        <v>7</v>
      </c>
      <c r="D1514" s="2">
        <v>2021</v>
      </c>
      <c r="E1514" s="2">
        <v>70.680000000000007</v>
      </c>
      <c r="F1514" s="2">
        <v>84.63</v>
      </c>
      <c r="H1514" s="1">
        <f>_xlfn.XLOOKUP('Customer Info'!A1732,'Customer Info'!A1732:A1831,'Customer Info'!E1732:E1831,0,0)</f>
        <v>0</v>
      </c>
      <c r="J1514" s="1">
        <f>_xlfn.XLOOKUP('Customer Info'!A1732,'Customer Info'!A1732:A1831,'Customer Info'!M1732:M1831)</f>
        <v>0</v>
      </c>
    </row>
    <row r="1515" spans="1:10" ht="14" hidden="1" x14ac:dyDescent="0.2">
      <c r="A1515" s="2" t="s">
        <v>48</v>
      </c>
      <c r="B1515" s="2">
        <v>24</v>
      </c>
      <c r="C1515" s="2">
        <v>10</v>
      </c>
      <c r="D1515" s="2">
        <v>2020</v>
      </c>
      <c r="E1515" s="2">
        <v>64.48</v>
      </c>
      <c r="F1515" s="2">
        <v>84.63</v>
      </c>
      <c r="H1515" s="1">
        <f>_xlfn.XLOOKUP('Customer Info'!A553,'Customer Info'!A553:A652,'Customer Info'!E553:E652,0,0)</f>
        <v>0</v>
      </c>
      <c r="J1515" s="1">
        <f>_xlfn.XLOOKUP('Customer Info'!A553,'Customer Info'!A553:A652,'Customer Info'!M553:M652)</f>
        <v>0</v>
      </c>
    </row>
    <row r="1516" spans="1:10" ht="14" x14ac:dyDescent="0.2">
      <c r="A1516" s="2" t="s">
        <v>53</v>
      </c>
      <c r="B1516" s="2">
        <v>18</v>
      </c>
      <c r="C1516" s="2">
        <v>8</v>
      </c>
      <c r="D1516" s="2">
        <v>2021</v>
      </c>
      <c r="E1516" s="2">
        <v>27.59</v>
      </c>
      <c r="F1516" s="2">
        <v>84.63</v>
      </c>
      <c r="H1516" s="1">
        <f>_xlfn.XLOOKUP('Customer Info'!A2039,'Customer Info'!A2039:A2138,'Customer Info'!E2039:E2138,0,0)</f>
        <v>0</v>
      </c>
      <c r="J1516" s="1">
        <f>_xlfn.XLOOKUP('Customer Info'!A2039,'Customer Info'!A2039:A2138,'Customer Info'!M2039:M2138)</f>
        <v>0</v>
      </c>
    </row>
    <row r="1517" spans="1:10" ht="14" hidden="1" x14ac:dyDescent="0.2">
      <c r="A1517" s="2" t="s">
        <v>41</v>
      </c>
      <c r="B1517" s="2">
        <v>15</v>
      </c>
      <c r="C1517" s="2">
        <v>7</v>
      </c>
      <c r="D1517" s="2">
        <v>2020</v>
      </c>
      <c r="E1517" s="2">
        <v>24.18</v>
      </c>
      <c r="F1517" s="2">
        <v>84.63</v>
      </c>
      <c r="H1517" s="1">
        <f>_xlfn.XLOOKUP('Customer Info'!A859,'Customer Info'!A859:A958,'Customer Info'!E859:E958,0,0)</f>
        <v>0</v>
      </c>
      <c r="J1517" s="1">
        <f>_xlfn.XLOOKUP('Customer Info'!A859,'Customer Info'!A859:A958,'Customer Info'!M859:M958)</f>
        <v>0</v>
      </c>
    </row>
    <row r="1518" spans="1:10" ht="14" x14ac:dyDescent="0.2">
      <c r="A1518" s="2" t="s">
        <v>38</v>
      </c>
      <c r="B1518" s="2">
        <v>21</v>
      </c>
      <c r="C1518" s="2">
        <v>7</v>
      </c>
      <c r="D1518" s="2">
        <v>2021</v>
      </c>
      <c r="E1518" s="2">
        <v>23.25</v>
      </c>
      <c r="F1518" s="2">
        <v>84.63</v>
      </c>
      <c r="H1518" s="1">
        <f>_xlfn.XLOOKUP('Customer Info'!A2058,'Customer Info'!A2058:A2157,'Customer Info'!E2058:E2157,0,0)</f>
        <v>0</v>
      </c>
      <c r="J1518" s="1">
        <f>_xlfn.XLOOKUP('Customer Info'!A2058,'Customer Info'!A2058:A2157,'Customer Info'!M2058:M2157)</f>
        <v>0</v>
      </c>
    </row>
    <row r="1519" spans="1:10" ht="14" hidden="1" x14ac:dyDescent="0.2">
      <c r="A1519" s="2" t="s">
        <v>0</v>
      </c>
      <c r="B1519" s="2">
        <v>25</v>
      </c>
      <c r="C1519" s="2">
        <v>4</v>
      </c>
      <c r="D1519" s="2">
        <v>2020</v>
      </c>
      <c r="E1519" s="1" t="s">
        <v>94</v>
      </c>
      <c r="F1519" s="2">
        <v>84.6</v>
      </c>
      <c r="H1519" s="1">
        <f>_xlfn.XLOOKUP('Customer Info'!A116,'Customer Info'!A116:A215,'Customer Info'!E116:E215,0,0)</f>
        <v>0</v>
      </c>
      <c r="J1519" s="1">
        <f>_xlfn.XLOOKUP('Customer Info'!A116,'Customer Info'!A116:A215,'Customer Info'!M116:M215)</f>
        <v>0</v>
      </c>
    </row>
    <row r="1520" spans="1:10" ht="14" x14ac:dyDescent="0.2">
      <c r="A1520" s="2" t="s">
        <v>56</v>
      </c>
      <c r="B1520" s="2">
        <v>14</v>
      </c>
      <c r="C1520" s="2">
        <v>11</v>
      </c>
      <c r="D1520" s="2">
        <v>2021</v>
      </c>
      <c r="E1520" s="2">
        <v>108</v>
      </c>
      <c r="F1520" s="2">
        <v>84.6</v>
      </c>
      <c r="H1520" s="1">
        <f>_xlfn.XLOOKUP('Customer Info'!A1510,'Customer Info'!A1510:A1609,'Customer Info'!E1510:E1609,0,0)</f>
        <v>0</v>
      </c>
      <c r="J1520" s="1">
        <f>_xlfn.XLOOKUP('Customer Info'!A1510,'Customer Info'!A1510:A1609,'Customer Info'!M1510:M1609)</f>
        <v>0</v>
      </c>
    </row>
    <row r="1521" spans="1:10" ht="14" x14ac:dyDescent="0.2">
      <c r="A1521" s="2" t="s">
        <v>63</v>
      </c>
      <c r="B1521" s="2">
        <v>25</v>
      </c>
      <c r="C1521" s="2">
        <v>4</v>
      </c>
      <c r="D1521" s="2">
        <v>2021</v>
      </c>
      <c r="E1521" s="2">
        <v>74.099999999999994</v>
      </c>
      <c r="F1521" s="2">
        <v>84.6</v>
      </c>
      <c r="H1521" s="1">
        <f>_xlfn.XLOOKUP('Customer Info'!A1702,'Customer Info'!A1702:A1801,'Customer Info'!E1702:E1801,0,0)</f>
        <v>0</v>
      </c>
      <c r="J1521" s="1">
        <f>_xlfn.XLOOKUP('Customer Info'!A1702,'Customer Info'!A1702:A1801,'Customer Info'!M1702:M1801)</f>
        <v>0</v>
      </c>
    </row>
    <row r="1522" spans="1:10" ht="14" x14ac:dyDescent="0.2">
      <c r="A1522" s="2" t="s">
        <v>80</v>
      </c>
      <c r="B1522" s="2">
        <v>12</v>
      </c>
      <c r="C1522" s="2">
        <v>6</v>
      </c>
      <c r="D1522" s="2">
        <v>2021</v>
      </c>
      <c r="E1522" s="2">
        <v>54.3</v>
      </c>
      <c r="F1522" s="2">
        <v>84.6</v>
      </c>
      <c r="H1522" s="1">
        <f>_xlfn.XLOOKUP('Customer Info'!A1837,'Customer Info'!A1837:A1936,'Customer Info'!E1837:E1936,0,0)</f>
        <v>0</v>
      </c>
      <c r="J1522" s="1">
        <f>_xlfn.XLOOKUP('Customer Info'!A1837,'Customer Info'!A1837:A1936,'Customer Info'!M1837:M1936)</f>
        <v>0</v>
      </c>
    </row>
    <row r="1523" spans="1:10" ht="14" x14ac:dyDescent="0.2">
      <c r="A1523" s="2" t="s">
        <v>66</v>
      </c>
      <c r="B1523" s="2">
        <v>23</v>
      </c>
      <c r="C1523" s="2">
        <v>6</v>
      </c>
      <c r="D1523" s="2">
        <v>2021</v>
      </c>
      <c r="E1523" s="2">
        <v>45.6</v>
      </c>
      <c r="F1523" s="2">
        <v>84.6</v>
      </c>
      <c r="H1523" s="1">
        <f>_xlfn.XLOOKUP('Customer Info'!A1900,'Customer Info'!A1900:A1999,'Customer Info'!E1900:E1999,0,0)</f>
        <v>0</v>
      </c>
      <c r="J1523" s="1">
        <f>_xlfn.XLOOKUP('Customer Info'!A1900,'Customer Info'!A1900:A1999,'Customer Info'!M1900:M1999)</f>
        <v>0</v>
      </c>
    </row>
    <row r="1524" spans="1:10" ht="14" x14ac:dyDescent="0.2">
      <c r="A1524" s="2" t="s">
        <v>96</v>
      </c>
      <c r="B1524" s="2">
        <v>3</v>
      </c>
      <c r="C1524" s="2">
        <v>3</v>
      </c>
      <c r="D1524" s="2">
        <v>2021</v>
      </c>
      <c r="E1524" s="1" t="s">
        <v>94</v>
      </c>
      <c r="F1524" s="2">
        <v>84.32</v>
      </c>
      <c r="H1524" s="1">
        <f>_xlfn.XLOOKUP('Customer Info'!A1303,'Customer Info'!A1303:A1402,'Customer Info'!E1303:E1402,0,0)</f>
        <v>0</v>
      </c>
      <c r="J1524" s="1">
        <f>_xlfn.XLOOKUP('Customer Info'!A1303,'Customer Info'!A1303:A1402,'Customer Info'!M1303:M1402)</f>
        <v>0</v>
      </c>
    </row>
    <row r="1525" spans="1:10" ht="14" hidden="1" x14ac:dyDescent="0.2">
      <c r="A1525" s="2" t="s">
        <v>93</v>
      </c>
      <c r="B1525" s="2">
        <v>3</v>
      </c>
      <c r="C1525" s="2">
        <v>3</v>
      </c>
      <c r="D1525" s="2">
        <v>2020</v>
      </c>
      <c r="E1525" s="2">
        <v>115.63</v>
      </c>
      <c r="F1525" s="2">
        <v>84.32</v>
      </c>
      <c r="H1525" s="1">
        <f>_xlfn.XLOOKUP('Customer Info'!A227,'Customer Info'!A227:A326,'Customer Info'!E227:E326,0,0)</f>
        <v>0</v>
      </c>
      <c r="J1525" s="1">
        <f>_xlfn.XLOOKUP('Customer Info'!A227,'Customer Info'!A227:A326,'Customer Info'!M227:M326)</f>
        <v>0</v>
      </c>
    </row>
    <row r="1526" spans="1:10" ht="14" x14ac:dyDescent="0.2">
      <c r="A1526" s="2" t="s">
        <v>34</v>
      </c>
      <c r="B1526" s="2">
        <v>4</v>
      </c>
      <c r="C1526" s="2">
        <v>12</v>
      </c>
      <c r="D1526" s="2">
        <v>2021</v>
      </c>
      <c r="E1526" s="2">
        <v>85.56</v>
      </c>
      <c r="F1526" s="2">
        <v>84.32</v>
      </c>
      <c r="H1526" s="1">
        <f>_xlfn.XLOOKUP('Customer Info'!A1634,'Customer Info'!A1634:A1733,'Customer Info'!E1634:E1733,0,0)</f>
        <v>0</v>
      </c>
      <c r="J1526" s="1">
        <f>_xlfn.XLOOKUP('Customer Info'!A1634,'Customer Info'!A1634:A1733,'Customer Info'!M1634:M1733)</f>
        <v>0</v>
      </c>
    </row>
    <row r="1527" spans="1:10" ht="14" x14ac:dyDescent="0.2">
      <c r="A1527" s="2" t="s">
        <v>46</v>
      </c>
      <c r="B1527" s="2">
        <v>9</v>
      </c>
      <c r="C1527" s="2">
        <v>5</v>
      </c>
      <c r="D1527" s="2">
        <v>2021</v>
      </c>
      <c r="E1527" s="2">
        <v>39.99</v>
      </c>
      <c r="F1527" s="2">
        <v>84.32</v>
      </c>
      <c r="H1527" s="1">
        <f>_xlfn.XLOOKUP('Customer Info'!A1941,'Customer Info'!A1941:A2040,'Customer Info'!E1941:E2040,0,0)</f>
        <v>0</v>
      </c>
      <c r="J1527" s="1">
        <f>_xlfn.XLOOKUP('Customer Info'!A1941,'Customer Info'!A1941:A2040,'Customer Info'!M1941:M2040)</f>
        <v>0</v>
      </c>
    </row>
    <row r="1528" spans="1:10" ht="14" hidden="1" x14ac:dyDescent="0.2">
      <c r="A1528" s="2" t="s">
        <v>61</v>
      </c>
      <c r="B1528" s="2">
        <v>23</v>
      </c>
      <c r="C1528" s="2">
        <v>8</v>
      </c>
      <c r="D1528" s="2">
        <v>2020</v>
      </c>
      <c r="E1528" s="2">
        <v>33.79</v>
      </c>
      <c r="F1528" s="2">
        <v>84.32</v>
      </c>
      <c r="H1528" s="1">
        <f>_xlfn.XLOOKUP('Customer Info'!A795,'Customer Info'!A795:A894,'Customer Info'!E795:E894,0,0)</f>
        <v>0</v>
      </c>
      <c r="J1528" s="1">
        <f>_xlfn.XLOOKUP('Customer Info'!A795,'Customer Info'!A795:A894,'Customer Info'!M795:M894)</f>
        <v>0</v>
      </c>
    </row>
    <row r="1529" spans="1:10" ht="14" hidden="1" x14ac:dyDescent="0.2">
      <c r="A1529" s="2" t="s">
        <v>36</v>
      </c>
      <c r="B1529" s="2">
        <v>12</v>
      </c>
      <c r="C1529" s="2">
        <v>7</v>
      </c>
      <c r="D1529" s="2">
        <v>2020</v>
      </c>
      <c r="E1529" s="2">
        <v>28.83</v>
      </c>
      <c r="F1529" s="2">
        <v>84.32</v>
      </c>
      <c r="H1529" s="1">
        <f>_xlfn.XLOOKUP('Customer Info'!A826,'Customer Info'!A826:A925,'Customer Info'!E826:E925,0,0)</f>
        <v>0</v>
      </c>
      <c r="J1529" s="1">
        <f>_xlfn.XLOOKUP('Customer Info'!A826,'Customer Info'!A826:A925,'Customer Info'!M826:M925)</f>
        <v>0</v>
      </c>
    </row>
    <row r="1530" spans="1:10" ht="14" x14ac:dyDescent="0.2">
      <c r="A1530" s="2" t="s">
        <v>89</v>
      </c>
      <c r="B1530" s="2">
        <v>2</v>
      </c>
      <c r="C1530" s="2">
        <v>11</v>
      </c>
      <c r="D1530" s="2">
        <v>2021</v>
      </c>
      <c r="E1530" s="2">
        <v>124.2</v>
      </c>
      <c r="F1530" s="2">
        <v>84.3</v>
      </c>
      <c r="H1530" s="1">
        <f>_xlfn.XLOOKUP('Customer Info'!A1428,'Customer Info'!A1428:A1527,'Customer Info'!E1428:E1527,0,0)</f>
        <v>0</v>
      </c>
      <c r="J1530" s="1">
        <f>_xlfn.XLOOKUP('Customer Info'!A1428,'Customer Info'!A1428:A1527,'Customer Info'!M1428:M1527)</f>
        <v>0</v>
      </c>
    </row>
    <row r="1531" spans="1:10" ht="14" hidden="1" x14ac:dyDescent="0.2">
      <c r="A1531" s="2" t="s">
        <v>40</v>
      </c>
      <c r="B1531" s="2">
        <v>15</v>
      </c>
      <c r="C1531" s="2">
        <v>11</v>
      </c>
      <c r="D1531" s="2">
        <v>2020</v>
      </c>
      <c r="E1531" s="2">
        <v>102</v>
      </c>
      <c r="F1531" s="2">
        <v>84.3</v>
      </c>
      <c r="H1531" s="1">
        <f>_xlfn.XLOOKUP('Customer Info'!A316,'Customer Info'!A316:A415,'Customer Info'!E316:E415,0,0)</f>
        <v>0</v>
      </c>
      <c r="J1531" s="1">
        <f>_xlfn.XLOOKUP('Customer Info'!A316,'Customer Info'!A316:A415,'Customer Info'!M316:M415)</f>
        <v>0</v>
      </c>
    </row>
    <row r="1532" spans="1:10" ht="14" x14ac:dyDescent="0.2">
      <c r="A1532" s="2" t="s">
        <v>84</v>
      </c>
      <c r="B1532" s="2">
        <v>20</v>
      </c>
      <c r="C1532" s="2">
        <v>4</v>
      </c>
      <c r="D1532" s="2">
        <v>2021</v>
      </c>
      <c r="E1532" s="2">
        <v>84.3</v>
      </c>
      <c r="F1532" s="2">
        <v>84.3</v>
      </c>
      <c r="H1532" s="1">
        <f>_xlfn.XLOOKUP('Customer Info'!A1641,'Customer Info'!A1641:A1740,'Customer Info'!E1641:E1740,0,0)</f>
        <v>0</v>
      </c>
      <c r="J1532" s="1">
        <f>_xlfn.XLOOKUP('Customer Info'!A1641,'Customer Info'!A1641:A1740,'Customer Info'!M1641:M1740)</f>
        <v>0</v>
      </c>
    </row>
    <row r="1533" spans="1:10" ht="14" hidden="1" x14ac:dyDescent="0.2">
      <c r="A1533" s="2" t="s">
        <v>57</v>
      </c>
      <c r="B1533" s="2">
        <v>17</v>
      </c>
      <c r="C1533" s="2">
        <v>4</v>
      </c>
      <c r="D1533" s="2">
        <v>2020</v>
      </c>
      <c r="E1533" s="2">
        <v>66.599999999999994</v>
      </c>
      <c r="F1533" s="2">
        <v>84.3</v>
      </c>
      <c r="H1533" s="1">
        <f>_xlfn.XLOOKUP('Customer Info'!A532,'Customer Info'!A532:A631,'Customer Info'!E532:E631,0,0)</f>
        <v>0</v>
      </c>
      <c r="J1533" s="1">
        <f>_xlfn.XLOOKUP('Customer Info'!A532,'Customer Info'!A532:A631,'Customer Info'!M532:M631)</f>
        <v>0</v>
      </c>
    </row>
    <row r="1534" spans="1:10" ht="14" x14ac:dyDescent="0.2">
      <c r="A1534" s="2" t="s">
        <v>65</v>
      </c>
      <c r="B1534" s="2">
        <v>11</v>
      </c>
      <c r="C1534" s="2">
        <v>6</v>
      </c>
      <c r="D1534" s="2">
        <v>2021</v>
      </c>
      <c r="E1534" s="2">
        <v>42.3</v>
      </c>
      <c r="F1534" s="2">
        <v>84.3</v>
      </c>
      <c r="H1534" s="1">
        <f>_xlfn.XLOOKUP('Customer Info'!A1927,'Customer Info'!A1927:A2026,'Customer Info'!E1927:E2026,0,0)</f>
        <v>0</v>
      </c>
      <c r="J1534" s="1">
        <f>_xlfn.XLOOKUP('Customer Info'!A1927,'Customer Info'!A1927:A2026,'Customer Info'!M1927:M2026)</f>
        <v>0</v>
      </c>
    </row>
    <row r="1535" spans="1:10" ht="14" x14ac:dyDescent="0.2">
      <c r="A1535" s="2" t="s">
        <v>74</v>
      </c>
      <c r="B1535" s="2">
        <v>5</v>
      </c>
      <c r="C1535" s="2">
        <v>9</v>
      </c>
      <c r="D1535" s="2">
        <v>2021</v>
      </c>
      <c r="E1535" s="2">
        <v>40.799999999999997</v>
      </c>
      <c r="F1535" s="2">
        <v>84.3</v>
      </c>
      <c r="H1535" s="1">
        <f>_xlfn.XLOOKUP('Customer Info'!A1936,'Customer Info'!A1936:A2035,'Customer Info'!E1936:E2035,0,0)</f>
        <v>0</v>
      </c>
      <c r="J1535" s="1">
        <f>_xlfn.XLOOKUP('Customer Info'!A1936,'Customer Info'!A1936:A2035,'Customer Info'!M1936:M2035)</f>
        <v>0</v>
      </c>
    </row>
    <row r="1536" spans="1:10" ht="14" x14ac:dyDescent="0.2">
      <c r="A1536" s="2" t="s">
        <v>61</v>
      </c>
      <c r="B1536" s="2">
        <v>23</v>
      </c>
      <c r="C1536" s="2">
        <v>2</v>
      </c>
      <c r="D1536" s="2">
        <v>2021</v>
      </c>
      <c r="E1536" s="2">
        <v>119.28</v>
      </c>
      <c r="F1536" s="2">
        <v>84.28</v>
      </c>
      <c r="H1536" s="1">
        <f>_xlfn.XLOOKUP('Customer Info'!A1444,'Customer Info'!A1444:A1543,'Customer Info'!E1444:E1543,0,0)</f>
        <v>0</v>
      </c>
      <c r="J1536" s="1">
        <f>_xlfn.XLOOKUP('Customer Info'!A1444,'Customer Info'!A1444:A1543,'Customer Info'!M1444:M1543)</f>
        <v>0</v>
      </c>
    </row>
    <row r="1537" spans="1:10" ht="14" hidden="1" x14ac:dyDescent="0.2">
      <c r="A1537" s="2" t="s">
        <v>92</v>
      </c>
      <c r="B1537" s="2">
        <v>7</v>
      </c>
      <c r="C1537" s="2">
        <v>12</v>
      </c>
      <c r="D1537" s="2">
        <v>2020</v>
      </c>
      <c r="E1537" s="2">
        <v>160.58000000000001</v>
      </c>
      <c r="F1537" s="2">
        <v>84.01</v>
      </c>
      <c r="H1537" s="1">
        <f>_xlfn.XLOOKUP('Customer Info'!A148,'Customer Info'!A148:A247,'Customer Info'!E148:E247,0,0)</f>
        <v>0</v>
      </c>
      <c r="J1537" s="1">
        <f>_xlfn.XLOOKUP('Customer Info'!A148,'Customer Info'!A148:A247,'Customer Info'!M148:M247)</f>
        <v>0</v>
      </c>
    </row>
    <row r="1538" spans="1:10" ht="14" hidden="1" x14ac:dyDescent="0.2">
      <c r="A1538" s="2" t="s">
        <v>36</v>
      </c>
      <c r="B1538" s="2">
        <v>12</v>
      </c>
      <c r="C1538" s="2">
        <v>1</v>
      </c>
      <c r="D1538" s="2">
        <v>2020</v>
      </c>
      <c r="E1538" s="2">
        <v>119.35</v>
      </c>
      <c r="F1538" s="2">
        <v>84.01</v>
      </c>
      <c r="H1538" s="1">
        <f>_xlfn.XLOOKUP('Customer Info'!A212,'Customer Info'!A212:A311,'Customer Info'!E212:E311,0,0)</f>
        <v>0</v>
      </c>
      <c r="J1538" s="1">
        <f>_xlfn.XLOOKUP('Customer Info'!A212,'Customer Info'!A212:A311,'Customer Info'!M212:M311)</f>
        <v>0</v>
      </c>
    </row>
    <row r="1539" spans="1:10" ht="14" hidden="1" x14ac:dyDescent="0.2">
      <c r="A1539" s="2" t="s">
        <v>78</v>
      </c>
      <c r="B1539" s="2">
        <v>18</v>
      </c>
      <c r="C1539" s="2">
        <v>10</v>
      </c>
      <c r="D1539" s="2">
        <v>2020</v>
      </c>
      <c r="E1539" s="2">
        <v>89.59</v>
      </c>
      <c r="F1539" s="2">
        <v>84.01</v>
      </c>
      <c r="H1539" s="1">
        <f>_xlfn.XLOOKUP('Customer Info'!A398,'Customer Info'!A398:A497,'Customer Info'!E398:E497,0,0)</f>
        <v>0</v>
      </c>
      <c r="J1539" s="1">
        <f>_xlfn.XLOOKUP('Customer Info'!A398,'Customer Info'!A398:A497,'Customer Info'!M398:M497)</f>
        <v>0</v>
      </c>
    </row>
    <row r="1540" spans="1:10" ht="14" x14ac:dyDescent="0.2">
      <c r="A1540" s="2" t="s">
        <v>41</v>
      </c>
      <c r="B1540" s="2">
        <v>15</v>
      </c>
      <c r="C1540" s="2">
        <v>5</v>
      </c>
      <c r="D1540" s="2">
        <v>2021</v>
      </c>
      <c r="E1540" s="2">
        <v>31.62</v>
      </c>
      <c r="F1540" s="2">
        <v>84.01</v>
      </c>
      <c r="H1540" s="1">
        <f>_xlfn.XLOOKUP('Customer Info'!A2013,'Customer Info'!A2013:A2112,'Customer Info'!E2013:E2112,0,0)</f>
        <v>0</v>
      </c>
      <c r="J1540" s="1">
        <f>_xlfn.XLOOKUP('Customer Info'!A2013,'Customer Info'!A2013:A2112,'Customer Info'!M2013:M2112)</f>
        <v>0</v>
      </c>
    </row>
    <row r="1541" spans="1:10" ht="14" hidden="1" x14ac:dyDescent="0.2">
      <c r="A1541" s="2" t="s">
        <v>74</v>
      </c>
      <c r="B1541" s="2">
        <v>5</v>
      </c>
      <c r="C1541" s="2">
        <v>11</v>
      </c>
      <c r="D1541" s="2">
        <v>2020</v>
      </c>
      <c r="E1541" s="2">
        <v>128.69999999999999</v>
      </c>
      <c r="F1541" s="2">
        <v>84</v>
      </c>
      <c r="H1541" s="1">
        <f>_xlfn.XLOOKUP('Customer Info'!A180,'Customer Info'!A180:A279,'Customer Info'!E180:E279,0,0)</f>
        <v>0</v>
      </c>
      <c r="J1541" s="1">
        <f>_xlfn.XLOOKUP('Customer Info'!A180,'Customer Info'!A180:A279,'Customer Info'!M180:M279)</f>
        <v>0</v>
      </c>
    </row>
    <row r="1542" spans="1:10" ht="14" x14ac:dyDescent="0.2">
      <c r="A1542" s="2" t="s">
        <v>78</v>
      </c>
      <c r="B1542" s="2">
        <v>18</v>
      </c>
      <c r="C1542" s="2">
        <v>2</v>
      </c>
      <c r="D1542" s="2">
        <v>2021</v>
      </c>
      <c r="E1542" s="2">
        <v>116.48</v>
      </c>
      <c r="F1542" s="2">
        <v>84</v>
      </c>
      <c r="H1542" s="1">
        <f>_xlfn.XLOOKUP('Customer Info'!A1459,'Customer Info'!A1459:A1558,'Customer Info'!E1459:E1558,0,0)</f>
        <v>0</v>
      </c>
      <c r="J1542" s="1">
        <f>_xlfn.XLOOKUP('Customer Info'!A1459,'Customer Info'!A1459:A1558,'Customer Info'!M1459:M1558)</f>
        <v>0</v>
      </c>
    </row>
    <row r="1543" spans="1:10" ht="14" x14ac:dyDescent="0.2">
      <c r="A1543" s="2" t="s">
        <v>43</v>
      </c>
      <c r="B1543" s="2">
        <v>15</v>
      </c>
      <c r="C1543" s="2">
        <v>2</v>
      </c>
      <c r="D1543" s="2">
        <v>2021</v>
      </c>
      <c r="E1543" s="2">
        <v>105</v>
      </c>
      <c r="F1543" s="2">
        <v>84</v>
      </c>
      <c r="H1543" s="1">
        <f>_xlfn.XLOOKUP('Customer Info'!A1528,'Customer Info'!A1528:A1627,'Customer Info'!E1528:E1627,0,0)</f>
        <v>0</v>
      </c>
      <c r="J1543" s="1">
        <f>_xlfn.XLOOKUP('Customer Info'!A1528,'Customer Info'!A1528:A1627,'Customer Info'!M1528:M1627)</f>
        <v>0</v>
      </c>
    </row>
    <row r="1544" spans="1:10" ht="14" x14ac:dyDescent="0.2">
      <c r="A1544" s="2" t="s">
        <v>39</v>
      </c>
      <c r="B1544" s="2">
        <v>22</v>
      </c>
      <c r="C1544" s="2">
        <v>2</v>
      </c>
      <c r="D1544" s="2">
        <v>2021</v>
      </c>
      <c r="E1544" s="2">
        <v>98.56</v>
      </c>
      <c r="F1544" s="2">
        <v>84</v>
      </c>
      <c r="H1544" s="1">
        <f>_xlfn.XLOOKUP('Customer Info'!A1563,'Customer Info'!A1563:A1662,'Customer Info'!E1563:E1662,0,0)</f>
        <v>0</v>
      </c>
      <c r="J1544" s="1">
        <f>_xlfn.XLOOKUP('Customer Info'!A1563,'Customer Info'!A1563:A1662,'Customer Info'!M1563:M1662)</f>
        <v>0</v>
      </c>
    </row>
    <row r="1545" spans="1:10" ht="14" x14ac:dyDescent="0.2">
      <c r="A1545" s="2" t="s">
        <v>93</v>
      </c>
      <c r="B1545" s="2">
        <v>3</v>
      </c>
      <c r="C1545" s="2">
        <v>9</v>
      </c>
      <c r="D1545" s="2">
        <v>2021</v>
      </c>
      <c r="E1545" s="2">
        <v>80.7</v>
      </c>
      <c r="F1545" s="2">
        <v>84</v>
      </c>
      <c r="H1545" s="1">
        <f>_xlfn.XLOOKUP('Customer Info'!A1661,'Customer Info'!A1661:A1760,'Customer Info'!E1661:E1760,0,0)</f>
        <v>0</v>
      </c>
      <c r="J1545" s="1">
        <f>_xlfn.XLOOKUP('Customer Info'!A1661,'Customer Info'!A1661:A1760,'Customer Info'!M1661:M1760)</f>
        <v>0</v>
      </c>
    </row>
    <row r="1546" spans="1:10" ht="14" hidden="1" x14ac:dyDescent="0.2">
      <c r="A1546" s="2" t="s">
        <v>82</v>
      </c>
      <c r="B1546" s="2">
        <v>8</v>
      </c>
      <c r="C1546" s="2">
        <v>4</v>
      </c>
      <c r="D1546" s="2">
        <v>2020</v>
      </c>
      <c r="E1546" s="2">
        <v>76.5</v>
      </c>
      <c r="F1546" s="2">
        <v>84</v>
      </c>
      <c r="H1546" s="1">
        <f>_xlfn.XLOOKUP('Customer Info'!A459,'Customer Info'!A459:A558,'Customer Info'!E459:E558,0,0)</f>
        <v>0</v>
      </c>
      <c r="J1546" s="1">
        <f>_xlfn.XLOOKUP('Customer Info'!A459,'Customer Info'!A459:A558,'Customer Info'!M459:M558)</f>
        <v>0</v>
      </c>
    </row>
    <row r="1547" spans="1:10" ht="14" x14ac:dyDescent="0.2">
      <c r="A1547" s="2" t="s">
        <v>59</v>
      </c>
      <c r="B1547" s="2">
        <v>11</v>
      </c>
      <c r="C1547" s="2">
        <v>6</v>
      </c>
      <c r="D1547" s="2">
        <v>2021</v>
      </c>
      <c r="E1547" s="2">
        <v>39.299999999999997</v>
      </c>
      <c r="F1547" s="2">
        <v>84</v>
      </c>
      <c r="H1547" s="1">
        <f>_xlfn.XLOOKUP('Customer Info'!A1948,'Customer Info'!A1948:A2047,'Customer Info'!E1948:E2047,0,0)</f>
        <v>0</v>
      </c>
      <c r="J1547" s="1">
        <f>_xlfn.XLOOKUP('Customer Info'!A1948,'Customer Info'!A1948:A2047,'Customer Info'!M1948:M2047)</f>
        <v>0</v>
      </c>
    </row>
    <row r="1548" spans="1:10" ht="14" hidden="1" x14ac:dyDescent="0.2">
      <c r="A1548" s="2" t="s">
        <v>62</v>
      </c>
      <c r="B1548" s="2">
        <v>1</v>
      </c>
      <c r="C1548" s="2">
        <v>11</v>
      </c>
      <c r="D1548" s="2">
        <v>2020</v>
      </c>
      <c r="E1548" s="2">
        <v>128.69999999999999</v>
      </c>
      <c r="F1548" s="2">
        <v>83.7</v>
      </c>
      <c r="H1548" s="1">
        <f>_xlfn.XLOOKUP('Customer Info'!A181,'Customer Info'!A181:A280,'Customer Info'!E181:E280,0,0)</f>
        <v>0</v>
      </c>
      <c r="J1548" s="1">
        <f>_xlfn.XLOOKUP('Customer Info'!A181,'Customer Info'!A181:A280,'Customer Info'!M181:M280)</f>
        <v>0</v>
      </c>
    </row>
    <row r="1549" spans="1:10" ht="14" hidden="1" x14ac:dyDescent="0.2">
      <c r="A1549" s="2" t="s">
        <v>64</v>
      </c>
      <c r="B1549" s="2">
        <v>21</v>
      </c>
      <c r="C1549" s="2">
        <v>1</v>
      </c>
      <c r="D1549" s="2">
        <v>2020</v>
      </c>
      <c r="E1549" s="2">
        <v>103.54</v>
      </c>
      <c r="F1549" s="2">
        <v>83.7</v>
      </c>
      <c r="H1549" s="1">
        <f>_xlfn.XLOOKUP('Customer Info'!A307,'Customer Info'!A307:A406,'Customer Info'!E307:E406,0,0)</f>
        <v>0</v>
      </c>
      <c r="J1549" s="1">
        <f>_xlfn.XLOOKUP('Customer Info'!A307,'Customer Info'!A307:A406,'Customer Info'!M307:M406)</f>
        <v>0</v>
      </c>
    </row>
    <row r="1550" spans="1:10" ht="14" hidden="1" x14ac:dyDescent="0.2">
      <c r="A1550" s="2" t="s">
        <v>68</v>
      </c>
      <c r="B1550" s="2">
        <v>11</v>
      </c>
      <c r="C1550" s="2">
        <v>11</v>
      </c>
      <c r="D1550" s="2">
        <v>2020</v>
      </c>
      <c r="E1550" s="2">
        <v>90.9</v>
      </c>
      <c r="F1550" s="2">
        <v>83.7</v>
      </c>
      <c r="H1550" s="1">
        <f>_xlfn.XLOOKUP('Customer Info'!A387,'Customer Info'!A387:A486,'Customer Info'!E387:E486,0,0)</f>
        <v>0</v>
      </c>
      <c r="J1550" s="1">
        <f>_xlfn.XLOOKUP('Customer Info'!A387,'Customer Info'!A387:A486,'Customer Info'!M387:M486)</f>
        <v>0</v>
      </c>
    </row>
    <row r="1551" spans="1:10" ht="14" x14ac:dyDescent="0.2">
      <c r="A1551" s="2" t="s">
        <v>67</v>
      </c>
      <c r="B1551" s="2">
        <v>13</v>
      </c>
      <c r="C1551" s="2">
        <v>4</v>
      </c>
      <c r="D1551" s="2">
        <v>2021</v>
      </c>
      <c r="E1551" s="2">
        <v>78.900000000000006</v>
      </c>
      <c r="F1551" s="2">
        <v>83.7</v>
      </c>
      <c r="H1551" s="1">
        <f>_xlfn.XLOOKUP('Customer Info'!A1673,'Customer Info'!A1673:A1772,'Customer Info'!E1673:E1772,0,0)</f>
        <v>0</v>
      </c>
      <c r="J1551" s="1">
        <f>_xlfn.XLOOKUP('Customer Info'!A1673,'Customer Info'!A1673:A1772,'Customer Info'!M1673:M1772)</f>
        <v>0</v>
      </c>
    </row>
    <row r="1552" spans="1:10" ht="14" hidden="1" x14ac:dyDescent="0.2">
      <c r="A1552" s="2" t="s">
        <v>58</v>
      </c>
      <c r="B1552" s="2">
        <v>16</v>
      </c>
      <c r="C1552" s="2">
        <v>4</v>
      </c>
      <c r="D1552" s="2">
        <v>2020</v>
      </c>
      <c r="E1552" s="2">
        <v>76.2</v>
      </c>
      <c r="F1552" s="2">
        <v>83.7</v>
      </c>
      <c r="H1552" s="1">
        <f>_xlfn.XLOOKUP('Customer Info'!A461,'Customer Info'!A461:A560,'Customer Info'!E461:E560,0,0)</f>
        <v>0</v>
      </c>
      <c r="J1552" s="1">
        <f>_xlfn.XLOOKUP('Customer Info'!A461,'Customer Info'!A461:A560,'Customer Info'!M461:M560)</f>
        <v>0</v>
      </c>
    </row>
    <row r="1553" spans="1:10" ht="14" hidden="1" x14ac:dyDescent="0.2">
      <c r="A1553" s="2" t="s">
        <v>56</v>
      </c>
      <c r="B1553" s="2">
        <v>14</v>
      </c>
      <c r="C1553" s="2">
        <v>10</v>
      </c>
      <c r="D1553" s="2">
        <v>2020</v>
      </c>
      <c r="E1553" s="2">
        <v>71.92</v>
      </c>
      <c r="F1553" s="2">
        <v>83.7</v>
      </c>
      <c r="H1553" s="1">
        <f>_xlfn.XLOOKUP('Customer Info'!A485,'Customer Info'!A485:A584,'Customer Info'!E485:E584,0,0)</f>
        <v>0</v>
      </c>
      <c r="J1553" s="1">
        <f>_xlfn.XLOOKUP('Customer Info'!A485,'Customer Info'!A485:A584,'Customer Info'!M485:M584)</f>
        <v>0</v>
      </c>
    </row>
    <row r="1554" spans="1:10" ht="14" x14ac:dyDescent="0.2">
      <c r="A1554" s="2" t="s">
        <v>89</v>
      </c>
      <c r="B1554" s="2">
        <v>2</v>
      </c>
      <c r="C1554" s="2">
        <v>7</v>
      </c>
      <c r="D1554" s="2">
        <v>2021</v>
      </c>
      <c r="E1554" s="2">
        <v>63.24</v>
      </c>
      <c r="F1554" s="2">
        <v>83.7</v>
      </c>
      <c r="H1554" s="1">
        <f>_xlfn.XLOOKUP('Customer Info'!A1785,'Customer Info'!A1785:A1884,'Customer Info'!E1785:E1884,0,0)</f>
        <v>0</v>
      </c>
      <c r="J1554" s="1">
        <f>_xlfn.XLOOKUP('Customer Info'!A1785,'Customer Info'!A1785:A1884,'Customer Info'!M1785:M1884)</f>
        <v>0</v>
      </c>
    </row>
    <row r="1555" spans="1:10" ht="14" x14ac:dyDescent="0.2">
      <c r="A1555" s="2" t="s">
        <v>81</v>
      </c>
      <c r="B1555" s="2">
        <v>19</v>
      </c>
      <c r="C1555" s="2">
        <v>8</v>
      </c>
      <c r="D1555" s="2">
        <v>2021</v>
      </c>
      <c r="E1555" s="2">
        <v>60.76</v>
      </c>
      <c r="F1555" s="2">
        <v>83.7</v>
      </c>
      <c r="H1555" s="1">
        <f>_xlfn.XLOOKUP('Customer Info'!A1798,'Customer Info'!A1798:A1897,'Customer Info'!E1798:E1897,0,0)</f>
        <v>0</v>
      </c>
      <c r="J1555" s="1">
        <f>_xlfn.XLOOKUP('Customer Info'!A1798,'Customer Info'!A1798:A1897,'Customer Info'!M1798:M1897)</f>
        <v>0</v>
      </c>
    </row>
    <row r="1556" spans="1:10" ht="14" x14ac:dyDescent="0.2">
      <c r="A1556" s="2" t="s">
        <v>51</v>
      </c>
      <c r="B1556" s="2">
        <v>16</v>
      </c>
      <c r="C1556" s="2">
        <v>9</v>
      </c>
      <c r="D1556" s="2">
        <v>2021</v>
      </c>
      <c r="E1556" s="2">
        <v>39.9</v>
      </c>
      <c r="F1556" s="2">
        <v>83.7</v>
      </c>
      <c r="H1556" s="1">
        <f>_xlfn.XLOOKUP('Customer Info'!A1942,'Customer Info'!A1942:A2041,'Customer Info'!E1942:E2041,0,0)</f>
        <v>0</v>
      </c>
      <c r="J1556" s="1">
        <f>_xlfn.XLOOKUP('Customer Info'!A1942,'Customer Info'!A1942:A2041,'Customer Info'!M1942:M2041)</f>
        <v>0</v>
      </c>
    </row>
    <row r="1557" spans="1:10" ht="14" hidden="1" x14ac:dyDescent="0.2">
      <c r="A1557" s="2" t="s">
        <v>54</v>
      </c>
      <c r="B1557" s="2">
        <v>5</v>
      </c>
      <c r="C1557" s="2">
        <v>9</v>
      </c>
      <c r="D1557" s="2">
        <v>2020</v>
      </c>
      <c r="E1557" s="2">
        <v>39</v>
      </c>
      <c r="F1557" s="2">
        <v>83.7</v>
      </c>
      <c r="H1557" s="1">
        <f>_xlfn.XLOOKUP('Customer Info'!A740,'Customer Info'!A740:A839,'Customer Info'!E740:E839,0,0)</f>
        <v>0</v>
      </c>
      <c r="J1557" s="1">
        <f>_xlfn.XLOOKUP('Customer Info'!A740,'Customer Info'!A740:A839,'Customer Info'!M740:M839)</f>
        <v>0</v>
      </c>
    </row>
    <row r="1558" spans="1:10" ht="14" x14ac:dyDescent="0.2">
      <c r="A1558" s="2" t="s">
        <v>67</v>
      </c>
      <c r="B1558" s="2">
        <v>13</v>
      </c>
      <c r="C1558" s="2">
        <v>8</v>
      </c>
      <c r="D1558" s="2">
        <v>2021</v>
      </c>
      <c r="E1558" s="2">
        <v>37.200000000000003</v>
      </c>
      <c r="F1558" s="2">
        <v>83.7</v>
      </c>
      <c r="H1558" s="1">
        <f>_xlfn.XLOOKUP('Customer Info'!A1970,'Customer Info'!A1970:A2069,'Customer Info'!E1970:E2069,0,0)</f>
        <v>0</v>
      </c>
      <c r="J1558" s="1">
        <f>_xlfn.XLOOKUP('Customer Info'!A1970,'Customer Info'!A1970:A2069,'Customer Info'!M1970:M2069)</f>
        <v>0</v>
      </c>
    </row>
    <row r="1559" spans="1:10" ht="14" x14ac:dyDescent="0.2">
      <c r="A1559" s="2" t="s">
        <v>39</v>
      </c>
      <c r="B1559" s="2">
        <v>22</v>
      </c>
      <c r="C1559" s="2">
        <v>7</v>
      </c>
      <c r="D1559" s="2">
        <v>2021</v>
      </c>
      <c r="E1559" s="2">
        <v>31.62</v>
      </c>
      <c r="F1559" s="2">
        <v>83.7</v>
      </c>
      <c r="H1559" s="1">
        <f>_xlfn.XLOOKUP('Customer Info'!A2014,'Customer Info'!A2014:A2113,'Customer Info'!E2014:E2113,0,0)</f>
        <v>0</v>
      </c>
      <c r="J1559" s="1">
        <f>_xlfn.XLOOKUP('Customer Info'!A2014,'Customer Info'!A2014:A2113,'Customer Info'!M2014:M2113)</f>
        <v>0</v>
      </c>
    </row>
    <row r="1560" spans="1:10" ht="14" x14ac:dyDescent="0.2">
      <c r="A1560" s="2" t="s">
        <v>39</v>
      </c>
      <c r="B1560" s="2">
        <v>22</v>
      </c>
      <c r="C1560" s="2">
        <v>6</v>
      </c>
      <c r="D1560" s="2">
        <v>2021</v>
      </c>
      <c r="E1560" s="2">
        <v>30.6</v>
      </c>
      <c r="F1560" s="2">
        <v>83.7</v>
      </c>
      <c r="H1560" s="1">
        <f>_xlfn.XLOOKUP('Customer Info'!A2018,'Customer Info'!A2018:A2117,'Customer Info'!E2018:E2117,0,0)</f>
        <v>0</v>
      </c>
      <c r="J1560" s="1">
        <f>_xlfn.XLOOKUP('Customer Info'!A2018,'Customer Info'!A2018:A2117,'Customer Info'!M2018:M2117)</f>
        <v>0</v>
      </c>
    </row>
    <row r="1561" spans="1:10" ht="14" x14ac:dyDescent="0.2">
      <c r="A1561" s="2" t="s">
        <v>95</v>
      </c>
      <c r="B1561" s="2">
        <v>24</v>
      </c>
      <c r="C1561" s="2">
        <v>9</v>
      </c>
      <c r="D1561" s="2">
        <v>2021</v>
      </c>
      <c r="E1561" s="1" t="s">
        <v>94</v>
      </c>
      <c r="F1561" s="2">
        <v>83.4</v>
      </c>
      <c r="H1561" s="1">
        <f>_xlfn.XLOOKUP('Customer Info'!A1304,'Customer Info'!A1304:A1403,'Customer Info'!E1304:E1403,0,0)</f>
        <v>0</v>
      </c>
      <c r="J1561" s="1">
        <f>_xlfn.XLOOKUP('Customer Info'!A1304,'Customer Info'!A1304:A1403,'Customer Info'!M1304:M1403)</f>
        <v>0</v>
      </c>
    </row>
    <row r="1562" spans="1:10" ht="14" x14ac:dyDescent="0.2">
      <c r="A1562" s="2" t="s">
        <v>85</v>
      </c>
      <c r="B1562" s="2">
        <v>3</v>
      </c>
      <c r="C1562" s="2">
        <v>11</v>
      </c>
      <c r="D1562" s="2">
        <v>2021</v>
      </c>
      <c r="E1562" s="2">
        <v>132.6</v>
      </c>
      <c r="F1562" s="2">
        <v>83.4</v>
      </c>
      <c r="H1562" s="1">
        <f>_xlfn.XLOOKUP('Customer Info'!A1393,'Customer Info'!A1393:A1492,'Customer Info'!E1393:E1492,0,0)</f>
        <v>0</v>
      </c>
      <c r="J1562" s="1">
        <f>_xlfn.XLOOKUP('Customer Info'!A1393,'Customer Info'!A1393:A1492,'Customer Info'!M1393:M1492)</f>
        <v>0</v>
      </c>
    </row>
    <row r="1563" spans="1:10" ht="14" hidden="1" x14ac:dyDescent="0.2">
      <c r="A1563" s="2" t="s">
        <v>57</v>
      </c>
      <c r="B1563" s="2">
        <v>17</v>
      </c>
      <c r="C1563" s="2">
        <v>11</v>
      </c>
      <c r="D1563" s="2">
        <v>2020</v>
      </c>
      <c r="E1563" s="2">
        <v>115.2</v>
      </c>
      <c r="F1563" s="2">
        <v>83.4</v>
      </c>
      <c r="H1563" s="1">
        <f>_xlfn.XLOOKUP('Customer Info'!A228,'Customer Info'!A228:A327,'Customer Info'!E228:E327,0,0)</f>
        <v>0</v>
      </c>
      <c r="J1563" s="1">
        <f>_xlfn.XLOOKUP('Customer Info'!A228,'Customer Info'!A228:A327,'Customer Info'!M228:M327)</f>
        <v>0</v>
      </c>
    </row>
    <row r="1564" spans="1:10" ht="14" x14ac:dyDescent="0.2">
      <c r="A1564" s="2" t="s">
        <v>90</v>
      </c>
      <c r="B1564" s="2">
        <v>18</v>
      </c>
      <c r="C1564" s="2">
        <v>6</v>
      </c>
      <c r="D1564" s="2">
        <v>2021</v>
      </c>
      <c r="E1564" s="2">
        <v>66.599999999999994</v>
      </c>
      <c r="F1564" s="2">
        <v>83.4</v>
      </c>
      <c r="H1564" s="1">
        <f>_xlfn.XLOOKUP('Customer Info'!A1755,'Customer Info'!A1755:A1854,'Customer Info'!E1755:E1854,0,0)</f>
        <v>0</v>
      </c>
      <c r="J1564" s="1">
        <f>_xlfn.XLOOKUP('Customer Info'!A1755,'Customer Info'!A1755:A1854,'Customer Info'!M1755:M1854)</f>
        <v>0</v>
      </c>
    </row>
    <row r="1565" spans="1:10" ht="14" hidden="1" x14ac:dyDescent="0.2">
      <c r="A1565" s="2" t="s">
        <v>73</v>
      </c>
      <c r="B1565" s="2">
        <v>5</v>
      </c>
      <c r="C1565" s="2">
        <v>9</v>
      </c>
      <c r="D1565" s="2">
        <v>2020</v>
      </c>
      <c r="E1565" s="2">
        <v>45.9</v>
      </c>
      <c r="F1565" s="2">
        <v>83.4</v>
      </c>
      <c r="H1565" s="1">
        <f>_xlfn.XLOOKUP('Customer Info'!A677,'Customer Info'!A677:A776,'Customer Info'!E677:E776,0,0)</f>
        <v>0</v>
      </c>
      <c r="J1565" s="1">
        <f>_xlfn.XLOOKUP('Customer Info'!A677,'Customer Info'!A677:A776,'Customer Info'!M677:M776)</f>
        <v>0</v>
      </c>
    </row>
    <row r="1566" spans="1:10" ht="14" x14ac:dyDescent="0.2">
      <c r="A1566" s="2" t="s">
        <v>69</v>
      </c>
      <c r="B1566" s="2">
        <v>12</v>
      </c>
      <c r="C1566" s="2">
        <v>9</v>
      </c>
      <c r="D1566" s="2">
        <v>2021</v>
      </c>
      <c r="E1566" s="2">
        <v>44.4</v>
      </c>
      <c r="F1566" s="2">
        <v>83.4</v>
      </c>
      <c r="H1566" s="1">
        <f>_xlfn.XLOOKUP('Customer Info'!A1910,'Customer Info'!A1910:A2009,'Customer Info'!E1910:E2009,0,0)</f>
        <v>0</v>
      </c>
      <c r="J1566" s="1">
        <f>_xlfn.XLOOKUP('Customer Info'!A1910,'Customer Info'!A1910:A2009,'Customer Info'!M1910:M2009)</f>
        <v>0</v>
      </c>
    </row>
    <row r="1567" spans="1:10" ht="14" hidden="1" x14ac:dyDescent="0.2">
      <c r="A1567" s="2" t="s">
        <v>59</v>
      </c>
      <c r="B1567" s="2">
        <v>11</v>
      </c>
      <c r="C1567" s="2">
        <v>6</v>
      </c>
      <c r="D1567" s="2">
        <v>2020</v>
      </c>
      <c r="E1567" s="2">
        <v>39.6</v>
      </c>
      <c r="F1567" s="2">
        <v>83.4</v>
      </c>
      <c r="H1567" s="1">
        <f>_xlfn.XLOOKUP('Customer Info'!A735,'Customer Info'!A735:A834,'Customer Info'!E735:E834,0,0)</f>
        <v>0</v>
      </c>
      <c r="J1567" s="1">
        <f>_xlfn.XLOOKUP('Customer Info'!A735,'Customer Info'!A735:A834,'Customer Info'!M735:M834)</f>
        <v>0</v>
      </c>
    </row>
    <row r="1568" spans="1:10" ht="14" x14ac:dyDescent="0.2">
      <c r="A1568" s="2" t="s">
        <v>74</v>
      </c>
      <c r="B1568" s="2">
        <v>5</v>
      </c>
      <c r="C1568" s="2">
        <v>12</v>
      </c>
      <c r="D1568" s="2">
        <v>2021</v>
      </c>
      <c r="E1568" s="2">
        <v>128.03</v>
      </c>
      <c r="F1568" s="2">
        <v>83.39</v>
      </c>
      <c r="H1568" s="1">
        <f>_xlfn.XLOOKUP('Customer Info'!A1409,'Customer Info'!A1409:A1508,'Customer Info'!E1409:E1508,0,0)</f>
        <v>0</v>
      </c>
      <c r="J1568" s="1">
        <f>_xlfn.XLOOKUP('Customer Info'!A1409,'Customer Info'!A1409:A1508,'Customer Info'!M1409:M1508)</f>
        <v>0</v>
      </c>
    </row>
    <row r="1569" spans="1:10" ht="14" hidden="1" x14ac:dyDescent="0.2">
      <c r="A1569" s="2" t="s">
        <v>67</v>
      </c>
      <c r="B1569" s="2">
        <v>13</v>
      </c>
      <c r="C1569" s="2">
        <v>12</v>
      </c>
      <c r="D1569" s="2">
        <v>2020</v>
      </c>
      <c r="E1569" s="2">
        <v>105.4</v>
      </c>
      <c r="F1569" s="2">
        <v>83.39</v>
      </c>
      <c r="H1569" s="1">
        <f>_xlfn.XLOOKUP('Customer Info'!A291,'Customer Info'!A291:A390,'Customer Info'!E291:E390,0,0)</f>
        <v>0</v>
      </c>
      <c r="J1569" s="1">
        <f>_xlfn.XLOOKUP('Customer Info'!A291,'Customer Info'!A291:A390,'Customer Info'!M291:M390)</f>
        <v>0</v>
      </c>
    </row>
    <row r="1570" spans="1:10" ht="14" hidden="1" x14ac:dyDescent="0.2">
      <c r="A1570" s="2" t="s">
        <v>80</v>
      </c>
      <c r="B1570" s="2">
        <v>12</v>
      </c>
      <c r="C1570" s="2">
        <v>3</v>
      </c>
      <c r="D1570" s="2">
        <v>2020</v>
      </c>
      <c r="E1570" s="2">
        <v>84.63</v>
      </c>
      <c r="F1570" s="2">
        <v>83.39</v>
      </c>
      <c r="H1570" s="1">
        <f>_xlfn.XLOOKUP('Customer Info'!A420,'Customer Info'!A420:A519,'Customer Info'!E420:E519,0,0)</f>
        <v>0</v>
      </c>
      <c r="J1570" s="1">
        <f>_xlfn.XLOOKUP('Customer Info'!A420,'Customer Info'!A420:A519,'Customer Info'!M420:M519)</f>
        <v>0</v>
      </c>
    </row>
    <row r="1571" spans="1:10" ht="14" x14ac:dyDescent="0.2">
      <c r="A1571" s="2" t="s">
        <v>75</v>
      </c>
      <c r="B1571" s="2">
        <v>2</v>
      </c>
      <c r="C1571" s="2">
        <v>10</v>
      </c>
      <c r="D1571" s="2">
        <v>2021</v>
      </c>
      <c r="E1571" s="2">
        <v>76.569999999999993</v>
      </c>
      <c r="F1571" s="2">
        <v>83.39</v>
      </c>
      <c r="H1571" s="1">
        <f>_xlfn.XLOOKUP('Customer Info'!A1691,'Customer Info'!A1691:A1790,'Customer Info'!E1691:E1790,0,0)</f>
        <v>0</v>
      </c>
      <c r="J1571" s="1">
        <f>_xlfn.XLOOKUP('Customer Info'!A1691,'Customer Info'!A1691:A1790,'Customer Info'!M1691:M1790)</f>
        <v>0</v>
      </c>
    </row>
    <row r="1572" spans="1:10" ht="14" hidden="1" x14ac:dyDescent="0.2">
      <c r="A1572" s="2" t="s">
        <v>44</v>
      </c>
      <c r="B1572" s="2">
        <v>1</v>
      </c>
      <c r="C1572" s="2">
        <v>10</v>
      </c>
      <c r="D1572" s="2">
        <v>2020</v>
      </c>
      <c r="E1572" s="2">
        <v>70.989999999999995</v>
      </c>
      <c r="F1572" s="2">
        <v>83.39</v>
      </c>
      <c r="H1572" s="1">
        <f>_xlfn.XLOOKUP('Customer Info'!A497,'Customer Info'!A497:A596,'Customer Info'!E497:E596,0,0)</f>
        <v>0</v>
      </c>
      <c r="J1572" s="1">
        <f>_xlfn.XLOOKUP('Customer Info'!A497,'Customer Info'!A497:A596,'Customer Info'!M497:M596)</f>
        <v>0</v>
      </c>
    </row>
    <row r="1573" spans="1:10" ht="14" hidden="1" x14ac:dyDescent="0.2">
      <c r="A1573" s="2" t="s">
        <v>43</v>
      </c>
      <c r="B1573" s="2">
        <v>15</v>
      </c>
      <c r="C1573" s="2">
        <v>10</v>
      </c>
      <c r="D1573" s="2">
        <v>2020</v>
      </c>
      <c r="E1573" s="2">
        <v>59.21</v>
      </c>
      <c r="F1573" s="2">
        <v>83.39</v>
      </c>
      <c r="H1573" s="1">
        <f>_xlfn.XLOOKUP('Customer Info'!A591,'Customer Info'!A591:A690,'Customer Info'!E591:E690,0,0)</f>
        <v>0</v>
      </c>
      <c r="J1573" s="1">
        <f>_xlfn.XLOOKUP('Customer Info'!A591,'Customer Info'!A591:A690,'Customer Info'!M591:M690)</f>
        <v>0</v>
      </c>
    </row>
    <row r="1574" spans="1:10" ht="14" hidden="1" x14ac:dyDescent="0.2">
      <c r="A1574" s="2" t="s">
        <v>78</v>
      </c>
      <c r="B1574" s="2">
        <v>18</v>
      </c>
      <c r="C1574" s="2">
        <v>8</v>
      </c>
      <c r="D1574" s="2">
        <v>2020</v>
      </c>
      <c r="E1574" s="2">
        <v>47.74</v>
      </c>
      <c r="F1574" s="2">
        <v>83.39</v>
      </c>
      <c r="H1574" s="1">
        <f>_xlfn.XLOOKUP('Customer Info'!A662,'Customer Info'!A662:A761,'Customer Info'!E662:E761,0,0)</f>
        <v>0</v>
      </c>
      <c r="J1574" s="1">
        <f>_xlfn.XLOOKUP('Customer Info'!A662,'Customer Info'!A662:A761,'Customer Info'!M662:M761)</f>
        <v>0</v>
      </c>
    </row>
    <row r="1575" spans="1:10" ht="14" hidden="1" x14ac:dyDescent="0.2">
      <c r="A1575" s="2" t="s">
        <v>75</v>
      </c>
      <c r="B1575" s="2">
        <v>2</v>
      </c>
      <c r="C1575" s="2">
        <v>8</v>
      </c>
      <c r="D1575" s="2">
        <v>2020</v>
      </c>
      <c r="E1575" s="2">
        <v>44.02</v>
      </c>
      <c r="F1575" s="2">
        <v>83.39</v>
      </c>
      <c r="H1575" s="1">
        <f>_xlfn.XLOOKUP('Customer Info'!A698,'Customer Info'!A698:A797,'Customer Info'!E698:E797,0,0)</f>
        <v>0</v>
      </c>
      <c r="J1575" s="1">
        <f>_xlfn.XLOOKUP('Customer Info'!A698,'Customer Info'!A698:A797,'Customer Info'!M698:M797)</f>
        <v>0</v>
      </c>
    </row>
    <row r="1576" spans="1:10" ht="14" hidden="1" x14ac:dyDescent="0.2">
      <c r="A1576" s="2" t="s">
        <v>90</v>
      </c>
      <c r="B1576" s="2">
        <v>18</v>
      </c>
      <c r="C1576" s="2">
        <v>11</v>
      </c>
      <c r="D1576" s="2">
        <v>2020</v>
      </c>
      <c r="E1576" s="2">
        <v>114</v>
      </c>
      <c r="F1576" s="2">
        <v>83.1</v>
      </c>
      <c r="H1576" s="1">
        <f>_xlfn.XLOOKUP('Customer Info'!A243,'Customer Info'!A243:A342,'Customer Info'!E243:E342,0,0)</f>
        <v>0</v>
      </c>
      <c r="J1576" s="1">
        <f>_xlfn.XLOOKUP('Customer Info'!A243,'Customer Info'!A243:A342,'Customer Info'!M243:M342)</f>
        <v>0</v>
      </c>
    </row>
    <row r="1577" spans="1:10" ht="14" hidden="1" x14ac:dyDescent="0.2">
      <c r="A1577" s="2" t="s">
        <v>70</v>
      </c>
      <c r="B1577" s="2">
        <v>16</v>
      </c>
      <c r="C1577" s="2">
        <v>11</v>
      </c>
      <c r="D1577" s="2">
        <v>2020</v>
      </c>
      <c r="E1577" s="2">
        <v>98.4</v>
      </c>
      <c r="F1577" s="2">
        <v>83.1</v>
      </c>
      <c r="H1577" s="1">
        <f>_xlfn.XLOOKUP('Customer Info'!A342,'Customer Info'!A342:A441,'Customer Info'!E342:E441,0,0)</f>
        <v>0</v>
      </c>
      <c r="J1577" s="1">
        <f>_xlfn.XLOOKUP('Customer Info'!A342,'Customer Info'!A342:A441,'Customer Info'!M342:M441)</f>
        <v>0</v>
      </c>
    </row>
    <row r="1578" spans="1:10" ht="14" hidden="1" x14ac:dyDescent="0.2">
      <c r="A1578" s="2" t="s">
        <v>96</v>
      </c>
      <c r="B1578" s="2">
        <v>3</v>
      </c>
      <c r="C1578" s="2">
        <v>7</v>
      </c>
      <c r="D1578" s="2">
        <v>2020</v>
      </c>
      <c r="E1578" s="1" t="s">
        <v>94</v>
      </c>
      <c r="F1578" s="2">
        <v>83.08</v>
      </c>
      <c r="H1578" s="1">
        <f>_xlfn.XLOOKUP('Customer Info'!A117,'Customer Info'!A117:A216,'Customer Info'!E117:E216,0,0)</f>
        <v>0</v>
      </c>
      <c r="J1578" s="1">
        <f>_xlfn.XLOOKUP('Customer Info'!A117,'Customer Info'!A117:A216,'Customer Info'!M117:M216)</f>
        <v>0</v>
      </c>
    </row>
    <row r="1579" spans="1:10" ht="14" x14ac:dyDescent="0.2">
      <c r="A1579" s="2" t="s">
        <v>80</v>
      </c>
      <c r="B1579" s="2">
        <v>12</v>
      </c>
      <c r="C1579" s="2">
        <v>12</v>
      </c>
      <c r="D1579" s="2">
        <v>2021</v>
      </c>
      <c r="E1579" s="2">
        <v>113.46</v>
      </c>
      <c r="F1579" s="2">
        <v>83.08</v>
      </c>
      <c r="H1579" s="1">
        <f>_xlfn.XLOOKUP('Customer Info'!A1477,'Customer Info'!A1477:A1576,'Customer Info'!E1477:E1576,0,0)</f>
        <v>0</v>
      </c>
      <c r="J1579" s="1">
        <f>_xlfn.XLOOKUP('Customer Info'!A1477,'Customer Info'!A1477:A1576,'Customer Info'!M1477:M1576)</f>
        <v>0</v>
      </c>
    </row>
    <row r="1580" spans="1:10" ht="14" hidden="1" x14ac:dyDescent="0.2">
      <c r="A1580" s="2" t="s">
        <v>52</v>
      </c>
      <c r="B1580" s="2">
        <v>1</v>
      </c>
      <c r="C1580" s="2">
        <v>12</v>
      </c>
      <c r="D1580" s="2">
        <v>2020</v>
      </c>
      <c r="E1580" s="2">
        <v>109.74</v>
      </c>
      <c r="F1580" s="2">
        <v>83.08</v>
      </c>
      <c r="H1580" s="1">
        <f>_xlfn.XLOOKUP('Customer Info'!A261,'Customer Info'!A261:A360,'Customer Info'!E261:E360,0,0)</f>
        <v>0</v>
      </c>
      <c r="J1580" s="1">
        <f>_xlfn.XLOOKUP('Customer Info'!A261,'Customer Info'!A261:A360,'Customer Info'!M261:M360)</f>
        <v>0</v>
      </c>
    </row>
    <row r="1581" spans="1:10" ht="14" hidden="1" x14ac:dyDescent="0.2">
      <c r="A1581" s="2" t="s">
        <v>35</v>
      </c>
      <c r="B1581" s="2">
        <v>9</v>
      </c>
      <c r="C1581" s="2">
        <v>12</v>
      </c>
      <c r="D1581" s="2">
        <v>2020</v>
      </c>
      <c r="E1581" s="2">
        <v>91.45</v>
      </c>
      <c r="F1581" s="2">
        <v>83.08</v>
      </c>
      <c r="H1581" s="1">
        <f>_xlfn.XLOOKUP('Customer Info'!A385,'Customer Info'!A385:A484,'Customer Info'!E385:E484,0,0)</f>
        <v>0</v>
      </c>
      <c r="J1581" s="1">
        <f>_xlfn.XLOOKUP('Customer Info'!A385,'Customer Info'!A385:A484,'Customer Info'!M385:M484)</f>
        <v>0</v>
      </c>
    </row>
    <row r="1582" spans="1:10" ht="14" hidden="1" x14ac:dyDescent="0.2">
      <c r="A1582" s="2" t="s">
        <v>86</v>
      </c>
      <c r="B1582" s="2">
        <v>6</v>
      </c>
      <c r="C1582" s="2">
        <v>3</v>
      </c>
      <c r="D1582" s="2">
        <v>2020</v>
      </c>
      <c r="E1582" s="2">
        <v>81.84</v>
      </c>
      <c r="F1582" s="2">
        <v>83.08</v>
      </c>
      <c r="H1582" s="1">
        <f>_xlfn.XLOOKUP('Customer Info'!A433,'Customer Info'!A433:A532,'Customer Info'!E433:E532,0,0)</f>
        <v>0</v>
      </c>
      <c r="J1582" s="1">
        <f>_xlfn.XLOOKUP('Customer Info'!A433,'Customer Info'!A433:A532,'Customer Info'!M433:M532)</f>
        <v>0</v>
      </c>
    </row>
    <row r="1583" spans="1:10" ht="14" x14ac:dyDescent="0.2">
      <c r="A1583" s="2" t="s">
        <v>74</v>
      </c>
      <c r="B1583" s="2">
        <v>5</v>
      </c>
      <c r="C1583" s="2">
        <v>3</v>
      </c>
      <c r="D1583" s="2">
        <v>2021</v>
      </c>
      <c r="E1583" s="2">
        <v>79.67</v>
      </c>
      <c r="F1583" s="2">
        <v>83.08</v>
      </c>
      <c r="H1583" s="1">
        <f>_xlfn.XLOOKUP('Customer Info'!A1668,'Customer Info'!A1668:A1767,'Customer Info'!E1668:E1767,0,0)</f>
        <v>0</v>
      </c>
      <c r="J1583" s="1">
        <f>_xlfn.XLOOKUP('Customer Info'!A1668,'Customer Info'!A1668:A1767,'Customer Info'!M1668:M1767)</f>
        <v>0</v>
      </c>
    </row>
    <row r="1584" spans="1:10" ht="14" x14ac:dyDescent="0.2">
      <c r="A1584" s="2" t="s">
        <v>67</v>
      </c>
      <c r="B1584" s="2">
        <v>13</v>
      </c>
      <c r="C1584" s="2">
        <v>10</v>
      </c>
      <c r="D1584" s="2">
        <v>2021</v>
      </c>
      <c r="E1584" s="2">
        <v>76.88</v>
      </c>
      <c r="F1584" s="2">
        <v>83.08</v>
      </c>
      <c r="H1584" s="1">
        <f>_xlfn.XLOOKUP('Customer Info'!A1688,'Customer Info'!A1688:A1787,'Customer Info'!E1688:E1787,0,0)</f>
        <v>0</v>
      </c>
      <c r="J1584" s="1">
        <f>_xlfn.XLOOKUP('Customer Info'!A1688,'Customer Info'!A1688:A1787,'Customer Info'!M1688:M1787)</f>
        <v>0</v>
      </c>
    </row>
    <row r="1585" spans="1:10" ht="14" hidden="1" x14ac:dyDescent="0.2">
      <c r="A1585" s="2" t="s">
        <v>64</v>
      </c>
      <c r="B1585" s="2">
        <v>21</v>
      </c>
      <c r="C1585" s="2">
        <v>3</v>
      </c>
      <c r="D1585" s="2">
        <v>2020</v>
      </c>
      <c r="E1585" s="2">
        <v>71.92</v>
      </c>
      <c r="F1585" s="2">
        <v>83.08</v>
      </c>
      <c r="H1585" s="1">
        <f>_xlfn.XLOOKUP('Customer Info'!A486,'Customer Info'!A486:A585,'Customer Info'!E486:E585,0,0)</f>
        <v>0</v>
      </c>
      <c r="J1585" s="1">
        <f>_xlfn.XLOOKUP('Customer Info'!A486,'Customer Info'!A486:A585,'Customer Info'!M486:M585)</f>
        <v>0</v>
      </c>
    </row>
    <row r="1586" spans="1:10" ht="14" hidden="1" x14ac:dyDescent="0.2">
      <c r="A1586" s="2" t="s">
        <v>53</v>
      </c>
      <c r="B1586" s="2">
        <v>18</v>
      </c>
      <c r="C1586" s="2">
        <v>10</v>
      </c>
      <c r="D1586" s="2">
        <v>2020</v>
      </c>
      <c r="E1586" s="2">
        <v>70.37</v>
      </c>
      <c r="F1586" s="2">
        <v>83.08</v>
      </c>
      <c r="H1586" s="1">
        <f>_xlfn.XLOOKUP('Customer Info'!A502,'Customer Info'!A502:A601,'Customer Info'!E502:E601,0,0)</f>
        <v>0</v>
      </c>
      <c r="J1586" s="1">
        <f>_xlfn.XLOOKUP('Customer Info'!A502,'Customer Info'!A502:A601,'Customer Info'!M502:M601)</f>
        <v>0</v>
      </c>
    </row>
    <row r="1587" spans="1:10" ht="14" x14ac:dyDescent="0.2">
      <c r="A1587" s="2" t="s">
        <v>50</v>
      </c>
      <c r="B1587" s="2">
        <v>24</v>
      </c>
      <c r="C1587" s="2">
        <v>10</v>
      </c>
      <c r="D1587" s="2">
        <v>2021</v>
      </c>
      <c r="E1587" s="2">
        <v>67.58</v>
      </c>
      <c r="F1587" s="2">
        <v>83.08</v>
      </c>
      <c r="H1587" s="1">
        <f>_xlfn.XLOOKUP('Customer Info'!A1748,'Customer Info'!A1748:A1847,'Customer Info'!E1748:E1847,0,0)</f>
        <v>0</v>
      </c>
      <c r="J1587" s="1">
        <f>_xlfn.XLOOKUP('Customer Info'!A1748,'Customer Info'!A1748:A1847,'Customer Info'!M1748:M1847)</f>
        <v>0</v>
      </c>
    </row>
    <row r="1588" spans="1:10" ht="14" hidden="1" x14ac:dyDescent="0.2">
      <c r="A1588" s="2" t="s">
        <v>74</v>
      </c>
      <c r="B1588" s="2">
        <v>5</v>
      </c>
      <c r="C1588" s="2">
        <v>7</v>
      </c>
      <c r="D1588" s="2">
        <v>2020</v>
      </c>
      <c r="E1588" s="2">
        <v>45.57</v>
      </c>
      <c r="F1588" s="2">
        <v>83.08</v>
      </c>
      <c r="H1588" s="1">
        <f>_xlfn.XLOOKUP('Customer Info'!A681,'Customer Info'!A681:A780,'Customer Info'!E681:E780,0,0)</f>
        <v>0</v>
      </c>
      <c r="J1588" s="1">
        <f>_xlfn.XLOOKUP('Customer Info'!A681,'Customer Info'!A681:A780,'Customer Info'!M681:M780)</f>
        <v>0</v>
      </c>
    </row>
    <row r="1589" spans="1:10" ht="14" hidden="1" x14ac:dyDescent="0.2">
      <c r="A1589" s="2" t="s">
        <v>50</v>
      </c>
      <c r="B1589" s="2">
        <v>24</v>
      </c>
      <c r="C1589" s="2">
        <v>11</v>
      </c>
      <c r="D1589" s="2">
        <v>2020</v>
      </c>
      <c r="E1589" s="2">
        <v>99</v>
      </c>
      <c r="F1589" s="2">
        <v>82.8</v>
      </c>
      <c r="H1589" s="1">
        <f>_xlfn.XLOOKUP('Customer Info'!A340,'Customer Info'!A340:A439,'Customer Info'!E340:E439,0,0)</f>
        <v>0</v>
      </c>
      <c r="J1589" s="1">
        <f>_xlfn.XLOOKUP('Customer Info'!A340,'Customer Info'!A340:A439,'Customer Info'!M340:M439)</f>
        <v>0</v>
      </c>
    </row>
    <row r="1590" spans="1:10" ht="14" hidden="1" x14ac:dyDescent="0.2">
      <c r="A1590" s="2" t="s">
        <v>67</v>
      </c>
      <c r="B1590" s="2">
        <v>13</v>
      </c>
      <c r="C1590" s="2">
        <v>11</v>
      </c>
      <c r="D1590" s="2">
        <v>2020</v>
      </c>
      <c r="E1590" s="2">
        <v>95.7</v>
      </c>
      <c r="F1590" s="2">
        <v>82.8</v>
      </c>
      <c r="H1590" s="1">
        <f>_xlfn.XLOOKUP('Customer Info'!A359,'Customer Info'!A359:A458,'Customer Info'!E359:E458,0,0)</f>
        <v>0</v>
      </c>
      <c r="J1590" s="1">
        <f>_xlfn.XLOOKUP('Customer Info'!A359,'Customer Info'!A359:A458,'Customer Info'!M359:M458)</f>
        <v>0</v>
      </c>
    </row>
    <row r="1591" spans="1:10" ht="14" x14ac:dyDescent="0.2">
      <c r="A1591" s="2" t="s">
        <v>63</v>
      </c>
      <c r="B1591" s="2">
        <v>25</v>
      </c>
      <c r="C1591" s="2">
        <v>9</v>
      </c>
      <c r="D1591" s="2">
        <v>2021</v>
      </c>
      <c r="E1591" s="2">
        <v>43.5</v>
      </c>
      <c r="F1591" s="2">
        <v>82.8</v>
      </c>
      <c r="H1591" s="1">
        <f>_xlfn.XLOOKUP('Customer Info'!A1916,'Customer Info'!A1916:A2015,'Customer Info'!E1916:E2015,0,0)</f>
        <v>0</v>
      </c>
      <c r="J1591" s="1">
        <f>_xlfn.XLOOKUP('Customer Info'!A1916,'Customer Info'!A1916:A2015,'Customer Info'!M1916:M2015)</f>
        <v>0</v>
      </c>
    </row>
    <row r="1592" spans="1:10" ht="14" x14ac:dyDescent="0.2">
      <c r="A1592" s="2" t="s">
        <v>60</v>
      </c>
      <c r="B1592" s="2">
        <v>20</v>
      </c>
      <c r="C1592" s="2">
        <v>12</v>
      </c>
      <c r="D1592" s="2">
        <v>2021</v>
      </c>
      <c r="E1592" s="2">
        <v>137.02000000000001</v>
      </c>
      <c r="F1592" s="2">
        <v>82.77</v>
      </c>
      <c r="H1592" s="1">
        <f>_xlfn.XLOOKUP('Customer Info'!A1371,'Customer Info'!A1371:A1470,'Customer Info'!E1371:E1470,0,0)</f>
        <v>0</v>
      </c>
      <c r="J1592" s="1">
        <f>_xlfn.XLOOKUP('Customer Info'!A1371,'Customer Info'!A1371:A1470,'Customer Info'!M1371:M1470)</f>
        <v>0</v>
      </c>
    </row>
    <row r="1593" spans="1:10" ht="14" hidden="1" x14ac:dyDescent="0.2">
      <c r="A1593" s="2" t="s">
        <v>75</v>
      </c>
      <c r="B1593" s="2">
        <v>2</v>
      </c>
      <c r="C1593" s="2">
        <v>3</v>
      </c>
      <c r="D1593" s="2">
        <v>2020</v>
      </c>
      <c r="E1593" s="2">
        <v>82.77</v>
      </c>
      <c r="F1593" s="2">
        <v>82.77</v>
      </c>
      <c r="H1593" s="1">
        <f>_xlfn.XLOOKUP('Customer Info'!A428,'Customer Info'!A428:A527,'Customer Info'!E428:E527,0,0)</f>
        <v>0</v>
      </c>
      <c r="J1593" s="1">
        <f>_xlfn.XLOOKUP('Customer Info'!A428,'Customer Info'!A428:A527,'Customer Info'!M428:M527)</f>
        <v>0</v>
      </c>
    </row>
    <row r="1594" spans="1:10" ht="14" hidden="1" x14ac:dyDescent="0.2">
      <c r="A1594" s="2" t="s">
        <v>36</v>
      </c>
      <c r="B1594" s="2">
        <v>12</v>
      </c>
      <c r="C1594" s="2">
        <v>3</v>
      </c>
      <c r="D1594" s="2">
        <v>2020</v>
      </c>
      <c r="E1594" s="2">
        <v>70.37</v>
      </c>
      <c r="F1594" s="2">
        <v>82.77</v>
      </c>
      <c r="H1594" s="1">
        <f>_xlfn.XLOOKUP('Customer Info'!A503,'Customer Info'!A503:A602,'Customer Info'!E503:E602,0,0)</f>
        <v>0</v>
      </c>
      <c r="J1594" s="1">
        <f>_xlfn.XLOOKUP('Customer Info'!A503,'Customer Info'!A503:A602,'Customer Info'!M503:M602)</f>
        <v>0</v>
      </c>
    </row>
    <row r="1595" spans="1:10" ht="14" x14ac:dyDescent="0.2">
      <c r="A1595" s="2" t="s">
        <v>47</v>
      </c>
      <c r="B1595" s="2">
        <v>19</v>
      </c>
      <c r="C1595" s="2">
        <v>7</v>
      </c>
      <c r="D1595" s="2">
        <v>2021</v>
      </c>
      <c r="E1595" s="2">
        <v>30.07</v>
      </c>
      <c r="F1595" s="2">
        <v>82.77</v>
      </c>
      <c r="H1595" s="1">
        <f>_xlfn.XLOOKUP('Customer Info'!A2019,'Customer Info'!A2019:A2118,'Customer Info'!E2019:E2118,0,0)</f>
        <v>0</v>
      </c>
      <c r="J1595" s="1">
        <f>_xlfn.XLOOKUP('Customer Info'!A2019,'Customer Info'!A2019:A2118,'Customer Info'!M2019:M2118)</f>
        <v>0</v>
      </c>
    </row>
    <row r="1596" spans="1:10" ht="14" hidden="1" x14ac:dyDescent="0.2">
      <c r="A1596" s="2" t="s">
        <v>57</v>
      </c>
      <c r="B1596" s="2">
        <v>17</v>
      </c>
      <c r="C1596" s="2">
        <v>2</v>
      </c>
      <c r="D1596" s="2">
        <v>2020</v>
      </c>
      <c r="E1596" s="2">
        <v>104.72</v>
      </c>
      <c r="F1596" s="2">
        <v>82.6</v>
      </c>
      <c r="H1596" s="1">
        <f>_xlfn.XLOOKUP('Customer Info'!A298,'Customer Info'!A298:A397,'Customer Info'!E298:E397,0,0)</f>
        <v>0</v>
      </c>
      <c r="J1596" s="1">
        <f>_xlfn.XLOOKUP('Customer Info'!A298,'Customer Info'!A298:A397,'Customer Info'!M298:M397)</f>
        <v>0</v>
      </c>
    </row>
    <row r="1597" spans="1:10" ht="14" x14ac:dyDescent="0.2">
      <c r="A1597" s="2" t="s">
        <v>33</v>
      </c>
      <c r="B1597" s="2">
        <v>21</v>
      </c>
      <c r="C1597" s="2">
        <v>4</v>
      </c>
      <c r="D1597" s="2">
        <v>2021</v>
      </c>
      <c r="E1597" s="2">
        <v>52.8</v>
      </c>
      <c r="F1597" s="2">
        <v>82.5</v>
      </c>
      <c r="H1597" s="1">
        <f>_xlfn.XLOOKUP('Customer Info'!A1843,'Customer Info'!A1843:A1942,'Customer Info'!E1843:E1942,0,0)</f>
        <v>0</v>
      </c>
      <c r="J1597" s="1">
        <f>_xlfn.XLOOKUP('Customer Info'!A1843,'Customer Info'!A1843:A1942,'Customer Info'!M1843:M1942)</f>
        <v>0</v>
      </c>
    </row>
    <row r="1598" spans="1:10" ht="14" x14ac:dyDescent="0.2">
      <c r="A1598" s="2" t="s">
        <v>64</v>
      </c>
      <c r="B1598" s="2">
        <v>21</v>
      </c>
      <c r="C1598" s="2">
        <v>9</v>
      </c>
      <c r="D1598" s="2">
        <v>2021</v>
      </c>
      <c r="E1598" s="2">
        <v>51.9</v>
      </c>
      <c r="F1598" s="2">
        <v>82.5</v>
      </c>
      <c r="H1598" s="1">
        <f>_xlfn.XLOOKUP('Customer Info'!A1852,'Customer Info'!A1852:A1951,'Customer Info'!E1852:E1951,0,0)</f>
        <v>0</v>
      </c>
      <c r="J1598" s="1">
        <f>_xlfn.XLOOKUP('Customer Info'!A1852,'Customer Info'!A1852:A1951,'Customer Info'!M1852:M1951)</f>
        <v>0</v>
      </c>
    </row>
    <row r="1599" spans="1:10" ht="14" hidden="1" x14ac:dyDescent="0.2">
      <c r="A1599" s="2" t="s">
        <v>86</v>
      </c>
      <c r="B1599" s="2">
        <v>6</v>
      </c>
      <c r="C1599" s="2">
        <v>9</v>
      </c>
      <c r="D1599" s="2">
        <v>2020</v>
      </c>
      <c r="E1599" s="2">
        <v>50.4</v>
      </c>
      <c r="F1599" s="2">
        <v>82.5</v>
      </c>
      <c r="H1599" s="1">
        <f>_xlfn.XLOOKUP('Customer Info'!A641,'Customer Info'!A641:A740,'Customer Info'!E641:E740,0,0)</f>
        <v>0</v>
      </c>
      <c r="J1599" s="1">
        <f>_xlfn.XLOOKUP('Customer Info'!A641,'Customer Info'!A641:A740,'Customer Info'!M641:M740)</f>
        <v>0</v>
      </c>
    </row>
    <row r="1600" spans="1:10" ht="14" hidden="1" x14ac:dyDescent="0.2">
      <c r="A1600" s="2" t="s">
        <v>65</v>
      </c>
      <c r="B1600" s="2">
        <v>11</v>
      </c>
      <c r="C1600" s="2">
        <v>6</v>
      </c>
      <c r="D1600" s="2">
        <v>2020</v>
      </c>
      <c r="E1600" s="2">
        <v>42.9</v>
      </c>
      <c r="F1600" s="2">
        <v>82.5</v>
      </c>
      <c r="H1600" s="1">
        <f>_xlfn.XLOOKUP('Customer Info'!A707,'Customer Info'!A707:A806,'Customer Info'!E707:E806,0,0)</f>
        <v>0</v>
      </c>
      <c r="J1600" s="1">
        <f>_xlfn.XLOOKUP('Customer Info'!A707,'Customer Info'!A707:A806,'Customer Info'!M707:M806)</f>
        <v>0</v>
      </c>
    </row>
    <row r="1601" spans="1:10" ht="14" hidden="1" x14ac:dyDescent="0.2">
      <c r="A1601" s="2" t="s">
        <v>66</v>
      </c>
      <c r="B1601" s="2">
        <v>23</v>
      </c>
      <c r="C1601" s="2">
        <v>6</v>
      </c>
      <c r="D1601" s="2">
        <v>2020</v>
      </c>
      <c r="E1601" s="2">
        <v>39</v>
      </c>
      <c r="F1601" s="2">
        <v>82.5</v>
      </c>
      <c r="H1601" s="1">
        <f>_xlfn.XLOOKUP('Customer Info'!A741,'Customer Info'!A741:A840,'Customer Info'!E741:E840,0,0)</f>
        <v>0</v>
      </c>
      <c r="J1601" s="1">
        <f>_xlfn.XLOOKUP('Customer Info'!A741,'Customer Info'!A741:A840,'Customer Info'!M741:M840)</f>
        <v>0</v>
      </c>
    </row>
    <row r="1602" spans="1:10" ht="14" hidden="1" x14ac:dyDescent="0.2">
      <c r="A1602" s="2" t="s">
        <v>0</v>
      </c>
      <c r="B1602" s="2">
        <v>25</v>
      </c>
      <c r="C1602" s="2">
        <v>1</v>
      </c>
      <c r="D1602" s="2">
        <v>2020</v>
      </c>
      <c r="E1602" s="1" t="s">
        <v>94</v>
      </c>
      <c r="F1602" s="2">
        <v>82.46</v>
      </c>
      <c r="H1602" s="1">
        <f>_xlfn.XLOOKUP('Customer Info'!A118,'Customer Info'!A118:A217,'Customer Info'!E118:E217,0,0)</f>
        <v>0</v>
      </c>
      <c r="J1602" s="1">
        <f>_xlfn.XLOOKUP('Customer Info'!A118,'Customer Info'!A118:A217,'Customer Info'!M118:M217)</f>
        <v>0</v>
      </c>
    </row>
    <row r="1603" spans="1:10" ht="14" x14ac:dyDescent="0.2">
      <c r="A1603" s="2" t="s">
        <v>95</v>
      </c>
      <c r="B1603" s="2">
        <v>24</v>
      </c>
      <c r="C1603" s="2">
        <v>5</v>
      </c>
      <c r="D1603" s="2">
        <v>2021</v>
      </c>
      <c r="E1603" s="1" t="s">
        <v>94</v>
      </c>
      <c r="F1603" s="2">
        <v>82.46</v>
      </c>
      <c r="H1603" s="1">
        <f>_xlfn.XLOOKUP('Customer Info'!A1305,'Customer Info'!A1305:A1404,'Customer Info'!E1305:E1404,0,0)</f>
        <v>0</v>
      </c>
      <c r="J1603" s="1">
        <f>_xlfn.XLOOKUP('Customer Info'!A1305,'Customer Info'!A1305:A1404,'Customer Info'!M1305:M1404)</f>
        <v>0</v>
      </c>
    </row>
    <row r="1604" spans="1:10" ht="14" hidden="1" x14ac:dyDescent="0.2">
      <c r="A1604" s="2" t="s">
        <v>48</v>
      </c>
      <c r="B1604" s="2">
        <v>24</v>
      </c>
      <c r="C1604" s="2">
        <v>1</v>
      </c>
      <c r="D1604" s="2">
        <v>2020</v>
      </c>
      <c r="E1604" s="2">
        <v>105.71</v>
      </c>
      <c r="F1604" s="2">
        <v>82.46</v>
      </c>
      <c r="H1604" s="1">
        <f>_xlfn.XLOOKUP('Customer Info'!A290,'Customer Info'!A290:A389,'Customer Info'!E290:E389,0,0)</f>
        <v>0</v>
      </c>
      <c r="J1604" s="1">
        <f>_xlfn.XLOOKUP('Customer Info'!A290,'Customer Info'!A290:A389,'Customer Info'!M290:M389)</f>
        <v>0</v>
      </c>
    </row>
    <row r="1605" spans="1:10" ht="14" x14ac:dyDescent="0.2">
      <c r="A1605" s="2" t="s">
        <v>33</v>
      </c>
      <c r="B1605" s="2">
        <v>21</v>
      </c>
      <c r="C1605" s="2">
        <v>1</v>
      </c>
      <c r="D1605" s="2">
        <v>2021</v>
      </c>
      <c r="E1605" s="2">
        <v>102.3</v>
      </c>
      <c r="F1605" s="2">
        <v>82.46</v>
      </c>
      <c r="H1605" s="1">
        <f>_xlfn.XLOOKUP('Customer Info'!A1543,'Customer Info'!A1543:A1642,'Customer Info'!E1543:E1642,0,0)</f>
        <v>0</v>
      </c>
      <c r="J1605" s="1">
        <f>_xlfn.XLOOKUP('Customer Info'!A1543,'Customer Info'!A1543:A1642,'Customer Info'!M1543:M1642)</f>
        <v>0</v>
      </c>
    </row>
    <row r="1606" spans="1:10" ht="14" hidden="1" x14ac:dyDescent="0.2">
      <c r="A1606" s="2" t="s">
        <v>56</v>
      </c>
      <c r="B1606" s="2">
        <v>14</v>
      </c>
      <c r="C1606" s="2">
        <v>12</v>
      </c>
      <c r="D1606" s="2">
        <v>2020</v>
      </c>
      <c r="E1606" s="2">
        <v>100.13</v>
      </c>
      <c r="F1606" s="2">
        <v>82.46</v>
      </c>
      <c r="H1606" s="1">
        <f>_xlfn.XLOOKUP('Customer Info'!A329,'Customer Info'!A329:A428,'Customer Info'!E329:E428,0,0)</f>
        <v>0</v>
      </c>
      <c r="J1606" s="1">
        <f>_xlfn.XLOOKUP('Customer Info'!A329,'Customer Info'!A329:A428,'Customer Info'!M329:M428)</f>
        <v>0</v>
      </c>
    </row>
    <row r="1607" spans="1:10" ht="14" x14ac:dyDescent="0.2">
      <c r="A1607" s="2" t="s">
        <v>39</v>
      </c>
      <c r="B1607" s="2">
        <v>22</v>
      </c>
      <c r="C1607" s="2">
        <v>3</v>
      </c>
      <c r="D1607" s="2">
        <v>2021</v>
      </c>
      <c r="E1607" s="2">
        <v>52.39</v>
      </c>
      <c r="F1607" s="2">
        <v>82.46</v>
      </c>
      <c r="H1607" s="1">
        <f>_xlfn.XLOOKUP('Customer Info'!A1848,'Customer Info'!A1848:A1947,'Customer Info'!E1848:E1947,0,0)</f>
        <v>0</v>
      </c>
      <c r="J1607" s="1">
        <f>_xlfn.XLOOKUP('Customer Info'!A1848,'Customer Info'!A1848:A1947,'Customer Info'!M1848:M1947)</f>
        <v>0</v>
      </c>
    </row>
    <row r="1608" spans="1:10" ht="14" x14ac:dyDescent="0.2">
      <c r="A1608" s="2" t="s">
        <v>73</v>
      </c>
      <c r="B1608" s="2">
        <v>5</v>
      </c>
      <c r="C1608" s="2">
        <v>7</v>
      </c>
      <c r="D1608" s="2">
        <v>2021</v>
      </c>
      <c r="E1608" s="2">
        <v>47.12</v>
      </c>
      <c r="F1608" s="2">
        <v>82.46</v>
      </c>
      <c r="H1608" s="1">
        <f>_xlfn.XLOOKUP('Customer Info'!A1888,'Customer Info'!A1888:A1987,'Customer Info'!E1888:E1987,0,0)</f>
        <v>0</v>
      </c>
      <c r="J1608" s="1">
        <f>_xlfn.XLOOKUP('Customer Info'!A1888,'Customer Info'!A1888:A1987,'Customer Info'!M1888:M1987)</f>
        <v>0</v>
      </c>
    </row>
    <row r="1609" spans="1:10" ht="14" x14ac:dyDescent="0.2">
      <c r="A1609" s="2" t="s">
        <v>56</v>
      </c>
      <c r="B1609" s="2">
        <v>14</v>
      </c>
      <c r="C1609" s="2">
        <v>7</v>
      </c>
      <c r="D1609" s="2">
        <v>2021</v>
      </c>
      <c r="E1609" s="2">
        <v>39.06</v>
      </c>
      <c r="F1609" s="2">
        <v>82.46</v>
      </c>
      <c r="H1609" s="1">
        <f>_xlfn.XLOOKUP('Customer Info'!A1950,'Customer Info'!A1950:A2049,'Customer Info'!E1950:E2049,0,0)</f>
        <v>0</v>
      </c>
      <c r="J1609" s="1">
        <f>_xlfn.XLOOKUP('Customer Info'!A1950,'Customer Info'!A1950:A2049,'Customer Info'!M1950:M2049)</f>
        <v>0</v>
      </c>
    </row>
    <row r="1610" spans="1:10" ht="14" x14ac:dyDescent="0.2">
      <c r="A1610" s="2" t="s">
        <v>74</v>
      </c>
      <c r="B1610" s="2">
        <v>5</v>
      </c>
      <c r="C1610" s="2">
        <v>8</v>
      </c>
      <c r="D1610" s="2">
        <v>2021</v>
      </c>
      <c r="E1610" s="2">
        <v>38.44</v>
      </c>
      <c r="F1610" s="2">
        <v>82.46</v>
      </c>
      <c r="H1610" s="1">
        <f>_xlfn.XLOOKUP('Customer Info'!A1955,'Customer Info'!A1955:A2054,'Customer Info'!E1955:E2054,0,0)</f>
        <v>0</v>
      </c>
      <c r="J1610" s="1">
        <f>_xlfn.XLOOKUP('Customer Info'!A1955,'Customer Info'!A1955:A2054,'Customer Info'!M1955:M2054)</f>
        <v>0</v>
      </c>
    </row>
    <row r="1611" spans="1:10" ht="14" hidden="1" x14ac:dyDescent="0.2">
      <c r="A1611" s="2" t="s">
        <v>33</v>
      </c>
      <c r="B1611" s="2">
        <v>21</v>
      </c>
      <c r="C1611" s="2">
        <v>5</v>
      </c>
      <c r="D1611" s="2">
        <v>2020</v>
      </c>
      <c r="E1611" s="2">
        <v>18.29</v>
      </c>
      <c r="F1611" s="2">
        <v>82.46</v>
      </c>
      <c r="H1611" s="1">
        <f>_xlfn.XLOOKUP('Customer Info'!A873,'Customer Info'!A873:A972,'Customer Info'!E873:E972,0,0)</f>
        <v>0</v>
      </c>
      <c r="J1611" s="1">
        <f>_xlfn.XLOOKUP('Customer Info'!A873,'Customer Info'!A873:A972,'Customer Info'!M873:M972)</f>
        <v>0</v>
      </c>
    </row>
    <row r="1612" spans="1:10" ht="14" x14ac:dyDescent="0.2">
      <c r="A1612" s="2" t="s">
        <v>86</v>
      </c>
      <c r="B1612" s="2">
        <v>6</v>
      </c>
      <c r="C1612" s="2">
        <v>2</v>
      </c>
      <c r="D1612" s="2">
        <v>2021</v>
      </c>
      <c r="E1612" s="2">
        <v>115.64</v>
      </c>
      <c r="F1612" s="2">
        <v>82.32</v>
      </c>
      <c r="H1612" s="1">
        <f>_xlfn.XLOOKUP('Customer Info'!A1462,'Customer Info'!A1462:A1561,'Customer Info'!E1462:E1561,0,0)</f>
        <v>0</v>
      </c>
      <c r="J1612" s="1">
        <f>_xlfn.XLOOKUP('Customer Info'!A1462,'Customer Info'!A1462:A1561,'Customer Info'!M1462:M1561)</f>
        <v>0</v>
      </c>
    </row>
    <row r="1613" spans="1:10" ht="14" hidden="1" x14ac:dyDescent="0.2">
      <c r="A1613" s="2" t="s">
        <v>92</v>
      </c>
      <c r="B1613" s="2">
        <v>7</v>
      </c>
      <c r="C1613" s="2">
        <v>4</v>
      </c>
      <c r="D1613" s="2">
        <v>2020</v>
      </c>
      <c r="E1613" s="2">
        <v>106.8</v>
      </c>
      <c r="F1613" s="2">
        <v>82.2</v>
      </c>
      <c r="H1613" s="1">
        <f>_xlfn.XLOOKUP('Customer Info'!A284,'Customer Info'!A284:A383,'Customer Info'!E284:E383,0,0)</f>
        <v>0</v>
      </c>
      <c r="J1613" s="1">
        <f>_xlfn.XLOOKUP('Customer Info'!A284,'Customer Info'!A284:A383,'Customer Info'!M284:M383)</f>
        <v>0</v>
      </c>
    </row>
    <row r="1614" spans="1:10" ht="14" hidden="1" x14ac:dyDescent="0.2">
      <c r="A1614" s="2" t="s">
        <v>36</v>
      </c>
      <c r="B1614" s="2">
        <v>12</v>
      </c>
      <c r="C1614" s="2">
        <v>11</v>
      </c>
      <c r="D1614" s="2">
        <v>2020</v>
      </c>
      <c r="E1614" s="2">
        <v>93.9</v>
      </c>
      <c r="F1614" s="2">
        <v>82.2</v>
      </c>
      <c r="H1614" s="1">
        <f>_xlfn.XLOOKUP('Customer Info'!A372,'Customer Info'!A372:A471,'Customer Info'!E372:E471,0,0)</f>
        <v>0</v>
      </c>
      <c r="J1614" s="1">
        <f>_xlfn.XLOOKUP('Customer Info'!A372,'Customer Info'!A372:A471,'Customer Info'!M372:M471)</f>
        <v>0</v>
      </c>
    </row>
    <row r="1615" spans="1:10" ht="14" hidden="1" x14ac:dyDescent="0.2">
      <c r="A1615" s="2" t="s">
        <v>78</v>
      </c>
      <c r="B1615" s="2">
        <v>18</v>
      </c>
      <c r="C1615" s="2">
        <v>4</v>
      </c>
      <c r="D1615" s="2">
        <v>2020</v>
      </c>
      <c r="E1615" s="2">
        <v>82.5</v>
      </c>
      <c r="F1615" s="2">
        <v>82.2</v>
      </c>
      <c r="H1615" s="1">
        <f>_xlfn.XLOOKUP('Customer Info'!A429,'Customer Info'!A429:A528,'Customer Info'!E429:E528,0,0)</f>
        <v>0</v>
      </c>
      <c r="J1615" s="1">
        <f>_xlfn.XLOOKUP('Customer Info'!A429,'Customer Info'!A429:A528,'Customer Info'!M429:M528)</f>
        <v>0</v>
      </c>
    </row>
    <row r="1616" spans="1:10" ht="14" hidden="1" x14ac:dyDescent="0.2">
      <c r="A1616" s="2" t="s">
        <v>42</v>
      </c>
      <c r="B1616" s="2">
        <v>12</v>
      </c>
      <c r="C1616" s="2">
        <v>4</v>
      </c>
      <c r="D1616" s="2">
        <v>2020</v>
      </c>
      <c r="E1616" s="2">
        <v>67.5</v>
      </c>
      <c r="F1616" s="2">
        <v>82.2</v>
      </c>
      <c r="H1616" s="1">
        <f>_xlfn.XLOOKUP('Customer Info'!A526,'Customer Info'!A526:A625,'Customer Info'!E526:E625,0,0)</f>
        <v>0</v>
      </c>
      <c r="J1616" s="1">
        <f>_xlfn.XLOOKUP('Customer Info'!A526,'Customer Info'!A526:A625,'Customer Info'!M526:M625)</f>
        <v>0</v>
      </c>
    </row>
    <row r="1617" spans="1:10" ht="14" hidden="1" x14ac:dyDescent="0.2">
      <c r="A1617" s="2" t="s">
        <v>48</v>
      </c>
      <c r="B1617" s="2">
        <v>24</v>
      </c>
      <c r="C1617" s="2">
        <v>4</v>
      </c>
      <c r="D1617" s="2">
        <v>2020</v>
      </c>
      <c r="E1617" s="2">
        <v>63.6</v>
      </c>
      <c r="F1617" s="2">
        <v>82.2</v>
      </c>
      <c r="H1617" s="1">
        <f>_xlfn.XLOOKUP('Customer Info'!A560,'Customer Info'!A560:A659,'Customer Info'!E560:E659,0,0)</f>
        <v>0</v>
      </c>
      <c r="J1617" s="1">
        <f>_xlfn.XLOOKUP('Customer Info'!A560,'Customer Info'!A560:A659,'Customer Info'!M560:M659)</f>
        <v>0</v>
      </c>
    </row>
    <row r="1618" spans="1:10" ht="14" hidden="1" x14ac:dyDescent="0.2">
      <c r="A1618" s="2" t="s">
        <v>81</v>
      </c>
      <c r="B1618" s="2">
        <v>19</v>
      </c>
      <c r="C1618" s="2">
        <v>9</v>
      </c>
      <c r="D1618" s="2">
        <v>2020</v>
      </c>
      <c r="E1618" s="2">
        <v>54</v>
      </c>
      <c r="F1618" s="2">
        <v>82.2</v>
      </c>
      <c r="H1618" s="1">
        <f>_xlfn.XLOOKUP('Customer Info'!A619,'Customer Info'!A619:A718,'Customer Info'!E619:E718,0,0)</f>
        <v>0</v>
      </c>
      <c r="J1618" s="1">
        <f>_xlfn.XLOOKUP('Customer Info'!A619,'Customer Info'!A619:A718,'Customer Info'!M619:M718)</f>
        <v>0</v>
      </c>
    </row>
    <row r="1619" spans="1:10" ht="14" hidden="1" x14ac:dyDescent="0.2">
      <c r="A1619" s="2" t="s">
        <v>65</v>
      </c>
      <c r="B1619" s="2">
        <v>11</v>
      </c>
      <c r="C1619" s="2">
        <v>9</v>
      </c>
      <c r="D1619" s="2">
        <v>2020</v>
      </c>
      <c r="E1619" s="2">
        <v>48.9</v>
      </c>
      <c r="F1619" s="2">
        <v>82.2</v>
      </c>
      <c r="H1619" s="1">
        <f>_xlfn.XLOOKUP('Customer Info'!A652,'Customer Info'!A652:A751,'Customer Info'!E652:E751,0,0)</f>
        <v>0</v>
      </c>
      <c r="J1619" s="1">
        <f>_xlfn.XLOOKUP('Customer Info'!A652,'Customer Info'!A652:A751,'Customer Info'!M652:M751)</f>
        <v>0</v>
      </c>
    </row>
    <row r="1620" spans="1:10" ht="14" hidden="1" x14ac:dyDescent="0.2">
      <c r="A1620" s="2" t="s">
        <v>62</v>
      </c>
      <c r="B1620" s="2">
        <v>1</v>
      </c>
      <c r="C1620" s="2">
        <v>6</v>
      </c>
      <c r="D1620" s="2">
        <v>2020</v>
      </c>
      <c r="E1620" s="2">
        <v>42.3</v>
      </c>
      <c r="F1620" s="2">
        <v>82.2</v>
      </c>
      <c r="H1620" s="1">
        <f>_xlfn.XLOOKUP('Customer Info'!A715,'Customer Info'!A715:A814,'Customer Info'!E715:E814,0,0)</f>
        <v>0</v>
      </c>
      <c r="J1620" s="1">
        <f>_xlfn.XLOOKUP('Customer Info'!A715,'Customer Info'!A715:A814,'Customer Info'!M715:M814)</f>
        <v>0</v>
      </c>
    </row>
    <row r="1621" spans="1:10" ht="14" x14ac:dyDescent="0.2">
      <c r="A1621" s="2" t="s">
        <v>96</v>
      </c>
      <c r="B1621" s="2">
        <v>3</v>
      </c>
      <c r="C1621" s="2">
        <v>12</v>
      </c>
      <c r="D1621" s="2">
        <v>2021</v>
      </c>
      <c r="E1621" s="1" t="s">
        <v>94</v>
      </c>
      <c r="F1621" s="2">
        <v>82.15</v>
      </c>
      <c r="H1621" s="1">
        <f>_xlfn.XLOOKUP('Customer Info'!A1306,'Customer Info'!A1306:A1405,'Customer Info'!E1306:E1405,0,0)</f>
        <v>0</v>
      </c>
      <c r="J1621" s="1">
        <f>_xlfn.XLOOKUP('Customer Info'!A1306,'Customer Info'!A1306:A1405,'Customer Info'!M1306:M1405)</f>
        <v>0</v>
      </c>
    </row>
    <row r="1622" spans="1:10" ht="14" hidden="1" x14ac:dyDescent="0.2">
      <c r="A1622" s="2" t="s">
        <v>38</v>
      </c>
      <c r="B1622" s="2">
        <v>21</v>
      </c>
      <c r="C1622" s="2">
        <v>12</v>
      </c>
      <c r="D1622" s="2">
        <v>2020</v>
      </c>
      <c r="E1622" s="2">
        <v>100.44</v>
      </c>
      <c r="F1622" s="2">
        <v>82.15</v>
      </c>
      <c r="H1622" s="1">
        <f>_xlfn.XLOOKUP('Customer Info'!A327,'Customer Info'!A327:A426,'Customer Info'!E327:E426,0,0)</f>
        <v>0</v>
      </c>
      <c r="J1622" s="1">
        <f>_xlfn.XLOOKUP('Customer Info'!A327,'Customer Info'!A327:A426,'Customer Info'!M327:M426)</f>
        <v>0</v>
      </c>
    </row>
    <row r="1623" spans="1:10" ht="14" x14ac:dyDescent="0.2">
      <c r="A1623" s="2" t="s">
        <v>66</v>
      </c>
      <c r="B1623" s="2">
        <v>23</v>
      </c>
      <c r="C1623" s="2">
        <v>3</v>
      </c>
      <c r="D1623" s="2">
        <v>2021</v>
      </c>
      <c r="E1623" s="2">
        <v>82.46</v>
      </c>
      <c r="F1623" s="2">
        <v>82.15</v>
      </c>
      <c r="H1623" s="1">
        <f>_xlfn.XLOOKUP('Customer Info'!A1650,'Customer Info'!A1650:A1749,'Customer Info'!E1650:E1749,0,0)</f>
        <v>0</v>
      </c>
      <c r="J1623" s="1">
        <f>_xlfn.XLOOKUP('Customer Info'!A1650,'Customer Info'!A1650:A1749,'Customer Info'!M1650:M1749)</f>
        <v>0</v>
      </c>
    </row>
    <row r="1624" spans="1:10" ht="14" hidden="1" x14ac:dyDescent="0.2">
      <c r="A1624" s="2" t="s">
        <v>50</v>
      </c>
      <c r="B1624" s="2">
        <v>24</v>
      </c>
      <c r="C1624" s="2">
        <v>10</v>
      </c>
      <c r="D1624" s="2">
        <v>2020</v>
      </c>
      <c r="E1624" s="2">
        <v>76.88</v>
      </c>
      <c r="F1624" s="2">
        <v>82.15</v>
      </c>
      <c r="H1624" s="1">
        <f>_xlfn.XLOOKUP('Customer Info'!A455,'Customer Info'!A455:A554,'Customer Info'!E455:E554,0,0)</f>
        <v>0</v>
      </c>
      <c r="J1624" s="1">
        <f>_xlfn.XLOOKUP('Customer Info'!A455,'Customer Info'!A455:A554,'Customer Info'!M455:M554)</f>
        <v>0</v>
      </c>
    </row>
    <row r="1625" spans="1:10" ht="14" x14ac:dyDescent="0.2">
      <c r="A1625" s="2" t="s">
        <v>89</v>
      </c>
      <c r="B1625" s="2">
        <v>2</v>
      </c>
      <c r="C1625" s="2">
        <v>5</v>
      </c>
      <c r="D1625" s="2">
        <v>2021</v>
      </c>
      <c r="E1625" s="2">
        <v>66.650000000000006</v>
      </c>
      <c r="F1625" s="2">
        <v>82.15</v>
      </c>
      <c r="H1625" s="1">
        <f>_xlfn.XLOOKUP('Customer Info'!A1753,'Customer Info'!A1753:A1852,'Customer Info'!E1753:E1852,0,0)</f>
        <v>0</v>
      </c>
      <c r="J1625" s="1">
        <f>_xlfn.XLOOKUP('Customer Info'!A1753,'Customer Info'!A1753:A1852,'Customer Info'!M1753:M1852)</f>
        <v>0</v>
      </c>
    </row>
    <row r="1626" spans="1:10" ht="14" x14ac:dyDescent="0.2">
      <c r="A1626" s="2" t="s">
        <v>33</v>
      </c>
      <c r="B1626" s="2">
        <v>21</v>
      </c>
      <c r="C1626" s="2">
        <v>10</v>
      </c>
      <c r="D1626" s="2">
        <v>2021</v>
      </c>
      <c r="E1626" s="2">
        <v>62</v>
      </c>
      <c r="F1626" s="2">
        <v>82.15</v>
      </c>
      <c r="H1626" s="1">
        <f>_xlfn.XLOOKUP('Customer Info'!A1795,'Customer Info'!A1795:A1894,'Customer Info'!E1795:E1894,0,0)</f>
        <v>0</v>
      </c>
      <c r="J1626" s="1">
        <f>_xlfn.XLOOKUP('Customer Info'!A1795,'Customer Info'!A1795:A1894,'Customer Info'!M1795:M1894)</f>
        <v>0</v>
      </c>
    </row>
    <row r="1627" spans="1:10" ht="14" hidden="1" x14ac:dyDescent="0.2">
      <c r="A1627" s="2" t="s">
        <v>66</v>
      </c>
      <c r="B1627" s="2">
        <v>23</v>
      </c>
      <c r="C1627" s="2">
        <v>8</v>
      </c>
      <c r="D1627" s="2">
        <v>2020</v>
      </c>
      <c r="E1627" s="2">
        <v>35.03</v>
      </c>
      <c r="F1627" s="2">
        <v>82.15</v>
      </c>
      <c r="H1627" s="1">
        <f>_xlfn.XLOOKUP('Customer Info'!A785,'Customer Info'!A785:A884,'Customer Info'!E785:E884,0,0)</f>
        <v>0</v>
      </c>
      <c r="J1627" s="1">
        <f>_xlfn.XLOOKUP('Customer Info'!A785,'Customer Info'!A785:A884,'Customer Info'!M785:M884)</f>
        <v>0</v>
      </c>
    </row>
    <row r="1628" spans="1:10" ht="14" hidden="1" x14ac:dyDescent="0.2">
      <c r="A1628" s="2" t="s">
        <v>35</v>
      </c>
      <c r="B1628" s="2">
        <v>9</v>
      </c>
      <c r="C1628" s="2">
        <v>5</v>
      </c>
      <c r="D1628" s="2">
        <v>2020</v>
      </c>
      <c r="E1628" s="2">
        <v>24.8</v>
      </c>
      <c r="F1628" s="2">
        <v>82.15</v>
      </c>
      <c r="H1628" s="1">
        <f>_xlfn.XLOOKUP('Customer Info'!A853,'Customer Info'!A853:A952,'Customer Info'!E853:E952,0,0)</f>
        <v>0</v>
      </c>
      <c r="J1628" s="1">
        <f>_xlfn.XLOOKUP('Customer Info'!A853,'Customer Info'!A853:A952,'Customer Info'!M853:M952)</f>
        <v>0</v>
      </c>
    </row>
    <row r="1629" spans="1:10" ht="14" hidden="1" x14ac:dyDescent="0.2">
      <c r="A1629" s="2" t="s">
        <v>93</v>
      </c>
      <c r="B1629" s="2">
        <v>3</v>
      </c>
      <c r="C1629" s="2">
        <v>2</v>
      </c>
      <c r="D1629" s="2">
        <v>2020</v>
      </c>
      <c r="E1629" s="2">
        <v>148.96</v>
      </c>
      <c r="F1629" s="2">
        <v>82.04</v>
      </c>
      <c r="H1629" s="1">
        <f>_xlfn.XLOOKUP('Customer Info'!A151,'Customer Info'!A151:A250,'Customer Info'!E151:E250,0,0)</f>
        <v>0</v>
      </c>
      <c r="J1629" s="1">
        <f>_xlfn.XLOOKUP('Customer Info'!A151,'Customer Info'!A151:A250,'Customer Info'!M151:M250)</f>
        <v>0</v>
      </c>
    </row>
    <row r="1630" spans="1:10" ht="14" x14ac:dyDescent="0.2">
      <c r="A1630" s="2" t="s">
        <v>46</v>
      </c>
      <c r="B1630" s="2">
        <v>9</v>
      </c>
      <c r="C1630" s="2">
        <v>11</v>
      </c>
      <c r="D1630" s="2">
        <v>2021</v>
      </c>
      <c r="E1630" s="2">
        <v>112.5</v>
      </c>
      <c r="F1630" s="2">
        <v>81.900000000000006</v>
      </c>
      <c r="H1630" s="1">
        <f>_xlfn.XLOOKUP('Customer Info'!A1483,'Customer Info'!A1483:A1582,'Customer Info'!E1483:E1582,0,0)</f>
        <v>0</v>
      </c>
      <c r="J1630" s="1">
        <f>_xlfn.XLOOKUP('Customer Info'!A1483,'Customer Info'!A1483:A1582,'Customer Info'!M1483:M1582)</f>
        <v>0</v>
      </c>
    </row>
    <row r="1631" spans="1:10" ht="14" x14ac:dyDescent="0.2">
      <c r="A1631" s="2" t="s">
        <v>41</v>
      </c>
      <c r="B1631" s="2">
        <v>15</v>
      </c>
      <c r="C1631" s="2">
        <v>11</v>
      </c>
      <c r="D1631" s="2">
        <v>2021</v>
      </c>
      <c r="E1631" s="2">
        <v>112.2</v>
      </c>
      <c r="F1631" s="2">
        <v>81.900000000000006</v>
      </c>
      <c r="H1631" s="1">
        <f>_xlfn.XLOOKUP('Customer Info'!A1484,'Customer Info'!A1484:A1583,'Customer Info'!E1484:E1583,0,0)</f>
        <v>0</v>
      </c>
      <c r="J1631" s="1">
        <f>_xlfn.XLOOKUP('Customer Info'!A1484,'Customer Info'!A1484:A1583,'Customer Info'!M1484:M1583)</f>
        <v>0</v>
      </c>
    </row>
    <row r="1632" spans="1:10" ht="14" hidden="1" x14ac:dyDescent="0.2">
      <c r="A1632" s="2" t="s">
        <v>86</v>
      </c>
      <c r="B1632" s="2">
        <v>6</v>
      </c>
      <c r="C1632" s="2">
        <v>6</v>
      </c>
      <c r="D1632" s="2">
        <v>2020</v>
      </c>
      <c r="E1632" s="2">
        <v>48.6</v>
      </c>
      <c r="F1632" s="2">
        <v>81.900000000000006</v>
      </c>
      <c r="H1632" s="1">
        <f>_xlfn.XLOOKUP('Customer Info'!A655,'Customer Info'!A655:A754,'Customer Info'!E655:E754,0,0)</f>
        <v>0</v>
      </c>
      <c r="J1632" s="1">
        <f>_xlfn.XLOOKUP('Customer Info'!A655,'Customer Info'!A655:A754,'Customer Info'!M655:M754)</f>
        <v>0</v>
      </c>
    </row>
    <row r="1633" spans="1:10" ht="14" hidden="1" x14ac:dyDescent="0.2">
      <c r="A1633" s="2" t="s">
        <v>57</v>
      </c>
      <c r="B1633" s="2">
        <v>17</v>
      </c>
      <c r="C1633" s="2">
        <v>1</v>
      </c>
      <c r="D1633" s="2">
        <v>2020</v>
      </c>
      <c r="E1633" s="2">
        <v>109.12</v>
      </c>
      <c r="F1633" s="2">
        <v>81.84</v>
      </c>
      <c r="H1633" s="1">
        <f>_xlfn.XLOOKUP('Customer Info'!A266,'Customer Info'!A266:A365,'Customer Info'!E266:E365,0,0)</f>
        <v>0</v>
      </c>
      <c r="J1633" s="1">
        <f>_xlfn.XLOOKUP('Customer Info'!A266,'Customer Info'!A266:A365,'Customer Info'!M266:M365)</f>
        <v>0</v>
      </c>
    </row>
    <row r="1634" spans="1:10" ht="14" x14ac:dyDescent="0.2">
      <c r="A1634" s="2" t="s">
        <v>60</v>
      </c>
      <c r="B1634" s="2">
        <v>20</v>
      </c>
      <c r="C1634" s="2">
        <v>1</v>
      </c>
      <c r="D1634" s="2">
        <v>2021</v>
      </c>
      <c r="E1634" s="2">
        <v>104.78</v>
      </c>
      <c r="F1634" s="2">
        <v>81.84</v>
      </c>
      <c r="H1634" s="1">
        <f>_xlfn.XLOOKUP('Customer Info'!A1529,'Customer Info'!A1529:A1628,'Customer Info'!E1529:E1628,0,0)</f>
        <v>0</v>
      </c>
      <c r="J1634" s="1">
        <f>_xlfn.XLOOKUP('Customer Info'!A1529,'Customer Info'!A1529:A1628,'Customer Info'!M1529:M1628)</f>
        <v>0</v>
      </c>
    </row>
    <row r="1635" spans="1:10" ht="14" x14ac:dyDescent="0.2">
      <c r="A1635" s="2" t="s">
        <v>47</v>
      </c>
      <c r="B1635" s="2">
        <v>19</v>
      </c>
      <c r="C1635" s="2">
        <v>1</v>
      </c>
      <c r="D1635" s="2">
        <v>2021</v>
      </c>
      <c r="E1635" s="2">
        <v>104.47</v>
      </c>
      <c r="F1635" s="2">
        <v>81.84</v>
      </c>
      <c r="H1635" s="1">
        <f>_xlfn.XLOOKUP('Customer Info'!A1531,'Customer Info'!A1531:A1630,'Customer Info'!E1531:E1630,0,0)</f>
        <v>0</v>
      </c>
      <c r="J1635" s="1">
        <f>_xlfn.XLOOKUP('Customer Info'!A1531,'Customer Info'!A1531:A1630,'Customer Info'!M1531:M1630)</f>
        <v>0</v>
      </c>
    </row>
    <row r="1636" spans="1:10" ht="14" x14ac:dyDescent="0.2">
      <c r="A1636" s="2" t="s">
        <v>35</v>
      </c>
      <c r="B1636" s="2">
        <v>9</v>
      </c>
      <c r="C1636" s="2">
        <v>3</v>
      </c>
      <c r="D1636" s="2">
        <v>2021</v>
      </c>
      <c r="E1636" s="2">
        <v>56.73</v>
      </c>
      <c r="F1636" s="2">
        <v>81.84</v>
      </c>
      <c r="H1636" s="1">
        <f>_xlfn.XLOOKUP('Customer Info'!A1823,'Customer Info'!A1823:A1922,'Customer Info'!E1823:E1922,0,0)</f>
        <v>0</v>
      </c>
      <c r="J1636" s="1">
        <f>_xlfn.XLOOKUP('Customer Info'!A1823,'Customer Info'!A1823:A1922,'Customer Info'!M1823:M1922)</f>
        <v>0</v>
      </c>
    </row>
    <row r="1637" spans="1:10" ht="14" hidden="1" x14ac:dyDescent="0.2">
      <c r="A1637" s="2" t="s">
        <v>60</v>
      </c>
      <c r="B1637" s="2">
        <v>20</v>
      </c>
      <c r="C1637" s="2">
        <v>8</v>
      </c>
      <c r="D1637" s="2">
        <v>2020</v>
      </c>
      <c r="E1637" s="2">
        <v>35.65</v>
      </c>
      <c r="F1637" s="2">
        <v>81.84</v>
      </c>
      <c r="H1637" s="1">
        <f>_xlfn.XLOOKUP('Customer Info'!A782,'Customer Info'!A782:A881,'Customer Info'!E782:E881,0,0)</f>
        <v>0</v>
      </c>
      <c r="J1637" s="1">
        <f>_xlfn.XLOOKUP('Customer Info'!A782,'Customer Info'!A782:A881,'Customer Info'!M782:M881)</f>
        <v>0</v>
      </c>
    </row>
    <row r="1638" spans="1:10" ht="14" hidden="1" x14ac:dyDescent="0.2">
      <c r="A1638" s="2" t="s">
        <v>35</v>
      </c>
      <c r="B1638" s="2">
        <v>9</v>
      </c>
      <c r="C1638" s="2">
        <v>8</v>
      </c>
      <c r="D1638" s="2">
        <v>2020</v>
      </c>
      <c r="E1638" s="2">
        <v>24.49</v>
      </c>
      <c r="F1638" s="2">
        <v>81.84</v>
      </c>
      <c r="H1638" s="1">
        <f>_xlfn.XLOOKUP('Customer Info'!A855,'Customer Info'!A855:A954,'Customer Info'!E855:E954,0,0)</f>
        <v>0</v>
      </c>
      <c r="J1638" s="1">
        <f>_xlfn.XLOOKUP('Customer Info'!A855,'Customer Info'!A855:A954,'Customer Info'!M855:M954)</f>
        <v>0</v>
      </c>
    </row>
    <row r="1639" spans="1:10" ht="14" hidden="1" x14ac:dyDescent="0.2">
      <c r="A1639" s="2" t="s">
        <v>96</v>
      </c>
      <c r="B1639" s="2">
        <v>3</v>
      </c>
      <c r="C1639" s="2">
        <v>2</v>
      </c>
      <c r="D1639" s="2">
        <v>2020</v>
      </c>
      <c r="E1639" s="1" t="s">
        <v>94</v>
      </c>
      <c r="F1639" s="2">
        <v>81.760000000000005</v>
      </c>
      <c r="H1639" s="1">
        <f>_xlfn.XLOOKUP('Customer Info'!A119,'Customer Info'!A119:A218,'Customer Info'!E119:E218,0,0)</f>
        <v>0</v>
      </c>
      <c r="J1639" s="1">
        <f>_xlfn.XLOOKUP('Customer Info'!A119,'Customer Info'!A119:A218,'Customer Info'!M119:M218)</f>
        <v>0</v>
      </c>
    </row>
    <row r="1640" spans="1:10" ht="14" hidden="1" x14ac:dyDescent="0.2">
      <c r="A1640" s="2" t="s">
        <v>87</v>
      </c>
      <c r="B1640" s="2">
        <v>1</v>
      </c>
      <c r="C1640" s="2">
        <v>2</v>
      </c>
      <c r="D1640" s="2">
        <v>2020</v>
      </c>
      <c r="E1640" s="2">
        <v>116.76</v>
      </c>
      <c r="F1640" s="2">
        <v>81.760000000000005</v>
      </c>
      <c r="H1640" s="1">
        <f>_xlfn.XLOOKUP('Customer Info'!A220,'Customer Info'!A220:A319,'Customer Info'!E220:E319,0,0)</f>
        <v>0</v>
      </c>
      <c r="J1640" s="1">
        <f>_xlfn.XLOOKUP('Customer Info'!A220,'Customer Info'!A220:A319,'Customer Info'!M220:M319)</f>
        <v>0</v>
      </c>
    </row>
    <row r="1641" spans="1:10" ht="14" x14ac:dyDescent="0.2">
      <c r="A1641" s="2" t="s">
        <v>54</v>
      </c>
      <c r="B1641" s="2">
        <v>5</v>
      </c>
      <c r="C1641" s="2">
        <v>2</v>
      </c>
      <c r="D1641" s="2">
        <v>2021</v>
      </c>
      <c r="E1641" s="2">
        <v>96.32</v>
      </c>
      <c r="F1641" s="2">
        <v>81.760000000000005</v>
      </c>
      <c r="H1641" s="1">
        <f>_xlfn.XLOOKUP('Customer Info'!A1572,'Customer Info'!A1572:A1671,'Customer Info'!E1572:E1671,0,0)</f>
        <v>0</v>
      </c>
      <c r="J1641" s="1">
        <f>_xlfn.XLOOKUP('Customer Info'!A1572,'Customer Info'!A1572:A1671,'Customer Info'!M1572:M1671)</f>
        <v>0</v>
      </c>
    </row>
    <row r="1642" spans="1:10" ht="14" x14ac:dyDescent="0.2">
      <c r="A1642" s="2" t="s">
        <v>54</v>
      </c>
      <c r="B1642" s="2">
        <v>5</v>
      </c>
      <c r="C1642" s="2">
        <v>9</v>
      </c>
      <c r="D1642" s="2">
        <v>2021</v>
      </c>
      <c r="E1642" s="2">
        <v>51.9</v>
      </c>
      <c r="F1642" s="2">
        <v>81.599999999999994</v>
      </c>
      <c r="H1642" s="1">
        <f>_xlfn.XLOOKUP('Customer Info'!A1853,'Customer Info'!A1853:A1952,'Customer Info'!E1853:E1952,0,0)</f>
        <v>0</v>
      </c>
      <c r="J1642" s="1">
        <f>_xlfn.XLOOKUP('Customer Info'!A1853,'Customer Info'!A1853:A1952,'Customer Info'!M1853:M1952)</f>
        <v>0</v>
      </c>
    </row>
    <row r="1643" spans="1:10" ht="14" hidden="1" x14ac:dyDescent="0.2">
      <c r="A1643" s="2" t="s">
        <v>41</v>
      </c>
      <c r="B1643" s="2">
        <v>15</v>
      </c>
      <c r="C1643" s="2">
        <v>9</v>
      </c>
      <c r="D1643" s="2">
        <v>2020</v>
      </c>
      <c r="E1643" s="2">
        <v>37.799999999999997</v>
      </c>
      <c r="F1643" s="2">
        <v>81.599999999999994</v>
      </c>
      <c r="H1643" s="1">
        <f>_xlfn.XLOOKUP('Customer Info'!A755,'Customer Info'!A755:A854,'Customer Info'!E755:E854,0,0)</f>
        <v>0</v>
      </c>
      <c r="J1643" s="1">
        <f>_xlfn.XLOOKUP('Customer Info'!A755,'Customer Info'!A755:A854,'Customer Info'!M755:M854)</f>
        <v>0</v>
      </c>
    </row>
    <row r="1644" spans="1:10" ht="14" x14ac:dyDescent="0.2">
      <c r="A1644" s="2" t="s">
        <v>41</v>
      </c>
      <c r="B1644" s="2">
        <v>15</v>
      </c>
      <c r="C1644" s="2">
        <v>6</v>
      </c>
      <c r="D1644" s="2">
        <v>2021</v>
      </c>
      <c r="E1644" s="2">
        <v>21.6</v>
      </c>
      <c r="F1644" s="2">
        <v>81.599999999999994</v>
      </c>
      <c r="H1644" s="1">
        <f>_xlfn.XLOOKUP('Customer Info'!A2062,'Customer Info'!A2062:A2161,'Customer Info'!E2062:E2161,0,0)</f>
        <v>0</v>
      </c>
      <c r="J1644" s="1">
        <f>_xlfn.XLOOKUP('Customer Info'!A2062,'Customer Info'!A2062:A2161,'Customer Info'!M2062:M2161)</f>
        <v>0</v>
      </c>
    </row>
    <row r="1645" spans="1:10" ht="14" x14ac:dyDescent="0.2">
      <c r="A1645" s="2" t="s">
        <v>0</v>
      </c>
      <c r="B1645" s="2">
        <v>25</v>
      </c>
      <c r="C1645" s="2">
        <v>7</v>
      </c>
      <c r="D1645" s="2">
        <v>2021</v>
      </c>
      <c r="E1645" s="1" t="s">
        <v>94</v>
      </c>
      <c r="F1645" s="2">
        <v>81.53</v>
      </c>
      <c r="H1645" s="1">
        <f>_xlfn.XLOOKUP('Customer Info'!A1307,'Customer Info'!A1307:A1406,'Customer Info'!E1307:E1406,0,0)</f>
        <v>0</v>
      </c>
      <c r="J1645" s="1">
        <f>_xlfn.XLOOKUP('Customer Info'!A1307,'Customer Info'!A1307:A1406,'Customer Info'!M1307:M1406)</f>
        <v>0</v>
      </c>
    </row>
    <row r="1646" spans="1:10" ht="14" x14ac:dyDescent="0.2">
      <c r="A1646" s="2" t="s">
        <v>91</v>
      </c>
      <c r="B1646" s="2">
        <v>5</v>
      </c>
      <c r="C1646" s="2">
        <v>12</v>
      </c>
      <c r="D1646" s="2">
        <v>2021</v>
      </c>
      <c r="E1646" s="2">
        <v>154.07</v>
      </c>
      <c r="F1646" s="2">
        <v>81.53</v>
      </c>
      <c r="H1646" s="1">
        <f>_xlfn.XLOOKUP('Customer Info'!A1347,'Customer Info'!A1347:A1446,'Customer Info'!E1347:E1446,0,0)</f>
        <v>0</v>
      </c>
      <c r="J1646" s="1">
        <f>_xlfn.XLOOKUP('Customer Info'!A1347,'Customer Info'!A1347:A1446,'Customer Info'!M1347:M1446)</f>
        <v>0</v>
      </c>
    </row>
    <row r="1647" spans="1:10" ht="14" hidden="1" x14ac:dyDescent="0.2">
      <c r="A1647" s="2" t="s">
        <v>55</v>
      </c>
      <c r="B1647" s="2">
        <v>18</v>
      </c>
      <c r="C1647" s="2">
        <v>1</v>
      </c>
      <c r="D1647" s="2">
        <v>2020</v>
      </c>
      <c r="E1647" s="2">
        <v>114.08</v>
      </c>
      <c r="F1647" s="2">
        <v>81.53</v>
      </c>
      <c r="H1647" s="1">
        <f>_xlfn.XLOOKUP('Customer Info'!A238,'Customer Info'!A238:A337,'Customer Info'!E238:E337,0,0)</f>
        <v>0</v>
      </c>
      <c r="J1647" s="1">
        <f>_xlfn.XLOOKUP('Customer Info'!A238,'Customer Info'!A238:A337,'Customer Info'!M238:M337)</f>
        <v>0</v>
      </c>
    </row>
    <row r="1648" spans="1:10" ht="14" hidden="1" x14ac:dyDescent="0.2">
      <c r="A1648" s="2" t="s">
        <v>36</v>
      </c>
      <c r="B1648" s="2">
        <v>12</v>
      </c>
      <c r="C1648" s="2">
        <v>12</v>
      </c>
      <c r="D1648" s="2">
        <v>2020</v>
      </c>
      <c r="E1648" s="2">
        <v>101.68</v>
      </c>
      <c r="F1648" s="2">
        <v>81.53</v>
      </c>
      <c r="H1648" s="1">
        <f>_xlfn.XLOOKUP('Customer Info'!A319,'Customer Info'!A319:A418,'Customer Info'!E319:E418,0,0)</f>
        <v>0</v>
      </c>
      <c r="J1648" s="1">
        <f>_xlfn.XLOOKUP('Customer Info'!A319,'Customer Info'!A319:A418,'Customer Info'!M319:M418)</f>
        <v>0</v>
      </c>
    </row>
    <row r="1649" spans="1:10" ht="14" hidden="1" x14ac:dyDescent="0.2">
      <c r="A1649" s="2" t="s">
        <v>84</v>
      </c>
      <c r="B1649" s="2">
        <v>20</v>
      </c>
      <c r="C1649" s="2">
        <v>3</v>
      </c>
      <c r="D1649" s="2">
        <v>2020</v>
      </c>
      <c r="E1649" s="2">
        <v>97.65</v>
      </c>
      <c r="F1649" s="2">
        <v>81.53</v>
      </c>
      <c r="H1649" s="1">
        <f>_xlfn.XLOOKUP('Customer Info'!A350,'Customer Info'!A350:A449,'Customer Info'!E350:E449,0,0)</f>
        <v>0</v>
      </c>
      <c r="J1649" s="1">
        <f>_xlfn.XLOOKUP('Customer Info'!A350,'Customer Info'!A350:A449,'Customer Info'!M350:M449)</f>
        <v>0</v>
      </c>
    </row>
    <row r="1650" spans="1:10" ht="14" x14ac:dyDescent="0.2">
      <c r="A1650" s="2" t="s">
        <v>75</v>
      </c>
      <c r="B1650" s="2">
        <v>2</v>
      </c>
      <c r="C1650" s="2">
        <v>5</v>
      </c>
      <c r="D1650" s="2">
        <v>2021</v>
      </c>
      <c r="E1650" s="2">
        <v>47.12</v>
      </c>
      <c r="F1650" s="2">
        <v>81.53</v>
      </c>
      <c r="H1650" s="1">
        <f>_xlfn.XLOOKUP('Customer Info'!A1889,'Customer Info'!A1889:A1988,'Customer Info'!E1889:E1988,0,0)</f>
        <v>0</v>
      </c>
      <c r="J1650" s="1">
        <f>_xlfn.XLOOKUP('Customer Info'!A1889,'Customer Info'!A1889:A1988,'Customer Info'!M1889:M1988)</f>
        <v>0</v>
      </c>
    </row>
    <row r="1651" spans="1:10" ht="14" hidden="1" x14ac:dyDescent="0.2">
      <c r="A1651" s="2" t="s">
        <v>59</v>
      </c>
      <c r="B1651" s="2">
        <v>11</v>
      </c>
      <c r="C1651" s="2">
        <v>5</v>
      </c>
      <c r="D1651" s="2">
        <v>2020</v>
      </c>
      <c r="E1651" s="2">
        <v>44.95</v>
      </c>
      <c r="F1651" s="2">
        <v>81.53</v>
      </c>
      <c r="H1651" s="1">
        <f>_xlfn.XLOOKUP('Customer Info'!A686,'Customer Info'!A686:A785,'Customer Info'!E686:E785,0,0)</f>
        <v>0</v>
      </c>
      <c r="J1651" s="1">
        <f>_xlfn.XLOOKUP('Customer Info'!A686,'Customer Info'!A686:A785,'Customer Info'!M686:M785)</f>
        <v>0</v>
      </c>
    </row>
    <row r="1652" spans="1:10" ht="14" hidden="1" x14ac:dyDescent="0.2">
      <c r="A1652" s="2" t="s">
        <v>63</v>
      </c>
      <c r="B1652" s="2">
        <v>25</v>
      </c>
      <c r="C1652" s="2">
        <v>8</v>
      </c>
      <c r="D1652" s="2">
        <v>2020</v>
      </c>
      <c r="E1652" s="2">
        <v>42.78</v>
      </c>
      <c r="F1652" s="2">
        <v>81.53</v>
      </c>
      <c r="H1652" s="1">
        <f>_xlfn.XLOOKUP('Customer Info'!A711,'Customer Info'!A711:A810,'Customer Info'!E711:E810,0,0)</f>
        <v>0</v>
      </c>
      <c r="J1652" s="1">
        <f>_xlfn.XLOOKUP('Customer Info'!A711,'Customer Info'!A711:A810,'Customer Info'!M711:M810)</f>
        <v>0</v>
      </c>
    </row>
    <row r="1653" spans="1:10" ht="14" x14ac:dyDescent="0.2">
      <c r="A1653" s="2" t="s">
        <v>53</v>
      </c>
      <c r="B1653" s="2">
        <v>18</v>
      </c>
      <c r="C1653" s="2">
        <v>7</v>
      </c>
      <c r="D1653" s="2">
        <v>2021</v>
      </c>
      <c r="E1653" s="2">
        <v>32.24</v>
      </c>
      <c r="F1653" s="2">
        <v>81.53</v>
      </c>
      <c r="H1653" s="1">
        <f>_xlfn.XLOOKUP('Customer Info'!A2005,'Customer Info'!A2005:A2104,'Customer Info'!E2005:E2104,0,0)</f>
        <v>0</v>
      </c>
      <c r="J1653" s="1">
        <f>_xlfn.XLOOKUP('Customer Info'!A2005,'Customer Info'!A2005:A2104,'Customer Info'!M2005:M2104)</f>
        <v>0</v>
      </c>
    </row>
    <row r="1654" spans="1:10" ht="14" x14ac:dyDescent="0.2">
      <c r="A1654" s="2" t="s">
        <v>39</v>
      </c>
      <c r="B1654" s="2">
        <v>22</v>
      </c>
      <c r="C1654" s="2">
        <v>8</v>
      </c>
      <c r="D1654" s="2">
        <v>2021</v>
      </c>
      <c r="E1654" s="2">
        <v>29.45</v>
      </c>
      <c r="F1654" s="2">
        <v>81.53</v>
      </c>
      <c r="H1654" s="1">
        <f>_xlfn.XLOOKUP('Customer Info'!A2022,'Customer Info'!A2022:A2121,'Customer Info'!E2022:E2121,0,0)</f>
        <v>0</v>
      </c>
      <c r="J1654" s="1">
        <f>_xlfn.XLOOKUP('Customer Info'!A2022,'Customer Info'!A2022:A2121,'Customer Info'!M2022:M2121)</f>
        <v>0</v>
      </c>
    </row>
    <row r="1655" spans="1:10" ht="14" x14ac:dyDescent="0.2">
      <c r="A1655" s="2" t="s">
        <v>93</v>
      </c>
      <c r="B1655" s="2">
        <v>3</v>
      </c>
      <c r="C1655" s="2">
        <v>2</v>
      </c>
      <c r="D1655" s="2">
        <v>2021</v>
      </c>
      <c r="E1655" s="2">
        <v>137.47999999999999</v>
      </c>
      <c r="F1655" s="2">
        <v>81.48</v>
      </c>
      <c r="H1655" s="1">
        <f>_xlfn.XLOOKUP('Customer Info'!A1370,'Customer Info'!A1370:A1469,'Customer Info'!E1370:E1469,0,0)</f>
        <v>0</v>
      </c>
      <c r="J1655" s="1">
        <f>_xlfn.XLOOKUP('Customer Info'!A1370,'Customer Info'!A1370:A1469,'Customer Info'!M1370:M1469)</f>
        <v>0</v>
      </c>
    </row>
    <row r="1656" spans="1:10" ht="14" hidden="1" x14ac:dyDescent="0.2">
      <c r="A1656" s="2" t="s">
        <v>90</v>
      </c>
      <c r="B1656" s="2">
        <v>18</v>
      </c>
      <c r="C1656" s="2">
        <v>4</v>
      </c>
      <c r="D1656" s="2">
        <v>2020</v>
      </c>
      <c r="E1656" s="2">
        <v>90.3</v>
      </c>
      <c r="F1656" s="2">
        <v>81.3</v>
      </c>
      <c r="H1656" s="1">
        <f>_xlfn.XLOOKUP('Customer Info'!A393,'Customer Info'!A393:A492,'Customer Info'!E393:E492,0,0)</f>
        <v>0</v>
      </c>
      <c r="J1656" s="1">
        <f>_xlfn.XLOOKUP('Customer Info'!A393,'Customer Info'!A393:A492,'Customer Info'!M393:M492)</f>
        <v>0</v>
      </c>
    </row>
    <row r="1657" spans="1:10" ht="14" hidden="1" x14ac:dyDescent="0.2">
      <c r="A1657" s="2" t="s">
        <v>36</v>
      </c>
      <c r="B1657" s="2">
        <v>12</v>
      </c>
      <c r="C1657" s="2">
        <v>4</v>
      </c>
      <c r="D1657" s="2">
        <v>2020</v>
      </c>
      <c r="E1657" s="2">
        <v>66.900000000000006</v>
      </c>
      <c r="F1657" s="2">
        <v>81.3</v>
      </c>
      <c r="H1657" s="1">
        <f>_xlfn.XLOOKUP('Customer Info'!A529,'Customer Info'!A529:A628,'Customer Info'!E529:E628,0,0)</f>
        <v>0</v>
      </c>
      <c r="J1657" s="1">
        <f>_xlfn.XLOOKUP('Customer Info'!A529,'Customer Info'!A529:A628,'Customer Info'!M529:M628)</f>
        <v>0</v>
      </c>
    </row>
    <row r="1658" spans="1:10" ht="14" hidden="1" x14ac:dyDescent="0.2">
      <c r="A1658" s="2" t="s">
        <v>74</v>
      </c>
      <c r="B1658" s="2">
        <v>5</v>
      </c>
      <c r="C1658" s="2">
        <v>6</v>
      </c>
      <c r="D1658" s="2">
        <v>2020</v>
      </c>
      <c r="E1658" s="2">
        <v>43.5</v>
      </c>
      <c r="F1658" s="2">
        <v>81.3</v>
      </c>
      <c r="H1658" s="1">
        <f>_xlfn.XLOOKUP('Customer Info'!A703,'Customer Info'!A703:A802,'Customer Info'!E703:E802,0,0)</f>
        <v>0</v>
      </c>
      <c r="J1658" s="1">
        <f>_xlfn.XLOOKUP('Customer Info'!A703,'Customer Info'!A703:A802,'Customer Info'!M703:M802)</f>
        <v>0</v>
      </c>
    </row>
    <row r="1659" spans="1:10" ht="14" x14ac:dyDescent="0.2">
      <c r="A1659" s="2" t="s">
        <v>74</v>
      </c>
      <c r="B1659" s="2">
        <v>5</v>
      </c>
      <c r="C1659" s="2">
        <v>6</v>
      </c>
      <c r="D1659" s="2">
        <v>2021</v>
      </c>
      <c r="E1659" s="2">
        <v>42.3</v>
      </c>
      <c r="F1659" s="2">
        <v>81.3</v>
      </c>
      <c r="H1659" s="1">
        <f>_xlfn.XLOOKUP('Customer Info'!A1928,'Customer Info'!A1928:A2027,'Customer Info'!E1928:E2027,0,0)</f>
        <v>0</v>
      </c>
      <c r="J1659" s="1">
        <f>_xlfn.XLOOKUP('Customer Info'!A1928,'Customer Info'!A1928:A2027,'Customer Info'!M1928:M2027)</f>
        <v>0</v>
      </c>
    </row>
    <row r="1660" spans="1:10" ht="14" x14ac:dyDescent="0.2">
      <c r="A1660" s="2" t="s">
        <v>66</v>
      </c>
      <c r="B1660" s="2">
        <v>23</v>
      </c>
      <c r="C1660" s="2">
        <v>1</v>
      </c>
      <c r="D1660" s="2">
        <v>2021</v>
      </c>
      <c r="E1660" s="2">
        <v>149.11000000000001</v>
      </c>
      <c r="F1660" s="2">
        <v>81.22</v>
      </c>
      <c r="H1660" s="1">
        <f>_xlfn.XLOOKUP('Customer Info'!A1352,'Customer Info'!A1352:A1451,'Customer Info'!E1352:E1451,0,0)</f>
        <v>0</v>
      </c>
      <c r="J1660" s="1">
        <f>_xlfn.XLOOKUP('Customer Info'!A1352,'Customer Info'!A1352:A1451,'Customer Info'!M1352:M1451)</f>
        <v>0</v>
      </c>
    </row>
    <row r="1661" spans="1:10" ht="14" x14ac:dyDescent="0.2">
      <c r="A1661" s="2" t="s">
        <v>81</v>
      </c>
      <c r="B1661" s="2">
        <v>19</v>
      </c>
      <c r="C1661" s="2">
        <v>1</v>
      </c>
      <c r="D1661" s="2">
        <v>2021</v>
      </c>
      <c r="E1661" s="2">
        <v>119.04</v>
      </c>
      <c r="F1661" s="2">
        <v>81.22</v>
      </c>
      <c r="H1661" s="1">
        <f>_xlfn.XLOOKUP('Customer Info'!A1445,'Customer Info'!A1445:A1544,'Customer Info'!E1445:E1544,0,0)</f>
        <v>0</v>
      </c>
      <c r="J1661" s="1">
        <f>_xlfn.XLOOKUP('Customer Info'!A1445,'Customer Info'!A1445:A1544,'Customer Info'!M1445:M1544)</f>
        <v>0</v>
      </c>
    </row>
    <row r="1662" spans="1:10" ht="14" x14ac:dyDescent="0.2">
      <c r="A1662" s="2" t="s">
        <v>85</v>
      </c>
      <c r="B1662" s="2">
        <v>3</v>
      </c>
      <c r="C1662" s="2">
        <v>10</v>
      </c>
      <c r="D1662" s="2">
        <v>2021</v>
      </c>
      <c r="E1662" s="2">
        <v>102.3</v>
      </c>
      <c r="F1662" s="2">
        <v>81.22</v>
      </c>
      <c r="H1662" s="1">
        <f>_xlfn.XLOOKUP('Customer Info'!A1544,'Customer Info'!A1544:A1643,'Customer Info'!E1544:E1643,0,0)</f>
        <v>0</v>
      </c>
      <c r="J1662" s="1">
        <f>_xlfn.XLOOKUP('Customer Info'!A1544,'Customer Info'!A1544:A1643,'Customer Info'!M1544:M1643)</f>
        <v>0</v>
      </c>
    </row>
    <row r="1663" spans="1:10" ht="14" hidden="1" x14ac:dyDescent="0.2">
      <c r="A1663" s="2" t="s">
        <v>69</v>
      </c>
      <c r="B1663" s="2">
        <v>12</v>
      </c>
      <c r="C1663" s="2">
        <v>3</v>
      </c>
      <c r="D1663" s="2">
        <v>2020</v>
      </c>
      <c r="E1663" s="2">
        <v>69.75</v>
      </c>
      <c r="F1663" s="2">
        <v>81.22</v>
      </c>
      <c r="H1663" s="1">
        <f>_xlfn.XLOOKUP('Customer Info'!A507,'Customer Info'!A507:A606,'Customer Info'!E507:E606,0,0)</f>
        <v>0</v>
      </c>
      <c r="J1663" s="1">
        <f>_xlfn.XLOOKUP('Customer Info'!A507,'Customer Info'!A507:A606,'Customer Info'!M507:M606)</f>
        <v>0</v>
      </c>
    </row>
    <row r="1664" spans="1:10" ht="14" hidden="1" x14ac:dyDescent="0.2">
      <c r="A1664" s="2" t="s">
        <v>80</v>
      </c>
      <c r="B1664" s="2">
        <v>12</v>
      </c>
      <c r="C1664" s="2">
        <v>5</v>
      </c>
      <c r="D1664" s="2">
        <v>2020</v>
      </c>
      <c r="E1664" s="2">
        <v>62.62</v>
      </c>
      <c r="F1664" s="2">
        <v>81.22</v>
      </c>
      <c r="H1664" s="1">
        <f>_xlfn.XLOOKUP('Customer Info'!A566,'Customer Info'!A566:A665,'Customer Info'!E566:E665,0,0)</f>
        <v>0</v>
      </c>
      <c r="J1664" s="1">
        <f>_xlfn.XLOOKUP('Customer Info'!A566,'Customer Info'!A566:A665,'Customer Info'!M566:M665)</f>
        <v>0</v>
      </c>
    </row>
    <row r="1665" spans="1:10" ht="14" x14ac:dyDescent="0.2">
      <c r="A1665" s="2" t="s">
        <v>41</v>
      </c>
      <c r="B1665" s="2">
        <v>15</v>
      </c>
      <c r="C1665" s="2">
        <v>2</v>
      </c>
      <c r="D1665" s="2">
        <v>2021</v>
      </c>
      <c r="E1665" s="2">
        <v>117.88</v>
      </c>
      <c r="F1665" s="2">
        <v>81.2</v>
      </c>
      <c r="H1665" s="1">
        <f>_xlfn.XLOOKUP('Customer Info'!A1450,'Customer Info'!A1450:A1549,'Customer Info'!E1450:E1549,0,0)</f>
        <v>0</v>
      </c>
      <c r="J1665" s="1">
        <f>_xlfn.XLOOKUP('Customer Info'!A1450,'Customer Info'!A1450:A1549,'Customer Info'!M1450:M1549)</f>
        <v>0</v>
      </c>
    </row>
    <row r="1666" spans="1:10" ht="14" x14ac:dyDescent="0.2">
      <c r="A1666" s="2" t="s">
        <v>81</v>
      </c>
      <c r="B1666" s="2">
        <v>19</v>
      </c>
      <c r="C1666" s="2">
        <v>6</v>
      </c>
      <c r="D1666" s="2">
        <v>2021</v>
      </c>
      <c r="E1666" s="2">
        <v>56.4</v>
      </c>
      <c r="F1666" s="2">
        <v>81</v>
      </c>
      <c r="H1666" s="1">
        <f>_xlfn.XLOOKUP('Customer Info'!A1827,'Customer Info'!A1827:A1926,'Customer Info'!E1827:E1926,0,0)</f>
        <v>0</v>
      </c>
      <c r="J1666" s="1">
        <f>_xlfn.XLOOKUP('Customer Info'!A1827,'Customer Info'!A1827:A1926,'Customer Info'!M1827:M1926)</f>
        <v>0</v>
      </c>
    </row>
    <row r="1667" spans="1:10" ht="14" x14ac:dyDescent="0.2">
      <c r="A1667" s="2" t="s">
        <v>59</v>
      </c>
      <c r="B1667" s="2">
        <v>11</v>
      </c>
      <c r="C1667" s="2">
        <v>9</v>
      </c>
      <c r="D1667" s="2">
        <v>2021</v>
      </c>
      <c r="E1667" s="2">
        <v>45</v>
      </c>
      <c r="F1667" s="2">
        <v>81</v>
      </c>
      <c r="H1667" s="1">
        <f>_xlfn.XLOOKUP('Customer Info'!A1905,'Customer Info'!A1905:A2004,'Customer Info'!E1905:E2004,0,0)</f>
        <v>0</v>
      </c>
      <c r="J1667" s="1">
        <f>_xlfn.XLOOKUP('Customer Info'!A1905,'Customer Info'!A1905:A2004,'Customer Info'!M1905:M2004)</f>
        <v>0</v>
      </c>
    </row>
    <row r="1668" spans="1:10" ht="14" hidden="1" x14ac:dyDescent="0.2">
      <c r="A1668" s="2" t="s">
        <v>48</v>
      </c>
      <c r="B1668" s="2">
        <v>24</v>
      </c>
      <c r="C1668" s="2">
        <v>6</v>
      </c>
      <c r="D1668" s="2">
        <v>2020</v>
      </c>
      <c r="E1668" s="2">
        <v>28.8</v>
      </c>
      <c r="F1668" s="2">
        <v>81</v>
      </c>
      <c r="H1668" s="1">
        <f>_xlfn.XLOOKUP('Customer Info'!A829,'Customer Info'!A829:A928,'Customer Info'!E829:E928,0,0)</f>
        <v>0</v>
      </c>
      <c r="J1668" s="1">
        <f>_xlfn.XLOOKUP('Customer Info'!A829,'Customer Info'!A829:A928,'Customer Info'!M829:M928)</f>
        <v>0</v>
      </c>
    </row>
    <row r="1669" spans="1:10" ht="14" x14ac:dyDescent="0.2">
      <c r="A1669" s="2" t="s">
        <v>44</v>
      </c>
      <c r="B1669" s="2">
        <v>1</v>
      </c>
      <c r="C1669" s="2">
        <v>6</v>
      </c>
      <c r="D1669" s="2">
        <v>2021</v>
      </c>
      <c r="E1669" s="2">
        <v>28.5</v>
      </c>
      <c r="F1669" s="2">
        <v>81</v>
      </c>
      <c r="H1669" s="1">
        <f>_xlfn.XLOOKUP('Customer Info'!A2031,'Customer Info'!A2031:A2130,'Customer Info'!E2031:E2130,0,0)</f>
        <v>0</v>
      </c>
      <c r="J1669" s="1">
        <f>_xlfn.XLOOKUP('Customer Info'!A2031,'Customer Info'!A2031:A2130,'Customer Info'!M2031:M2130)</f>
        <v>0</v>
      </c>
    </row>
    <row r="1670" spans="1:10" ht="14" x14ac:dyDescent="0.2">
      <c r="A1670" s="2" t="s">
        <v>59</v>
      </c>
      <c r="B1670" s="2">
        <v>11</v>
      </c>
      <c r="C1670" s="2">
        <v>12</v>
      </c>
      <c r="D1670" s="2">
        <v>2021</v>
      </c>
      <c r="E1670" s="2">
        <v>135.78</v>
      </c>
      <c r="F1670" s="2">
        <v>80.91</v>
      </c>
      <c r="H1670" s="1">
        <f>_xlfn.XLOOKUP('Customer Info'!A1375,'Customer Info'!A1375:A1474,'Customer Info'!E1375:E1474,0,0)</f>
        <v>0</v>
      </c>
      <c r="J1670" s="1">
        <f>_xlfn.XLOOKUP('Customer Info'!A1375,'Customer Info'!A1375:A1474,'Customer Info'!M1375:M1474)</f>
        <v>0</v>
      </c>
    </row>
    <row r="1671" spans="1:10" ht="14" x14ac:dyDescent="0.2">
      <c r="A1671" s="2" t="s">
        <v>91</v>
      </c>
      <c r="B1671" s="2">
        <v>5</v>
      </c>
      <c r="C1671" s="2">
        <v>1</v>
      </c>
      <c r="D1671" s="2">
        <v>2021</v>
      </c>
      <c r="E1671" s="2">
        <v>132.68</v>
      </c>
      <c r="F1671" s="2">
        <v>80.91</v>
      </c>
      <c r="H1671" s="1">
        <f>_xlfn.XLOOKUP('Customer Info'!A1392,'Customer Info'!A1392:A1491,'Customer Info'!E1392:E1491,0,0)</f>
        <v>0</v>
      </c>
      <c r="J1671" s="1">
        <f>_xlfn.XLOOKUP('Customer Info'!A1392,'Customer Info'!A1392:A1491,'Customer Info'!M1392:M1491)</f>
        <v>0</v>
      </c>
    </row>
    <row r="1672" spans="1:10" ht="14" x14ac:dyDescent="0.2">
      <c r="A1672" s="2" t="s">
        <v>40</v>
      </c>
      <c r="B1672" s="2">
        <v>15</v>
      </c>
      <c r="C1672" s="2">
        <v>1</v>
      </c>
      <c r="D1672" s="2">
        <v>2021</v>
      </c>
      <c r="E1672" s="2">
        <v>105.4</v>
      </c>
      <c r="F1672" s="2">
        <v>80.91</v>
      </c>
      <c r="H1672" s="1">
        <f>_xlfn.XLOOKUP('Customer Info'!A1527,'Customer Info'!A1527:A1626,'Customer Info'!E1527:E1626,0,0)</f>
        <v>0</v>
      </c>
      <c r="J1672" s="1">
        <f>_xlfn.XLOOKUP('Customer Info'!A1527,'Customer Info'!A1527:A1626,'Customer Info'!M1527:M1626)</f>
        <v>0</v>
      </c>
    </row>
    <row r="1673" spans="1:10" ht="14" hidden="1" x14ac:dyDescent="0.2">
      <c r="A1673" s="2" t="s">
        <v>55</v>
      </c>
      <c r="B1673" s="2">
        <v>18</v>
      </c>
      <c r="C1673" s="2">
        <v>10</v>
      </c>
      <c r="D1673" s="2">
        <v>2020</v>
      </c>
      <c r="E1673" s="2">
        <v>71.92</v>
      </c>
      <c r="F1673" s="2">
        <v>80.91</v>
      </c>
      <c r="H1673" s="1">
        <f>_xlfn.XLOOKUP('Customer Info'!A487,'Customer Info'!A487:A586,'Customer Info'!E487:E586,0,0)</f>
        <v>0</v>
      </c>
      <c r="J1673" s="1">
        <f>_xlfn.XLOOKUP('Customer Info'!A487,'Customer Info'!A487:A586,'Customer Info'!M487:M586)</f>
        <v>0</v>
      </c>
    </row>
    <row r="1674" spans="1:10" ht="14" x14ac:dyDescent="0.2">
      <c r="A1674" s="2" t="s">
        <v>85</v>
      </c>
      <c r="B1674" s="2">
        <v>3</v>
      </c>
      <c r="C1674" s="2">
        <v>7</v>
      </c>
      <c r="D1674" s="2">
        <v>2021</v>
      </c>
      <c r="E1674" s="2">
        <v>68.510000000000005</v>
      </c>
      <c r="F1674" s="2">
        <v>80.91</v>
      </c>
      <c r="H1674" s="1">
        <f>_xlfn.XLOOKUP('Customer Info'!A1744,'Customer Info'!A1744:A1843,'Customer Info'!E1744:E1843,0,0)</f>
        <v>0</v>
      </c>
      <c r="J1674" s="1">
        <f>_xlfn.XLOOKUP('Customer Info'!A1744,'Customer Info'!A1744:A1843,'Customer Info'!M1744:M1843)</f>
        <v>0</v>
      </c>
    </row>
    <row r="1675" spans="1:10" ht="14" x14ac:dyDescent="0.2">
      <c r="A1675" s="2" t="s">
        <v>53</v>
      </c>
      <c r="B1675" s="2">
        <v>18</v>
      </c>
      <c r="C1675" s="2">
        <v>10</v>
      </c>
      <c r="D1675" s="2">
        <v>2021</v>
      </c>
      <c r="E1675" s="2">
        <v>63.24</v>
      </c>
      <c r="F1675" s="2">
        <v>80.91</v>
      </c>
      <c r="H1675" s="1">
        <f>_xlfn.XLOOKUP('Customer Info'!A1786,'Customer Info'!A1786:A1885,'Customer Info'!E1786:E1885,0,0)</f>
        <v>0</v>
      </c>
      <c r="J1675" s="1">
        <f>_xlfn.XLOOKUP('Customer Info'!A1786,'Customer Info'!A1786:A1885,'Customer Info'!M1786:M1885)</f>
        <v>0</v>
      </c>
    </row>
    <row r="1676" spans="1:10" ht="14" x14ac:dyDescent="0.2">
      <c r="A1676" s="2" t="s">
        <v>57</v>
      </c>
      <c r="B1676" s="2">
        <v>17</v>
      </c>
      <c r="C1676" s="2">
        <v>5</v>
      </c>
      <c r="D1676" s="2">
        <v>2021</v>
      </c>
      <c r="E1676" s="2">
        <v>51.77</v>
      </c>
      <c r="F1676" s="2">
        <v>80.91</v>
      </c>
      <c r="H1676" s="1">
        <f>_xlfn.XLOOKUP('Customer Info'!A1855,'Customer Info'!A1855:A1954,'Customer Info'!E1855:E1954,0,0)</f>
        <v>0</v>
      </c>
      <c r="J1676" s="1">
        <f>_xlfn.XLOOKUP('Customer Info'!A1855,'Customer Info'!A1855:A1954,'Customer Info'!M1855:M1954)</f>
        <v>0</v>
      </c>
    </row>
    <row r="1677" spans="1:10" ht="14" hidden="1" x14ac:dyDescent="0.2">
      <c r="A1677" s="2" t="s">
        <v>64</v>
      </c>
      <c r="B1677" s="2">
        <v>21</v>
      </c>
      <c r="C1677" s="2">
        <v>7</v>
      </c>
      <c r="D1677" s="2">
        <v>2020</v>
      </c>
      <c r="E1677" s="2">
        <v>40.299999999999997</v>
      </c>
      <c r="F1677" s="2">
        <v>80.91</v>
      </c>
      <c r="H1677" s="1">
        <f>_xlfn.XLOOKUP('Customer Info'!A729,'Customer Info'!A729:A828,'Customer Info'!E729:E828,0,0)</f>
        <v>0</v>
      </c>
      <c r="J1677" s="1">
        <f>_xlfn.XLOOKUP('Customer Info'!A729,'Customer Info'!A729:A828,'Customer Info'!M729:M828)</f>
        <v>0</v>
      </c>
    </row>
    <row r="1678" spans="1:10" ht="14" hidden="1" x14ac:dyDescent="0.2">
      <c r="A1678" s="2" t="s">
        <v>67</v>
      </c>
      <c r="B1678" s="2">
        <v>13</v>
      </c>
      <c r="C1678" s="2">
        <v>7</v>
      </c>
      <c r="D1678" s="2">
        <v>2020</v>
      </c>
      <c r="E1678" s="2">
        <v>38.44</v>
      </c>
      <c r="F1678" s="2">
        <v>80.91</v>
      </c>
      <c r="H1678" s="1">
        <f>_xlfn.XLOOKUP('Customer Info'!A747,'Customer Info'!A747:A846,'Customer Info'!E747:E846,0,0)</f>
        <v>0</v>
      </c>
      <c r="J1678" s="1">
        <f>_xlfn.XLOOKUP('Customer Info'!A747,'Customer Info'!A747:A846,'Customer Info'!M747:M846)</f>
        <v>0</v>
      </c>
    </row>
    <row r="1679" spans="1:10" ht="14" x14ac:dyDescent="0.2">
      <c r="A1679" s="2" t="s">
        <v>57</v>
      </c>
      <c r="B1679" s="2">
        <v>17</v>
      </c>
      <c r="C1679" s="2">
        <v>8</v>
      </c>
      <c r="D1679" s="2">
        <v>2021</v>
      </c>
      <c r="E1679" s="2">
        <v>31.31</v>
      </c>
      <c r="F1679" s="2">
        <v>80.91</v>
      </c>
      <c r="H1679" s="1">
        <f>_xlfn.XLOOKUP('Customer Info'!A2016,'Customer Info'!A2016:A2115,'Customer Info'!E2016:E2115,0,0)</f>
        <v>0</v>
      </c>
      <c r="J1679" s="1">
        <f>_xlfn.XLOOKUP('Customer Info'!A2016,'Customer Info'!A2016:A2115,'Customer Info'!M2016:M2115)</f>
        <v>0</v>
      </c>
    </row>
    <row r="1680" spans="1:10" ht="14" hidden="1" x14ac:dyDescent="0.2">
      <c r="A1680" s="2" t="s">
        <v>52</v>
      </c>
      <c r="B1680" s="2">
        <v>1</v>
      </c>
      <c r="C1680" s="2">
        <v>7</v>
      </c>
      <c r="D1680" s="2">
        <v>2020</v>
      </c>
      <c r="E1680" s="2">
        <v>27.59</v>
      </c>
      <c r="F1680" s="2">
        <v>80.91</v>
      </c>
      <c r="H1680" s="1">
        <f>_xlfn.XLOOKUP('Customer Info'!A835,'Customer Info'!A835:A934,'Customer Info'!E835:E934,0,0)</f>
        <v>0</v>
      </c>
      <c r="J1680" s="1">
        <f>_xlfn.XLOOKUP('Customer Info'!A835,'Customer Info'!A835:A934,'Customer Info'!M835:M934)</f>
        <v>0</v>
      </c>
    </row>
    <row r="1681" spans="1:10" ht="14" x14ac:dyDescent="0.2">
      <c r="A1681" s="2" t="s">
        <v>95</v>
      </c>
      <c r="B1681" s="2">
        <v>24</v>
      </c>
      <c r="C1681" s="2">
        <v>4</v>
      </c>
      <c r="D1681" s="2">
        <v>2021</v>
      </c>
      <c r="E1681" s="1" t="s">
        <v>94</v>
      </c>
      <c r="F1681" s="2">
        <v>80.7</v>
      </c>
      <c r="H1681" s="1">
        <f>_xlfn.XLOOKUP('Customer Info'!A1308,'Customer Info'!A1308:A1407,'Customer Info'!E1308:E1407,0,0)</f>
        <v>0</v>
      </c>
      <c r="J1681" s="1">
        <f>_xlfn.XLOOKUP('Customer Info'!A1308,'Customer Info'!A1308:A1407,'Customer Info'!M1308:M1407)</f>
        <v>0</v>
      </c>
    </row>
    <row r="1682" spans="1:10" ht="14" x14ac:dyDescent="0.2">
      <c r="A1682" s="2" t="s">
        <v>91</v>
      </c>
      <c r="B1682" s="2">
        <v>5</v>
      </c>
      <c r="C1682" s="2">
        <v>4</v>
      </c>
      <c r="D1682" s="2">
        <v>2021</v>
      </c>
      <c r="E1682" s="2">
        <v>96.3</v>
      </c>
      <c r="F1682" s="2">
        <v>80.7</v>
      </c>
      <c r="H1682" s="1">
        <f>_xlfn.XLOOKUP('Customer Info'!A1575,'Customer Info'!A1575:A1674,'Customer Info'!E1575:E1674,0,0)</f>
        <v>0</v>
      </c>
      <c r="J1682" s="1">
        <f>_xlfn.XLOOKUP('Customer Info'!A1575,'Customer Info'!A1575:A1674,'Customer Info'!M1575:M1674)</f>
        <v>0</v>
      </c>
    </row>
    <row r="1683" spans="1:10" ht="14" hidden="1" x14ac:dyDescent="0.2">
      <c r="A1683" s="2" t="s">
        <v>60</v>
      </c>
      <c r="B1683" s="2">
        <v>20</v>
      </c>
      <c r="C1683" s="2">
        <v>4</v>
      </c>
      <c r="D1683" s="2">
        <v>2020</v>
      </c>
      <c r="E1683" s="2">
        <v>66.3</v>
      </c>
      <c r="F1683" s="2">
        <v>80.7</v>
      </c>
      <c r="H1683" s="1">
        <f>_xlfn.XLOOKUP('Customer Info'!A536,'Customer Info'!A536:A635,'Customer Info'!E536:E635,0,0)</f>
        <v>0</v>
      </c>
      <c r="J1683" s="1">
        <f>_xlfn.XLOOKUP('Customer Info'!A536,'Customer Info'!A536:A635,'Customer Info'!M536:M635)</f>
        <v>0</v>
      </c>
    </row>
    <row r="1684" spans="1:10" ht="14" hidden="1" x14ac:dyDescent="0.2">
      <c r="A1684" s="2" t="s">
        <v>59</v>
      </c>
      <c r="B1684" s="2">
        <v>11</v>
      </c>
      <c r="C1684" s="2">
        <v>9</v>
      </c>
      <c r="D1684" s="2">
        <v>2020</v>
      </c>
      <c r="E1684" s="2">
        <v>47.7</v>
      </c>
      <c r="F1684" s="2">
        <v>80.7</v>
      </c>
      <c r="H1684" s="1">
        <f>_xlfn.XLOOKUP('Customer Info'!A664,'Customer Info'!A664:A763,'Customer Info'!E664:E763,0,0)</f>
        <v>0</v>
      </c>
      <c r="J1684" s="1">
        <f>_xlfn.XLOOKUP('Customer Info'!A664,'Customer Info'!A664:A763,'Customer Info'!M664:M763)</f>
        <v>0</v>
      </c>
    </row>
    <row r="1685" spans="1:10" ht="14" x14ac:dyDescent="0.2">
      <c r="A1685" s="2" t="s">
        <v>73</v>
      </c>
      <c r="B1685" s="2">
        <v>5</v>
      </c>
      <c r="C1685" s="2">
        <v>6</v>
      </c>
      <c r="D1685" s="2">
        <v>2021</v>
      </c>
      <c r="E1685" s="2">
        <v>38.4</v>
      </c>
      <c r="F1685" s="2">
        <v>80.7</v>
      </c>
      <c r="H1685" s="1">
        <f>_xlfn.XLOOKUP('Customer Info'!A1956,'Customer Info'!A1956:A2055,'Customer Info'!E1956:E2055,0,0)</f>
        <v>0</v>
      </c>
      <c r="J1685" s="1">
        <f>_xlfn.XLOOKUP('Customer Info'!A1956,'Customer Info'!A1956:A2055,'Customer Info'!M1956:M2055)</f>
        <v>0</v>
      </c>
    </row>
    <row r="1686" spans="1:10" ht="14" hidden="1" x14ac:dyDescent="0.2">
      <c r="A1686" s="2" t="s">
        <v>56</v>
      </c>
      <c r="B1686" s="2">
        <v>14</v>
      </c>
      <c r="C1686" s="2">
        <v>2</v>
      </c>
      <c r="D1686" s="2">
        <v>2020</v>
      </c>
      <c r="E1686" s="2">
        <v>105.28</v>
      </c>
      <c r="F1686" s="2">
        <v>80.64</v>
      </c>
      <c r="H1686" s="1">
        <f>_xlfn.XLOOKUP('Customer Info'!A293,'Customer Info'!A293:A392,'Customer Info'!E293:E392,0,0)</f>
        <v>0</v>
      </c>
      <c r="J1686" s="1">
        <f>_xlfn.XLOOKUP('Customer Info'!A293,'Customer Info'!A293:A392,'Customer Info'!M293:M392)</f>
        <v>0</v>
      </c>
    </row>
    <row r="1687" spans="1:10" ht="14" hidden="1" x14ac:dyDescent="0.2">
      <c r="A1687" s="2" t="s">
        <v>51</v>
      </c>
      <c r="B1687" s="2">
        <v>16</v>
      </c>
      <c r="C1687" s="2">
        <v>12</v>
      </c>
      <c r="D1687" s="2">
        <v>2020</v>
      </c>
      <c r="E1687" s="2">
        <v>120.9</v>
      </c>
      <c r="F1687" s="2">
        <v>80.599999999999994</v>
      </c>
      <c r="H1687" s="1">
        <f>_xlfn.XLOOKUP('Customer Info'!A204,'Customer Info'!A204:A303,'Customer Info'!E204:E303,0,0)</f>
        <v>0</v>
      </c>
      <c r="J1687" s="1">
        <f>_xlfn.XLOOKUP('Customer Info'!A204,'Customer Info'!A204:A303,'Customer Info'!M204:M303)</f>
        <v>0</v>
      </c>
    </row>
    <row r="1688" spans="1:10" ht="14" hidden="1" x14ac:dyDescent="0.2">
      <c r="A1688" s="2" t="s">
        <v>73</v>
      </c>
      <c r="B1688" s="2">
        <v>5</v>
      </c>
      <c r="C1688" s="2">
        <v>1</v>
      </c>
      <c r="D1688" s="2">
        <v>2020</v>
      </c>
      <c r="E1688" s="2">
        <v>110.67</v>
      </c>
      <c r="F1688" s="2">
        <v>80.599999999999994</v>
      </c>
      <c r="H1688" s="1">
        <f>_xlfn.XLOOKUP('Customer Info'!A257,'Customer Info'!A257:A356,'Customer Info'!E257:E356,0,0)</f>
        <v>0</v>
      </c>
      <c r="J1688" s="1">
        <f>_xlfn.XLOOKUP('Customer Info'!A257,'Customer Info'!A257:A356,'Customer Info'!M257:M356)</f>
        <v>0</v>
      </c>
    </row>
    <row r="1689" spans="1:10" ht="14" hidden="1" x14ac:dyDescent="0.2">
      <c r="A1689" s="2" t="s">
        <v>47</v>
      </c>
      <c r="B1689" s="2">
        <v>19</v>
      </c>
      <c r="C1689" s="2">
        <v>12</v>
      </c>
      <c r="D1689" s="2">
        <v>2020</v>
      </c>
      <c r="E1689" s="2">
        <v>95.17</v>
      </c>
      <c r="F1689" s="2">
        <v>80.599999999999994</v>
      </c>
      <c r="H1689" s="1">
        <f>_xlfn.XLOOKUP('Customer Info'!A365,'Customer Info'!A365:A464,'Customer Info'!E365:E464,0,0)</f>
        <v>0</v>
      </c>
      <c r="J1689" s="1">
        <f>_xlfn.XLOOKUP('Customer Info'!A365,'Customer Info'!A365:A464,'Customer Info'!M365:M464)</f>
        <v>0</v>
      </c>
    </row>
    <row r="1690" spans="1:10" ht="14" x14ac:dyDescent="0.2">
      <c r="A1690" s="2" t="s">
        <v>34</v>
      </c>
      <c r="B1690" s="2">
        <v>4</v>
      </c>
      <c r="C1690" s="2">
        <v>1</v>
      </c>
      <c r="D1690" s="2">
        <v>2021</v>
      </c>
      <c r="E1690" s="2">
        <v>91.45</v>
      </c>
      <c r="F1690" s="2">
        <v>80.599999999999994</v>
      </c>
      <c r="H1690" s="1">
        <f>_xlfn.XLOOKUP('Customer Info'!A1606,'Customer Info'!A1606:A1705,'Customer Info'!E1606:E1705,0,0)</f>
        <v>0</v>
      </c>
      <c r="J1690" s="1">
        <f>_xlfn.XLOOKUP('Customer Info'!A1606,'Customer Info'!A1606:A1705,'Customer Info'!M1606:M1705)</f>
        <v>0</v>
      </c>
    </row>
    <row r="1691" spans="1:10" ht="14" hidden="1" x14ac:dyDescent="0.2">
      <c r="A1691" s="2" t="s">
        <v>47</v>
      </c>
      <c r="B1691" s="2">
        <v>19</v>
      </c>
      <c r="C1691" s="2">
        <v>3</v>
      </c>
      <c r="D1691" s="2">
        <v>2020</v>
      </c>
      <c r="E1691" s="2">
        <v>65.099999999999994</v>
      </c>
      <c r="F1691" s="2">
        <v>80.599999999999994</v>
      </c>
      <c r="H1691" s="1">
        <f>_xlfn.XLOOKUP('Customer Info'!A548,'Customer Info'!A548:A647,'Customer Info'!E548:E647,0,0)</f>
        <v>0</v>
      </c>
      <c r="J1691" s="1">
        <f>_xlfn.XLOOKUP('Customer Info'!A548,'Customer Info'!A548:A647,'Customer Info'!M548:M647)</f>
        <v>0</v>
      </c>
    </row>
    <row r="1692" spans="1:10" ht="14" x14ac:dyDescent="0.2">
      <c r="A1692" s="2" t="s">
        <v>55</v>
      </c>
      <c r="B1692" s="2">
        <v>18</v>
      </c>
      <c r="C1692" s="2">
        <v>8</v>
      </c>
      <c r="D1692" s="2">
        <v>2021</v>
      </c>
      <c r="E1692" s="2">
        <v>39.369999999999997</v>
      </c>
      <c r="F1692" s="2">
        <v>80.599999999999994</v>
      </c>
      <c r="H1692" s="1">
        <f>_xlfn.XLOOKUP('Customer Info'!A1945,'Customer Info'!A1945:A2044,'Customer Info'!E1945:E2044,0,0)</f>
        <v>0</v>
      </c>
      <c r="J1692" s="1">
        <f>_xlfn.XLOOKUP('Customer Info'!A1945,'Customer Info'!A1945:A2044,'Customer Info'!M1945:M2044)</f>
        <v>0</v>
      </c>
    </row>
    <row r="1693" spans="1:10" ht="14" hidden="1" x14ac:dyDescent="0.2">
      <c r="A1693" s="2" t="s">
        <v>76</v>
      </c>
      <c r="B1693" s="2">
        <v>9</v>
      </c>
      <c r="C1693" s="2">
        <v>11</v>
      </c>
      <c r="D1693" s="2">
        <v>2020</v>
      </c>
      <c r="E1693" s="2">
        <v>99.3</v>
      </c>
      <c r="F1693" s="2">
        <v>80.400000000000006</v>
      </c>
      <c r="H1693" s="1">
        <f>_xlfn.XLOOKUP('Customer Info'!A337,'Customer Info'!A337:A436,'Customer Info'!E337:E436,0,0)</f>
        <v>0</v>
      </c>
      <c r="J1693" s="1">
        <f>_xlfn.XLOOKUP('Customer Info'!A337,'Customer Info'!A337:A436,'Customer Info'!M337:M436)</f>
        <v>0</v>
      </c>
    </row>
    <row r="1694" spans="1:10" ht="14" hidden="1" x14ac:dyDescent="0.2">
      <c r="A1694" s="2" t="s">
        <v>66</v>
      </c>
      <c r="B1694" s="2">
        <v>23</v>
      </c>
      <c r="C1694" s="2">
        <v>4</v>
      </c>
      <c r="D1694" s="2">
        <v>2020</v>
      </c>
      <c r="E1694" s="2">
        <v>73.5</v>
      </c>
      <c r="F1694" s="2">
        <v>80.400000000000006</v>
      </c>
      <c r="H1694" s="1">
        <f>_xlfn.XLOOKUP('Customer Info'!A478,'Customer Info'!A478:A577,'Customer Info'!E478:E577,0,0)</f>
        <v>0</v>
      </c>
      <c r="J1694" s="1">
        <f>_xlfn.XLOOKUP('Customer Info'!A478,'Customer Info'!A478:A577,'Customer Info'!M478:M577)</f>
        <v>0</v>
      </c>
    </row>
    <row r="1695" spans="1:10" ht="14" hidden="1" x14ac:dyDescent="0.2">
      <c r="A1695" s="2" t="s">
        <v>69</v>
      </c>
      <c r="B1695" s="2">
        <v>12</v>
      </c>
      <c r="C1695" s="2">
        <v>4</v>
      </c>
      <c r="D1695" s="2">
        <v>2020</v>
      </c>
      <c r="E1695" s="2">
        <v>69.3</v>
      </c>
      <c r="F1695" s="2">
        <v>80.400000000000006</v>
      </c>
      <c r="H1695" s="1">
        <f>_xlfn.XLOOKUP('Customer Info'!A513,'Customer Info'!A513:A612,'Customer Info'!E513:E612,0,0)</f>
        <v>0</v>
      </c>
      <c r="J1695" s="1">
        <f>_xlfn.XLOOKUP('Customer Info'!A513,'Customer Info'!A513:A612,'Customer Info'!M513:M612)</f>
        <v>0</v>
      </c>
    </row>
    <row r="1696" spans="1:10" ht="14" x14ac:dyDescent="0.2">
      <c r="A1696" s="2" t="s">
        <v>92</v>
      </c>
      <c r="B1696" s="2">
        <v>7</v>
      </c>
      <c r="C1696" s="2">
        <v>6</v>
      </c>
      <c r="D1696" s="2">
        <v>2021</v>
      </c>
      <c r="E1696" s="2">
        <v>66.3</v>
      </c>
      <c r="F1696" s="2">
        <v>80.400000000000006</v>
      </c>
      <c r="H1696" s="1">
        <f>_xlfn.XLOOKUP('Customer Info'!A1758,'Customer Info'!A1758:A1857,'Customer Info'!E1758:E1857,0,0)</f>
        <v>0</v>
      </c>
      <c r="J1696" s="1">
        <f>_xlfn.XLOOKUP('Customer Info'!A1758,'Customer Info'!A1758:A1857,'Customer Info'!M1758:M1857)</f>
        <v>0</v>
      </c>
    </row>
    <row r="1697" spans="1:10" ht="14" x14ac:dyDescent="0.2">
      <c r="A1697" s="2" t="s">
        <v>73</v>
      </c>
      <c r="B1697" s="2">
        <v>5</v>
      </c>
      <c r="C1697" s="2">
        <v>2</v>
      </c>
      <c r="D1697" s="2">
        <v>2021</v>
      </c>
      <c r="E1697" s="2">
        <v>110.32</v>
      </c>
      <c r="F1697" s="2">
        <v>80.36</v>
      </c>
      <c r="H1697" s="1">
        <f>_xlfn.XLOOKUP('Customer Info'!A1496,'Customer Info'!A1496:A1595,'Customer Info'!E1496:E1595,0,0)</f>
        <v>0</v>
      </c>
      <c r="J1697" s="1">
        <f>_xlfn.XLOOKUP('Customer Info'!A1496,'Customer Info'!A1496:A1595,'Customer Info'!M1496:M1595)</f>
        <v>0</v>
      </c>
    </row>
    <row r="1698" spans="1:10" ht="14" hidden="1" x14ac:dyDescent="0.2">
      <c r="A1698" s="2" t="s">
        <v>65</v>
      </c>
      <c r="B1698" s="2">
        <v>11</v>
      </c>
      <c r="C1698" s="2">
        <v>2</v>
      </c>
      <c r="D1698" s="2">
        <v>2020</v>
      </c>
      <c r="E1698" s="2">
        <v>97.44</v>
      </c>
      <c r="F1698" s="2">
        <v>80.36</v>
      </c>
      <c r="H1698" s="1">
        <f>_xlfn.XLOOKUP('Customer Info'!A352,'Customer Info'!A352:A451,'Customer Info'!E352:E451,0,0)</f>
        <v>0</v>
      </c>
      <c r="J1698" s="1">
        <f>_xlfn.XLOOKUP('Customer Info'!A352,'Customer Info'!A352:A451,'Customer Info'!M352:M451)</f>
        <v>0</v>
      </c>
    </row>
    <row r="1699" spans="1:10" ht="14" hidden="1" x14ac:dyDescent="0.2">
      <c r="A1699" s="2" t="s">
        <v>0</v>
      </c>
      <c r="B1699" s="2">
        <v>25</v>
      </c>
      <c r="C1699" s="2">
        <v>7</v>
      </c>
      <c r="D1699" s="2">
        <v>2020</v>
      </c>
      <c r="E1699" s="1" t="s">
        <v>94</v>
      </c>
      <c r="F1699" s="2">
        <v>80.290000000000006</v>
      </c>
      <c r="H1699" s="1">
        <f>_xlfn.XLOOKUP('Customer Info'!A120,'Customer Info'!A120:A219,'Customer Info'!E120:E219,0,0)</f>
        <v>0</v>
      </c>
      <c r="J1699" s="1">
        <f>_xlfn.XLOOKUP('Customer Info'!A120,'Customer Info'!A120:A219,'Customer Info'!M120:M219)</f>
        <v>0</v>
      </c>
    </row>
    <row r="1700" spans="1:10" ht="14" hidden="1" x14ac:dyDescent="0.2">
      <c r="A1700" s="2" t="s">
        <v>0</v>
      </c>
      <c r="B1700" s="2">
        <v>25</v>
      </c>
      <c r="C1700" s="2">
        <v>10</v>
      </c>
      <c r="D1700" s="2">
        <v>2020</v>
      </c>
      <c r="E1700" s="1" t="s">
        <v>94</v>
      </c>
      <c r="F1700" s="2">
        <v>80.290000000000006</v>
      </c>
      <c r="H1700" s="1">
        <f>_xlfn.XLOOKUP('Customer Info'!A121,'Customer Info'!A121:A220,'Customer Info'!E121:E220,0,0)</f>
        <v>0</v>
      </c>
      <c r="J1700" s="1">
        <f>_xlfn.XLOOKUP('Customer Info'!A121,'Customer Info'!A121:A220,'Customer Info'!M121:M220)</f>
        <v>0</v>
      </c>
    </row>
    <row r="1701" spans="1:10" ht="14" hidden="1" x14ac:dyDescent="0.2">
      <c r="A1701" s="2" t="s">
        <v>84</v>
      </c>
      <c r="B1701" s="2">
        <v>20</v>
      </c>
      <c r="C1701" s="2">
        <v>1</v>
      </c>
      <c r="D1701" s="2">
        <v>2020</v>
      </c>
      <c r="E1701" s="2">
        <v>142.29</v>
      </c>
      <c r="F1701" s="2">
        <v>80.290000000000006</v>
      </c>
      <c r="H1701" s="1">
        <f>_xlfn.XLOOKUP('Customer Info'!A160,'Customer Info'!A160:A259,'Customer Info'!E160:E259,0,0)</f>
        <v>0</v>
      </c>
      <c r="J1701" s="1">
        <f>_xlfn.XLOOKUP('Customer Info'!A160,'Customer Info'!A160:A259,'Customer Info'!M160:M259)</f>
        <v>0</v>
      </c>
    </row>
    <row r="1702" spans="1:10" ht="14" x14ac:dyDescent="0.2">
      <c r="A1702" s="2" t="s">
        <v>43</v>
      </c>
      <c r="B1702" s="2">
        <v>15</v>
      </c>
      <c r="C1702" s="2">
        <v>12</v>
      </c>
      <c r="D1702" s="2">
        <v>2021</v>
      </c>
      <c r="E1702" s="2">
        <v>111.29</v>
      </c>
      <c r="F1702" s="2">
        <v>80.290000000000006</v>
      </c>
      <c r="H1702" s="1">
        <f>_xlfn.XLOOKUP('Customer Info'!A1489,'Customer Info'!A1489:A1588,'Customer Info'!E1489:E1588,0,0)</f>
        <v>0</v>
      </c>
      <c r="J1702" s="1">
        <f>_xlfn.XLOOKUP('Customer Info'!A1489,'Customer Info'!A1489:A1588,'Customer Info'!M1489:M1588)</f>
        <v>0</v>
      </c>
    </row>
    <row r="1703" spans="1:10" ht="14" hidden="1" x14ac:dyDescent="0.2">
      <c r="A1703" s="2" t="s">
        <v>87</v>
      </c>
      <c r="B1703" s="2">
        <v>1</v>
      </c>
      <c r="C1703" s="2">
        <v>1</v>
      </c>
      <c r="D1703" s="2">
        <v>2020</v>
      </c>
      <c r="E1703" s="2">
        <v>109.43</v>
      </c>
      <c r="F1703" s="2">
        <v>80.290000000000006</v>
      </c>
      <c r="H1703" s="1">
        <f>_xlfn.XLOOKUP('Customer Info'!A264,'Customer Info'!A264:A363,'Customer Info'!E264:E363,0,0)</f>
        <v>0</v>
      </c>
      <c r="J1703" s="1">
        <f>_xlfn.XLOOKUP('Customer Info'!A264,'Customer Info'!A264:A363,'Customer Info'!M264:M363)</f>
        <v>0</v>
      </c>
    </row>
    <row r="1704" spans="1:10" ht="14" hidden="1" x14ac:dyDescent="0.2">
      <c r="A1704" s="2" t="s">
        <v>35</v>
      </c>
      <c r="B1704" s="2">
        <v>9</v>
      </c>
      <c r="C1704" s="2">
        <v>1</v>
      </c>
      <c r="D1704" s="2">
        <v>2020</v>
      </c>
      <c r="E1704" s="2">
        <v>102.61</v>
      </c>
      <c r="F1704" s="2">
        <v>80.290000000000006</v>
      </c>
      <c r="H1704" s="1">
        <f>_xlfn.XLOOKUP('Customer Info'!A314,'Customer Info'!A314:A413,'Customer Info'!E314:E413,0,0)</f>
        <v>0</v>
      </c>
      <c r="J1704" s="1">
        <f>_xlfn.XLOOKUP('Customer Info'!A314,'Customer Info'!A314:A413,'Customer Info'!M314:M413)</f>
        <v>0</v>
      </c>
    </row>
    <row r="1705" spans="1:10" ht="14" hidden="1" x14ac:dyDescent="0.2">
      <c r="A1705" s="2" t="s">
        <v>33</v>
      </c>
      <c r="B1705" s="2">
        <v>21</v>
      </c>
      <c r="C1705" s="2">
        <v>1</v>
      </c>
      <c r="D1705" s="2">
        <v>2020</v>
      </c>
      <c r="E1705" s="2">
        <v>98.27</v>
      </c>
      <c r="F1705" s="2">
        <v>80.290000000000006</v>
      </c>
      <c r="H1705" s="1">
        <f>_xlfn.XLOOKUP('Customer Info'!A343,'Customer Info'!A343:A442,'Customer Info'!E343:E442,0,0)</f>
        <v>0</v>
      </c>
      <c r="J1705" s="1">
        <f>_xlfn.XLOOKUP('Customer Info'!A343,'Customer Info'!A343:A442,'Customer Info'!M343:M442)</f>
        <v>0</v>
      </c>
    </row>
    <row r="1706" spans="1:10" ht="14" x14ac:dyDescent="0.2">
      <c r="A1706" s="2" t="s">
        <v>58</v>
      </c>
      <c r="B1706" s="2">
        <v>16</v>
      </c>
      <c r="C1706" s="2">
        <v>12</v>
      </c>
      <c r="D1706" s="2">
        <v>2021</v>
      </c>
      <c r="E1706" s="2">
        <v>95.79</v>
      </c>
      <c r="F1706" s="2">
        <v>80.290000000000006</v>
      </c>
      <c r="H1706" s="1">
        <f>_xlfn.XLOOKUP('Customer Info'!A1578,'Customer Info'!A1578:A1677,'Customer Info'!E1578:E1677,0,0)</f>
        <v>0</v>
      </c>
      <c r="J1706" s="1">
        <f>_xlfn.XLOOKUP('Customer Info'!A1578,'Customer Info'!A1578:A1677,'Customer Info'!M1578:M1677)</f>
        <v>0</v>
      </c>
    </row>
    <row r="1707" spans="1:10" ht="14" hidden="1" x14ac:dyDescent="0.2">
      <c r="A1707" s="2" t="s">
        <v>48</v>
      </c>
      <c r="B1707" s="2">
        <v>24</v>
      </c>
      <c r="C1707" s="2">
        <v>12</v>
      </c>
      <c r="D1707" s="2">
        <v>2020</v>
      </c>
      <c r="E1707" s="2">
        <v>95.48</v>
      </c>
      <c r="F1707" s="2">
        <v>80.290000000000006</v>
      </c>
      <c r="H1707" s="1">
        <f>_xlfn.XLOOKUP('Customer Info'!A362,'Customer Info'!A362:A461,'Customer Info'!E362:E461,0,0)</f>
        <v>0</v>
      </c>
      <c r="J1707" s="1">
        <f>_xlfn.XLOOKUP('Customer Info'!A362,'Customer Info'!A362:A461,'Customer Info'!M362:M461)</f>
        <v>0</v>
      </c>
    </row>
    <row r="1708" spans="1:10" ht="14" x14ac:dyDescent="0.2">
      <c r="A1708" s="2" t="s">
        <v>76</v>
      </c>
      <c r="B1708" s="2">
        <v>9</v>
      </c>
      <c r="C1708" s="2">
        <v>10</v>
      </c>
      <c r="D1708" s="2">
        <v>2021</v>
      </c>
      <c r="E1708" s="2">
        <v>82.77</v>
      </c>
      <c r="F1708" s="2">
        <v>80.290000000000006</v>
      </c>
      <c r="H1708" s="1">
        <f>_xlfn.XLOOKUP('Customer Info'!A1648,'Customer Info'!A1648:A1747,'Customer Info'!E1648:E1747,0,0)</f>
        <v>0</v>
      </c>
      <c r="J1708" s="1">
        <f>_xlfn.XLOOKUP('Customer Info'!A1648,'Customer Info'!A1648:A1747,'Customer Info'!M1648:M1747)</f>
        <v>0</v>
      </c>
    </row>
    <row r="1709" spans="1:10" ht="14" x14ac:dyDescent="0.2">
      <c r="A1709" s="2" t="s">
        <v>41</v>
      </c>
      <c r="B1709" s="2">
        <v>15</v>
      </c>
      <c r="C1709" s="2">
        <v>3</v>
      </c>
      <c r="D1709" s="2">
        <v>2021</v>
      </c>
      <c r="E1709" s="2">
        <v>65.41</v>
      </c>
      <c r="F1709" s="2">
        <v>80.290000000000006</v>
      </c>
      <c r="H1709" s="1">
        <f>_xlfn.XLOOKUP('Customer Info'!A1768,'Customer Info'!A1768:A1867,'Customer Info'!E1768:E1867,0,0)</f>
        <v>0</v>
      </c>
      <c r="J1709" s="1">
        <f>_xlfn.XLOOKUP('Customer Info'!A1768,'Customer Info'!A1768:A1867,'Customer Info'!M1768:M1867)</f>
        <v>0</v>
      </c>
    </row>
    <row r="1710" spans="1:10" ht="14" hidden="1" x14ac:dyDescent="0.2">
      <c r="A1710" s="2" t="s">
        <v>73</v>
      </c>
      <c r="B1710" s="2">
        <v>5</v>
      </c>
      <c r="C1710" s="2">
        <v>7</v>
      </c>
      <c r="D1710" s="2">
        <v>2020</v>
      </c>
      <c r="E1710" s="2">
        <v>44.33</v>
      </c>
      <c r="F1710" s="2">
        <v>80.290000000000006</v>
      </c>
      <c r="H1710" s="1">
        <f>_xlfn.XLOOKUP('Customer Info'!A692,'Customer Info'!A692:A791,'Customer Info'!E692:E791,0,0)</f>
        <v>0</v>
      </c>
      <c r="J1710" s="1">
        <f>_xlfn.XLOOKUP('Customer Info'!A692,'Customer Info'!A692:A791,'Customer Info'!M692:M791)</f>
        <v>0</v>
      </c>
    </row>
    <row r="1711" spans="1:10" ht="14" hidden="1" x14ac:dyDescent="0.2">
      <c r="A1711" s="2" t="s">
        <v>74</v>
      </c>
      <c r="B1711" s="2">
        <v>5</v>
      </c>
      <c r="C1711" s="2">
        <v>8</v>
      </c>
      <c r="D1711" s="2">
        <v>2020</v>
      </c>
      <c r="E1711" s="2">
        <v>44.02</v>
      </c>
      <c r="F1711" s="2">
        <v>80.290000000000006</v>
      </c>
      <c r="H1711" s="1">
        <f>_xlfn.XLOOKUP('Customer Info'!A699,'Customer Info'!A699:A798,'Customer Info'!E699:E798,0,0)</f>
        <v>0</v>
      </c>
      <c r="J1711" s="1">
        <f>_xlfn.XLOOKUP('Customer Info'!A699,'Customer Info'!A699:A798,'Customer Info'!M699:M798)</f>
        <v>0</v>
      </c>
    </row>
    <row r="1712" spans="1:10" ht="14" x14ac:dyDescent="0.2">
      <c r="A1712" s="2" t="s">
        <v>44</v>
      </c>
      <c r="B1712" s="2">
        <v>1</v>
      </c>
      <c r="C1712" s="2">
        <v>5</v>
      </c>
      <c r="D1712" s="2">
        <v>2021</v>
      </c>
      <c r="E1712" s="2">
        <v>40.92</v>
      </c>
      <c r="F1712" s="2">
        <v>80.290000000000006</v>
      </c>
      <c r="H1712" s="1">
        <f>_xlfn.XLOOKUP('Customer Info'!A1934,'Customer Info'!A1934:A2033,'Customer Info'!E1934:E2033,0,0)</f>
        <v>0</v>
      </c>
      <c r="J1712" s="1">
        <f>_xlfn.XLOOKUP('Customer Info'!A1934,'Customer Info'!A1934:A2033,'Customer Info'!M1934:M2033)</f>
        <v>0</v>
      </c>
    </row>
    <row r="1713" spans="1:10" ht="14" hidden="1" x14ac:dyDescent="0.2">
      <c r="A1713" s="2" t="s">
        <v>42</v>
      </c>
      <c r="B1713" s="2">
        <v>12</v>
      </c>
      <c r="C1713" s="2">
        <v>5</v>
      </c>
      <c r="D1713" s="2">
        <v>2020</v>
      </c>
      <c r="E1713" s="2">
        <v>35.340000000000003</v>
      </c>
      <c r="F1713" s="2">
        <v>80.290000000000006</v>
      </c>
      <c r="H1713" s="1">
        <f>_xlfn.XLOOKUP('Customer Info'!A784,'Customer Info'!A784:A883,'Customer Info'!E784:E883,0,0)</f>
        <v>0</v>
      </c>
      <c r="J1713" s="1">
        <f>_xlfn.XLOOKUP('Customer Info'!A784,'Customer Info'!A784:A883,'Customer Info'!M784:M883)</f>
        <v>0</v>
      </c>
    </row>
    <row r="1714" spans="1:10" ht="14" x14ac:dyDescent="0.2">
      <c r="A1714" s="2" t="s">
        <v>42</v>
      </c>
      <c r="B1714" s="2">
        <v>12</v>
      </c>
      <c r="C1714" s="2">
        <v>7</v>
      </c>
      <c r="D1714" s="2">
        <v>2021</v>
      </c>
      <c r="E1714" s="2">
        <v>25.73</v>
      </c>
      <c r="F1714" s="2">
        <v>80.290000000000006</v>
      </c>
      <c r="H1714" s="1">
        <f>_xlfn.XLOOKUP('Customer Info'!A2048,'Customer Info'!A2048:A2147,'Customer Info'!E2048:E2147,0,0)</f>
        <v>0</v>
      </c>
      <c r="J1714" s="1">
        <f>_xlfn.XLOOKUP('Customer Info'!A2048,'Customer Info'!A2048:A2147,'Customer Info'!M2048:M2147)</f>
        <v>0</v>
      </c>
    </row>
    <row r="1715" spans="1:10" ht="14" x14ac:dyDescent="0.2">
      <c r="A1715" s="2" t="s">
        <v>96</v>
      </c>
      <c r="B1715" s="2">
        <v>3</v>
      </c>
      <c r="C1715" s="2">
        <v>11</v>
      </c>
      <c r="D1715" s="2">
        <v>2021</v>
      </c>
      <c r="E1715" s="1" t="s">
        <v>94</v>
      </c>
      <c r="F1715" s="2">
        <v>80.099999999999994</v>
      </c>
      <c r="H1715" s="1">
        <f>_xlfn.XLOOKUP('Customer Info'!A1309,'Customer Info'!A1309:A1408,'Customer Info'!E1309:E1408,0,0)</f>
        <v>0</v>
      </c>
      <c r="J1715" s="1">
        <f>_xlfn.XLOOKUP('Customer Info'!A1309,'Customer Info'!A1309:A1408,'Customer Info'!M1309:M1408)</f>
        <v>0</v>
      </c>
    </row>
    <row r="1716" spans="1:10" ht="14" hidden="1" x14ac:dyDescent="0.2">
      <c r="A1716" s="2" t="s">
        <v>69</v>
      </c>
      <c r="B1716" s="2">
        <v>12</v>
      </c>
      <c r="C1716" s="2">
        <v>11</v>
      </c>
      <c r="D1716" s="2">
        <v>2020</v>
      </c>
      <c r="E1716" s="2">
        <v>106.5</v>
      </c>
      <c r="F1716" s="2">
        <v>80.099999999999994</v>
      </c>
      <c r="H1716" s="1">
        <f>_xlfn.XLOOKUP('Customer Info'!A285,'Customer Info'!A285:A384,'Customer Info'!E285:E384,0,0)</f>
        <v>0</v>
      </c>
      <c r="J1716" s="1">
        <f>_xlfn.XLOOKUP('Customer Info'!A285,'Customer Info'!A285:A384,'Customer Info'!M285:M384)</f>
        <v>0</v>
      </c>
    </row>
    <row r="1717" spans="1:10" ht="14" hidden="1" x14ac:dyDescent="0.2">
      <c r="A1717" s="2" t="s">
        <v>50</v>
      </c>
      <c r="B1717" s="2">
        <v>24</v>
      </c>
      <c r="C1717" s="2">
        <v>4</v>
      </c>
      <c r="D1717" s="2">
        <v>2020</v>
      </c>
      <c r="E1717" s="2">
        <v>62.1</v>
      </c>
      <c r="F1717" s="2">
        <v>80.099999999999994</v>
      </c>
      <c r="H1717" s="1">
        <f>_xlfn.XLOOKUP('Customer Info'!A569,'Customer Info'!A569:A668,'Customer Info'!E569:E668,0,0)</f>
        <v>0</v>
      </c>
      <c r="J1717" s="1">
        <f>_xlfn.XLOOKUP('Customer Info'!A569,'Customer Info'!A569:A668,'Customer Info'!M569:M668)</f>
        <v>0</v>
      </c>
    </row>
    <row r="1718" spans="1:10" ht="14" x14ac:dyDescent="0.2">
      <c r="A1718" s="2" t="s">
        <v>75</v>
      </c>
      <c r="B1718" s="2">
        <v>2</v>
      </c>
      <c r="C1718" s="2">
        <v>9</v>
      </c>
      <c r="D1718" s="2">
        <v>2021</v>
      </c>
      <c r="E1718" s="2">
        <v>48.3</v>
      </c>
      <c r="F1718" s="2">
        <v>80.099999999999994</v>
      </c>
      <c r="H1718" s="1">
        <f>_xlfn.XLOOKUP('Customer Info'!A1880,'Customer Info'!A1880:A1979,'Customer Info'!E1880:E1979,0,0)</f>
        <v>0</v>
      </c>
      <c r="J1718" s="1">
        <f>_xlfn.XLOOKUP('Customer Info'!A1880,'Customer Info'!A1880:A1979,'Customer Info'!M1880:M1979)</f>
        <v>0</v>
      </c>
    </row>
    <row r="1719" spans="1:10" ht="14" hidden="1" x14ac:dyDescent="0.2">
      <c r="A1719" s="2" t="s">
        <v>60</v>
      </c>
      <c r="B1719" s="2">
        <v>20</v>
      </c>
      <c r="C1719" s="2">
        <v>9</v>
      </c>
      <c r="D1719" s="2">
        <v>2020</v>
      </c>
      <c r="E1719" s="2">
        <v>46.2</v>
      </c>
      <c r="F1719" s="2">
        <v>80.099999999999994</v>
      </c>
      <c r="H1719" s="1">
        <f>_xlfn.XLOOKUP('Customer Info'!A671,'Customer Info'!A671:A770,'Customer Info'!E671:E770,0,0)</f>
        <v>0</v>
      </c>
      <c r="J1719" s="1">
        <f>_xlfn.XLOOKUP('Customer Info'!A671,'Customer Info'!A671:A770,'Customer Info'!M671:M770)</f>
        <v>0</v>
      </c>
    </row>
    <row r="1720" spans="1:10" ht="14" hidden="1" x14ac:dyDescent="0.2">
      <c r="A1720" s="2" t="s">
        <v>35</v>
      </c>
      <c r="B1720" s="2">
        <v>9</v>
      </c>
      <c r="C1720" s="2">
        <v>9</v>
      </c>
      <c r="D1720" s="2">
        <v>2020</v>
      </c>
      <c r="E1720" s="2">
        <v>26.7</v>
      </c>
      <c r="F1720" s="2">
        <v>80.099999999999994</v>
      </c>
      <c r="H1720" s="1">
        <f>_xlfn.XLOOKUP('Customer Info'!A842,'Customer Info'!A842:A941,'Customer Info'!E842:E941,0,0)</f>
        <v>0</v>
      </c>
      <c r="J1720" s="1">
        <f>_xlfn.XLOOKUP('Customer Info'!A842,'Customer Info'!A842:A941,'Customer Info'!M842:M941)</f>
        <v>0</v>
      </c>
    </row>
    <row r="1721" spans="1:10" ht="14" hidden="1" x14ac:dyDescent="0.2">
      <c r="A1721" s="2" t="s">
        <v>38</v>
      </c>
      <c r="B1721" s="2">
        <v>21</v>
      </c>
      <c r="C1721" s="2">
        <v>6</v>
      </c>
      <c r="D1721" s="2">
        <v>2020</v>
      </c>
      <c r="E1721" s="2">
        <v>20.100000000000001</v>
      </c>
      <c r="F1721" s="2">
        <v>80.099999999999994</v>
      </c>
      <c r="H1721" s="1">
        <f>_xlfn.XLOOKUP('Customer Info'!A868,'Customer Info'!A868:A967,'Customer Info'!E868:E967,0,0)</f>
        <v>0</v>
      </c>
      <c r="J1721" s="1">
        <f>_xlfn.XLOOKUP('Customer Info'!A868,'Customer Info'!A868:A967,'Customer Info'!M868:M967)</f>
        <v>0</v>
      </c>
    </row>
    <row r="1722" spans="1:10" ht="14" x14ac:dyDescent="0.2">
      <c r="A1722" s="2" t="s">
        <v>62</v>
      </c>
      <c r="B1722" s="2">
        <v>1</v>
      </c>
      <c r="C1722" s="2">
        <v>1</v>
      </c>
      <c r="D1722" s="2">
        <v>2021</v>
      </c>
      <c r="E1722" s="2">
        <v>119.97</v>
      </c>
      <c r="F1722" s="2">
        <v>79.98</v>
      </c>
      <c r="H1722" s="1">
        <f>_xlfn.XLOOKUP('Customer Info'!A1441,'Customer Info'!A1441:A1540,'Customer Info'!E1441:E1540,0,0)</f>
        <v>0</v>
      </c>
      <c r="J1722" s="1">
        <f>_xlfn.XLOOKUP('Customer Info'!A1441,'Customer Info'!A1441:A1540,'Customer Info'!M1441:M1540)</f>
        <v>0</v>
      </c>
    </row>
    <row r="1723" spans="1:10" ht="14" hidden="1" x14ac:dyDescent="0.2">
      <c r="A1723" s="2" t="s">
        <v>64</v>
      </c>
      <c r="B1723" s="2">
        <v>21</v>
      </c>
      <c r="C1723" s="2">
        <v>10</v>
      </c>
      <c r="D1723" s="2">
        <v>2020</v>
      </c>
      <c r="E1723" s="2">
        <v>75.02</v>
      </c>
      <c r="F1723" s="2">
        <v>79.98</v>
      </c>
      <c r="H1723" s="1">
        <f>_xlfn.XLOOKUP('Customer Info'!A469,'Customer Info'!A469:A568,'Customer Info'!E469:E568,0,0)</f>
        <v>0</v>
      </c>
      <c r="J1723" s="1">
        <f>_xlfn.XLOOKUP('Customer Info'!A469,'Customer Info'!A469:A568,'Customer Info'!M469:M568)</f>
        <v>0</v>
      </c>
    </row>
    <row r="1724" spans="1:10" ht="14" x14ac:dyDescent="0.2">
      <c r="A1724" s="2" t="s">
        <v>47</v>
      </c>
      <c r="B1724" s="2">
        <v>19</v>
      </c>
      <c r="C1724" s="2">
        <v>3</v>
      </c>
      <c r="D1724" s="2">
        <v>2021</v>
      </c>
      <c r="E1724" s="2">
        <v>62.62</v>
      </c>
      <c r="F1724" s="2">
        <v>79.98</v>
      </c>
      <c r="H1724" s="1">
        <f>_xlfn.XLOOKUP('Customer Info'!A1791,'Customer Info'!A1791:A1890,'Customer Info'!E1791:E1890,0,0)</f>
        <v>0</v>
      </c>
      <c r="J1724" s="1">
        <f>_xlfn.XLOOKUP('Customer Info'!A1791,'Customer Info'!A1791:A1890,'Customer Info'!M1791:M1890)</f>
        <v>0</v>
      </c>
    </row>
    <row r="1725" spans="1:10" ht="14" hidden="1" x14ac:dyDescent="0.2">
      <c r="A1725" s="2" t="s">
        <v>37</v>
      </c>
      <c r="B1725" s="2">
        <v>12</v>
      </c>
      <c r="C1725" s="2">
        <v>10</v>
      </c>
      <c r="D1725" s="2">
        <v>2020</v>
      </c>
      <c r="E1725" s="2">
        <v>62</v>
      </c>
      <c r="F1725" s="2">
        <v>79.98</v>
      </c>
      <c r="H1725" s="1">
        <f>_xlfn.XLOOKUP('Customer Info'!A572,'Customer Info'!A572:A671,'Customer Info'!E572:E671,0,0)</f>
        <v>0</v>
      </c>
      <c r="J1725" s="1">
        <f>_xlfn.XLOOKUP('Customer Info'!A572,'Customer Info'!A572:A671,'Customer Info'!M572:M671)</f>
        <v>0</v>
      </c>
    </row>
    <row r="1726" spans="1:10" ht="14" hidden="1" x14ac:dyDescent="0.2">
      <c r="A1726" s="2" t="s">
        <v>84</v>
      </c>
      <c r="B1726" s="2">
        <v>20</v>
      </c>
      <c r="C1726" s="2">
        <v>7</v>
      </c>
      <c r="D1726" s="2">
        <v>2020</v>
      </c>
      <c r="E1726" s="2">
        <v>55.8</v>
      </c>
      <c r="F1726" s="2">
        <v>79.98</v>
      </c>
      <c r="H1726" s="1">
        <f>_xlfn.XLOOKUP('Customer Info'!A607,'Customer Info'!A607:A706,'Customer Info'!E607:E706,0,0)</f>
        <v>0</v>
      </c>
      <c r="J1726" s="1">
        <f>_xlfn.XLOOKUP('Customer Info'!A607,'Customer Info'!A607:A706,'Customer Info'!M607:M706)</f>
        <v>0</v>
      </c>
    </row>
    <row r="1727" spans="1:10" ht="14" hidden="1" x14ac:dyDescent="0.2">
      <c r="A1727" s="2" t="s">
        <v>81</v>
      </c>
      <c r="B1727" s="2">
        <v>19</v>
      </c>
      <c r="C1727" s="2">
        <v>11</v>
      </c>
      <c r="D1727" s="2">
        <v>2020</v>
      </c>
      <c r="E1727" s="2">
        <v>105</v>
      </c>
      <c r="F1727" s="2">
        <v>79.8</v>
      </c>
      <c r="H1727" s="1">
        <f>_xlfn.XLOOKUP('Customer Info'!A297,'Customer Info'!A297:A396,'Customer Info'!E297:E396,0,0)</f>
        <v>0</v>
      </c>
      <c r="J1727" s="1">
        <f>_xlfn.XLOOKUP('Customer Info'!A297,'Customer Info'!A297:A396,'Customer Info'!M297:M396)</f>
        <v>0</v>
      </c>
    </row>
    <row r="1728" spans="1:10" ht="14" hidden="1" x14ac:dyDescent="0.2">
      <c r="A1728" s="2" t="s">
        <v>56</v>
      </c>
      <c r="B1728" s="2">
        <v>14</v>
      </c>
      <c r="C1728" s="2">
        <v>9</v>
      </c>
      <c r="D1728" s="2">
        <v>2020</v>
      </c>
      <c r="E1728" s="2">
        <v>45.6</v>
      </c>
      <c r="F1728" s="2">
        <v>79.8</v>
      </c>
      <c r="H1728" s="1">
        <f>_xlfn.XLOOKUP('Customer Info'!A679,'Customer Info'!A679:A778,'Customer Info'!E679:E778,0,0)</f>
        <v>0</v>
      </c>
      <c r="J1728" s="1">
        <f>_xlfn.XLOOKUP('Customer Info'!A679,'Customer Info'!A679:A778,'Customer Info'!M679:M778)</f>
        <v>0</v>
      </c>
    </row>
    <row r="1729" spans="1:10" ht="14" hidden="1" x14ac:dyDescent="0.2">
      <c r="A1729" s="2" t="s">
        <v>0</v>
      </c>
      <c r="B1729" s="2">
        <v>25</v>
      </c>
      <c r="C1729" s="2">
        <v>8</v>
      </c>
      <c r="D1729" s="2">
        <v>2020</v>
      </c>
      <c r="E1729" s="1" t="s">
        <v>94</v>
      </c>
      <c r="F1729" s="2">
        <v>79.67</v>
      </c>
      <c r="H1729" s="1">
        <f>_xlfn.XLOOKUP('Customer Info'!A122,'Customer Info'!A122:A221,'Customer Info'!E122:E221,0,0)</f>
        <v>0</v>
      </c>
      <c r="J1729" s="1">
        <f>_xlfn.XLOOKUP('Customer Info'!A122,'Customer Info'!A122:A221,'Customer Info'!M122:M221)</f>
        <v>0</v>
      </c>
    </row>
    <row r="1730" spans="1:10" ht="14" x14ac:dyDescent="0.2">
      <c r="A1730" s="2" t="s">
        <v>35</v>
      </c>
      <c r="B1730" s="2">
        <v>9</v>
      </c>
      <c r="C1730" s="2">
        <v>1</v>
      </c>
      <c r="D1730" s="2">
        <v>2021</v>
      </c>
      <c r="E1730" s="2">
        <v>109.43</v>
      </c>
      <c r="F1730" s="2">
        <v>79.67</v>
      </c>
      <c r="H1730" s="1">
        <f>_xlfn.XLOOKUP('Customer Info'!A1501,'Customer Info'!A1501:A1600,'Customer Info'!E1501:E1600,0,0)</f>
        <v>0</v>
      </c>
      <c r="J1730" s="1">
        <f>_xlfn.XLOOKUP('Customer Info'!A1501,'Customer Info'!A1501:A1600,'Customer Info'!M1501:M1600)</f>
        <v>0</v>
      </c>
    </row>
    <row r="1731" spans="1:10" ht="14" hidden="1" x14ac:dyDescent="0.2">
      <c r="A1731" s="2" t="s">
        <v>60</v>
      </c>
      <c r="B1731" s="2">
        <v>20</v>
      </c>
      <c r="C1731" s="2">
        <v>3</v>
      </c>
      <c r="D1731" s="2">
        <v>2020</v>
      </c>
      <c r="E1731" s="2">
        <v>67.58</v>
      </c>
      <c r="F1731" s="2">
        <v>79.67</v>
      </c>
      <c r="H1731" s="1">
        <f>_xlfn.XLOOKUP('Customer Info'!A524,'Customer Info'!A524:A623,'Customer Info'!E524:E623,0,0)</f>
        <v>0</v>
      </c>
      <c r="J1731" s="1">
        <f>_xlfn.XLOOKUP('Customer Info'!A524,'Customer Info'!A524:A623,'Customer Info'!M524:M623)</f>
        <v>0</v>
      </c>
    </row>
    <row r="1732" spans="1:10" ht="14" x14ac:dyDescent="0.2">
      <c r="A1732" s="2" t="s">
        <v>45</v>
      </c>
      <c r="B1732" s="2">
        <v>18</v>
      </c>
      <c r="C1732" s="2">
        <v>3</v>
      </c>
      <c r="D1732" s="2">
        <v>2021</v>
      </c>
      <c r="E1732" s="2">
        <v>62</v>
      </c>
      <c r="F1732" s="2">
        <v>79.67</v>
      </c>
      <c r="H1732" s="1">
        <f>_xlfn.XLOOKUP('Customer Info'!A1796,'Customer Info'!A1796:A1895,'Customer Info'!E1796:E1895,0,0)</f>
        <v>0</v>
      </c>
      <c r="J1732" s="1">
        <f>_xlfn.XLOOKUP('Customer Info'!A1796,'Customer Info'!A1796:A1895,'Customer Info'!M1796:M1895)</f>
        <v>0</v>
      </c>
    </row>
    <row r="1733" spans="1:10" ht="14" hidden="1" x14ac:dyDescent="0.2">
      <c r="A1733" s="2" t="s">
        <v>87</v>
      </c>
      <c r="B1733" s="2">
        <v>1</v>
      </c>
      <c r="C1733" s="2">
        <v>8</v>
      </c>
      <c r="D1733" s="2">
        <v>2020</v>
      </c>
      <c r="E1733" s="2">
        <v>51.15</v>
      </c>
      <c r="F1733" s="2">
        <v>79.67</v>
      </c>
      <c r="H1733" s="1">
        <f>_xlfn.XLOOKUP('Customer Info'!A635,'Customer Info'!A635:A734,'Customer Info'!E635:E734,0,0)</f>
        <v>0</v>
      </c>
      <c r="J1733" s="1">
        <f>_xlfn.XLOOKUP('Customer Info'!A635,'Customer Info'!A635:A734,'Customer Info'!M635:M734)</f>
        <v>0</v>
      </c>
    </row>
    <row r="1734" spans="1:10" ht="14" x14ac:dyDescent="0.2">
      <c r="A1734" s="2" t="s">
        <v>57</v>
      </c>
      <c r="B1734" s="2">
        <v>17</v>
      </c>
      <c r="C1734" s="2">
        <v>7</v>
      </c>
      <c r="D1734" s="2">
        <v>2021</v>
      </c>
      <c r="E1734" s="2">
        <v>31.93</v>
      </c>
      <c r="F1734" s="2">
        <v>79.67</v>
      </c>
      <c r="H1734" s="1">
        <f>_xlfn.XLOOKUP('Customer Info'!A2008,'Customer Info'!A2008:A2107,'Customer Info'!E2008:E2107,0,0)</f>
        <v>0</v>
      </c>
      <c r="J1734" s="1">
        <f>_xlfn.XLOOKUP('Customer Info'!A2008,'Customer Info'!A2008:A2107,'Customer Info'!M2008:M2107)</f>
        <v>0</v>
      </c>
    </row>
    <row r="1735" spans="1:10" ht="14" hidden="1" x14ac:dyDescent="0.2">
      <c r="A1735" s="2" t="s">
        <v>81</v>
      </c>
      <c r="B1735" s="2">
        <v>19</v>
      </c>
      <c r="C1735" s="2">
        <v>2</v>
      </c>
      <c r="D1735" s="2">
        <v>2020</v>
      </c>
      <c r="E1735" s="2">
        <v>102.48</v>
      </c>
      <c r="F1735" s="2">
        <v>79.52</v>
      </c>
      <c r="H1735" s="1">
        <f>_xlfn.XLOOKUP('Customer Info'!A315,'Customer Info'!A315:A414,'Customer Info'!E315:E414,0,0)</f>
        <v>0</v>
      </c>
      <c r="J1735" s="1">
        <f>_xlfn.XLOOKUP('Customer Info'!A315,'Customer Info'!A315:A414,'Customer Info'!M315:M414)</f>
        <v>0</v>
      </c>
    </row>
    <row r="1736" spans="1:10" ht="14" x14ac:dyDescent="0.2">
      <c r="A1736" s="2" t="s">
        <v>37</v>
      </c>
      <c r="B1736" s="2">
        <v>12</v>
      </c>
      <c r="C1736" s="2">
        <v>2</v>
      </c>
      <c r="D1736" s="2">
        <v>2021</v>
      </c>
      <c r="E1736" s="2">
        <v>98.28</v>
      </c>
      <c r="F1736" s="2">
        <v>79.52</v>
      </c>
      <c r="H1736" s="1">
        <f>_xlfn.XLOOKUP('Customer Info'!A1564,'Customer Info'!A1564:A1663,'Customer Info'!E1564:E1663,0,0)</f>
        <v>0</v>
      </c>
      <c r="J1736" s="1">
        <f>_xlfn.XLOOKUP('Customer Info'!A1564,'Customer Info'!A1564:A1663,'Customer Info'!M1564:M1663)</f>
        <v>0</v>
      </c>
    </row>
    <row r="1737" spans="1:10" ht="14" hidden="1" x14ac:dyDescent="0.2">
      <c r="A1737" s="2" t="s">
        <v>96</v>
      </c>
      <c r="B1737" s="2">
        <v>3</v>
      </c>
      <c r="C1737" s="2">
        <v>6</v>
      </c>
      <c r="D1737" s="2">
        <v>2020</v>
      </c>
      <c r="E1737" s="1" t="s">
        <v>94</v>
      </c>
      <c r="F1737" s="2">
        <v>79.5</v>
      </c>
      <c r="H1737" s="1">
        <f>_xlfn.XLOOKUP('Customer Info'!A123,'Customer Info'!A123:A222,'Customer Info'!E123:E222,0,0)</f>
        <v>0</v>
      </c>
      <c r="J1737" s="1">
        <f>_xlfn.XLOOKUP('Customer Info'!A123,'Customer Info'!A123:A222,'Customer Info'!M123:M222)</f>
        <v>0</v>
      </c>
    </row>
    <row r="1738" spans="1:10" ht="14" x14ac:dyDescent="0.2">
      <c r="A1738" s="2" t="s">
        <v>87</v>
      </c>
      <c r="B1738" s="2">
        <v>1</v>
      </c>
      <c r="C1738" s="2">
        <v>11</v>
      </c>
      <c r="D1738" s="2">
        <v>2021</v>
      </c>
      <c r="E1738" s="2">
        <v>129</v>
      </c>
      <c r="F1738" s="2">
        <v>79.5</v>
      </c>
      <c r="H1738" s="1">
        <f>_xlfn.XLOOKUP('Customer Info'!A1402,'Customer Info'!A1402:A1501,'Customer Info'!E1402:E1501,0,0)</f>
        <v>0</v>
      </c>
      <c r="J1738" s="1">
        <f>_xlfn.XLOOKUP('Customer Info'!A1402,'Customer Info'!A1402:A1501,'Customer Info'!M1402:M1501)</f>
        <v>0</v>
      </c>
    </row>
    <row r="1739" spans="1:10" ht="14" hidden="1" x14ac:dyDescent="0.2">
      <c r="A1739" s="2" t="s">
        <v>56</v>
      </c>
      <c r="B1739" s="2">
        <v>14</v>
      </c>
      <c r="C1739" s="2">
        <v>11</v>
      </c>
      <c r="D1739" s="2">
        <v>2020</v>
      </c>
      <c r="E1739" s="2">
        <v>103.5</v>
      </c>
      <c r="F1739" s="2">
        <v>79.5</v>
      </c>
      <c r="H1739" s="1">
        <f>_xlfn.XLOOKUP('Customer Info'!A308,'Customer Info'!A308:A407,'Customer Info'!E308:E407,0,0)</f>
        <v>0</v>
      </c>
      <c r="J1739" s="1">
        <f>_xlfn.XLOOKUP('Customer Info'!A308,'Customer Info'!A308:A407,'Customer Info'!M308:M407)</f>
        <v>0</v>
      </c>
    </row>
    <row r="1740" spans="1:10" ht="14" hidden="1" x14ac:dyDescent="0.2">
      <c r="A1740" s="2" t="s">
        <v>69</v>
      </c>
      <c r="B1740" s="2">
        <v>12</v>
      </c>
      <c r="C1740" s="2">
        <v>9</v>
      </c>
      <c r="D1740" s="2">
        <v>2020</v>
      </c>
      <c r="E1740" s="2">
        <v>36.9</v>
      </c>
      <c r="F1740" s="2">
        <v>79.5</v>
      </c>
      <c r="H1740" s="1">
        <f>_xlfn.XLOOKUP('Customer Info'!A764,'Customer Info'!A764:A863,'Customer Info'!E764:E863,0,0)</f>
        <v>0</v>
      </c>
      <c r="J1740" s="1">
        <f>_xlfn.XLOOKUP('Customer Info'!A764,'Customer Info'!A764:A863,'Customer Info'!M764:M863)</f>
        <v>0</v>
      </c>
    </row>
    <row r="1741" spans="1:10" ht="14" hidden="1" x14ac:dyDescent="0.2">
      <c r="A1741" s="2" t="s">
        <v>0</v>
      </c>
      <c r="B1741" s="2">
        <v>25</v>
      </c>
      <c r="C1741" s="2">
        <v>12</v>
      </c>
      <c r="D1741" s="2">
        <v>2020</v>
      </c>
      <c r="E1741" s="1" t="s">
        <v>94</v>
      </c>
      <c r="F1741" s="2">
        <v>79.36</v>
      </c>
      <c r="H1741" s="1">
        <f>_xlfn.XLOOKUP('Customer Info'!A124,'Customer Info'!A124:A223,'Customer Info'!E124:E223,0,0)</f>
        <v>0</v>
      </c>
      <c r="J1741" s="1">
        <f>_xlfn.XLOOKUP('Customer Info'!A124,'Customer Info'!A124:A223,'Customer Info'!M124:M223)</f>
        <v>0</v>
      </c>
    </row>
    <row r="1742" spans="1:10" ht="14" x14ac:dyDescent="0.2">
      <c r="A1742" s="2" t="s">
        <v>57</v>
      </c>
      <c r="B1742" s="2">
        <v>17</v>
      </c>
      <c r="C1742" s="2">
        <v>1</v>
      </c>
      <c r="D1742" s="2">
        <v>2021</v>
      </c>
      <c r="E1742" s="2">
        <v>141.66999999999999</v>
      </c>
      <c r="F1742" s="2">
        <v>79.36</v>
      </c>
      <c r="H1742" s="1">
        <f>_xlfn.XLOOKUP('Customer Info'!A1362,'Customer Info'!A1362:A1461,'Customer Info'!E1362:E1461,0,0)</f>
        <v>0</v>
      </c>
      <c r="J1742" s="1">
        <f>_xlfn.XLOOKUP('Customer Info'!A1362,'Customer Info'!A1362:A1461,'Customer Info'!M1362:M1461)</f>
        <v>0</v>
      </c>
    </row>
    <row r="1743" spans="1:10" ht="14" hidden="1" x14ac:dyDescent="0.2">
      <c r="A1743" s="2" t="s">
        <v>59</v>
      </c>
      <c r="B1743" s="2">
        <v>11</v>
      </c>
      <c r="C1743" s="2">
        <v>1</v>
      </c>
      <c r="D1743" s="2">
        <v>2020</v>
      </c>
      <c r="E1743" s="2">
        <v>114.7</v>
      </c>
      <c r="F1743" s="2">
        <v>79.36</v>
      </c>
      <c r="H1743" s="1">
        <f>_xlfn.XLOOKUP('Customer Info'!A231,'Customer Info'!A231:A330,'Customer Info'!E231:E330,0,0)</f>
        <v>0</v>
      </c>
      <c r="J1743" s="1">
        <f>_xlfn.XLOOKUP('Customer Info'!A231,'Customer Info'!A231:A330,'Customer Info'!M231:M330)</f>
        <v>0</v>
      </c>
    </row>
    <row r="1744" spans="1:10" ht="14" hidden="1" x14ac:dyDescent="0.2">
      <c r="A1744" s="2" t="s">
        <v>93</v>
      </c>
      <c r="B1744" s="2">
        <v>3</v>
      </c>
      <c r="C1744" s="2">
        <v>10</v>
      </c>
      <c r="D1744" s="2">
        <v>2020</v>
      </c>
      <c r="E1744" s="2">
        <v>114.08</v>
      </c>
      <c r="F1744" s="2">
        <v>79.36</v>
      </c>
      <c r="H1744" s="1">
        <f>_xlfn.XLOOKUP('Customer Info'!A239,'Customer Info'!A239:A338,'Customer Info'!E239:E338,0,0)</f>
        <v>0</v>
      </c>
      <c r="J1744" s="1">
        <f>_xlfn.XLOOKUP('Customer Info'!A239,'Customer Info'!A239:A338,'Customer Info'!M239:M338)</f>
        <v>0</v>
      </c>
    </row>
    <row r="1745" spans="1:10" ht="14" x14ac:dyDescent="0.2">
      <c r="A1745" s="2" t="s">
        <v>80</v>
      </c>
      <c r="B1745" s="2">
        <v>12</v>
      </c>
      <c r="C1745" s="2">
        <v>1</v>
      </c>
      <c r="D1745" s="2">
        <v>2021</v>
      </c>
      <c r="E1745" s="2">
        <v>113.77</v>
      </c>
      <c r="F1745" s="2">
        <v>79.36</v>
      </c>
      <c r="H1745" s="1">
        <f>_xlfn.XLOOKUP('Customer Info'!A1474,'Customer Info'!A1474:A1573,'Customer Info'!E1474:E1573,0,0)</f>
        <v>0</v>
      </c>
      <c r="J1745" s="1">
        <f>_xlfn.XLOOKUP('Customer Info'!A1474,'Customer Info'!A1474:A1573,'Customer Info'!M1474:M1573)</f>
        <v>0</v>
      </c>
    </row>
    <row r="1746" spans="1:10" ht="14" x14ac:dyDescent="0.2">
      <c r="A1746" s="2" t="s">
        <v>67</v>
      </c>
      <c r="B1746" s="2">
        <v>13</v>
      </c>
      <c r="C1746" s="2">
        <v>12</v>
      </c>
      <c r="D1746" s="2">
        <v>2021</v>
      </c>
      <c r="E1746" s="2">
        <v>111.29</v>
      </c>
      <c r="F1746" s="2">
        <v>79.36</v>
      </c>
      <c r="H1746" s="1">
        <f>_xlfn.XLOOKUP('Customer Info'!A1490,'Customer Info'!A1490:A1589,'Customer Info'!E1490:E1589,0,0)</f>
        <v>0</v>
      </c>
      <c r="J1746" s="1">
        <f>_xlfn.XLOOKUP('Customer Info'!A1490,'Customer Info'!A1490:A1589,'Customer Info'!M1490:M1589)</f>
        <v>0</v>
      </c>
    </row>
    <row r="1747" spans="1:10" ht="14" x14ac:dyDescent="0.2">
      <c r="A1747" s="2" t="s">
        <v>87</v>
      </c>
      <c r="B1747" s="2">
        <v>1</v>
      </c>
      <c r="C1747" s="2">
        <v>8</v>
      </c>
      <c r="D1747" s="2">
        <v>2021</v>
      </c>
      <c r="E1747" s="2">
        <v>72.849999999999994</v>
      </c>
      <c r="F1747" s="2">
        <v>79.36</v>
      </c>
      <c r="H1747" s="1">
        <f>_xlfn.XLOOKUP('Customer Info'!A1714,'Customer Info'!A1714:A1813,'Customer Info'!E1714:E1813,0,0)</f>
        <v>0</v>
      </c>
      <c r="J1747" s="1">
        <f>_xlfn.XLOOKUP('Customer Info'!A1714,'Customer Info'!A1714:A1813,'Customer Info'!M1714:M1813)</f>
        <v>0</v>
      </c>
    </row>
    <row r="1748" spans="1:10" ht="14" x14ac:dyDescent="0.2">
      <c r="A1748" s="2" t="s">
        <v>46</v>
      </c>
      <c r="B1748" s="2">
        <v>9</v>
      </c>
      <c r="C1748" s="2">
        <v>10</v>
      </c>
      <c r="D1748" s="2">
        <v>2021</v>
      </c>
      <c r="E1748" s="2">
        <v>63.86</v>
      </c>
      <c r="F1748" s="2">
        <v>79.36</v>
      </c>
      <c r="H1748" s="1">
        <f>_xlfn.XLOOKUP('Customer Info'!A1778,'Customer Info'!A1778:A1877,'Customer Info'!E1778:E1877,0,0)</f>
        <v>0</v>
      </c>
      <c r="J1748" s="1">
        <f>_xlfn.XLOOKUP('Customer Info'!A1778,'Customer Info'!A1778:A1877,'Customer Info'!M1778:M1877)</f>
        <v>0</v>
      </c>
    </row>
    <row r="1749" spans="1:10" ht="14" x14ac:dyDescent="0.2">
      <c r="A1749" s="2" t="s">
        <v>92</v>
      </c>
      <c r="B1749" s="2">
        <v>7</v>
      </c>
      <c r="C1749" s="2">
        <v>7</v>
      </c>
      <c r="D1749" s="2">
        <v>2021</v>
      </c>
      <c r="E1749" s="2">
        <v>63.24</v>
      </c>
      <c r="F1749" s="2">
        <v>79.36</v>
      </c>
      <c r="H1749" s="1">
        <f>_xlfn.XLOOKUP('Customer Info'!A1787,'Customer Info'!A1787:A1886,'Customer Info'!E1787:E1886,0,0)</f>
        <v>0</v>
      </c>
      <c r="J1749" s="1">
        <f>_xlfn.XLOOKUP('Customer Info'!A1787,'Customer Info'!A1787:A1886,'Customer Info'!M1787:M1886)</f>
        <v>0</v>
      </c>
    </row>
    <row r="1750" spans="1:10" ht="14" hidden="1" x14ac:dyDescent="0.2">
      <c r="A1750" s="2" t="s">
        <v>46</v>
      </c>
      <c r="B1750" s="2">
        <v>9</v>
      </c>
      <c r="C1750" s="2">
        <v>5</v>
      </c>
      <c r="D1750" s="2">
        <v>2020</v>
      </c>
      <c r="E1750" s="2">
        <v>41.23</v>
      </c>
      <c r="F1750" s="2">
        <v>79.36</v>
      </c>
      <c r="H1750" s="1">
        <f>_xlfn.XLOOKUP('Customer Info'!A721,'Customer Info'!A721:A820,'Customer Info'!E721:E820,0,0)</f>
        <v>0</v>
      </c>
      <c r="J1750" s="1">
        <f>_xlfn.XLOOKUP('Customer Info'!A721,'Customer Info'!A721:A820,'Customer Info'!M721:M820)</f>
        <v>0</v>
      </c>
    </row>
    <row r="1751" spans="1:10" ht="14" x14ac:dyDescent="0.2">
      <c r="A1751" s="2" t="s">
        <v>59</v>
      </c>
      <c r="B1751" s="2">
        <v>11</v>
      </c>
      <c r="C1751" s="2">
        <v>8</v>
      </c>
      <c r="D1751" s="2">
        <v>2021</v>
      </c>
      <c r="E1751" s="2">
        <v>39.369999999999997</v>
      </c>
      <c r="F1751" s="2">
        <v>79.36</v>
      </c>
      <c r="H1751" s="1">
        <f>_xlfn.XLOOKUP('Customer Info'!A1946,'Customer Info'!A1946:A2045,'Customer Info'!E1946:E2045,0,0)</f>
        <v>0</v>
      </c>
      <c r="J1751" s="1">
        <f>_xlfn.XLOOKUP('Customer Info'!A1946,'Customer Info'!A1946:A2045,'Customer Info'!M1946:M2045)</f>
        <v>0</v>
      </c>
    </row>
    <row r="1752" spans="1:10" ht="14" hidden="1" x14ac:dyDescent="0.2">
      <c r="A1752" s="2" t="s">
        <v>66</v>
      </c>
      <c r="B1752" s="2">
        <v>23</v>
      </c>
      <c r="C1752" s="2">
        <v>7</v>
      </c>
      <c r="D1752" s="2">
        <v>2020</v>
      </c>
      <c r="E1752" s="2">
        <v>37.82</v>
      </c>
      <c r="F1752" s="2">
        <v>79.36</v>
      </c>
      <c r="H1752" s="1">
        <f>_xlfn.XLOOKUP('Customer Info'!A753,'Customer Info'!A753:A852,'Customer Info'!E753:E852,0,0)</f>
        <v>0</v>
      </c>
      <c r="J1752" s="1">
        <f>_xlfn.XLOOKUP('Customer Info'!A753,'Customer Info'!A753:A852,'Customer Info'!M753:M852)</f>
        <v>0</v>
      </c>
    </row>
    <row r="1753" spans="1:10" ht="14" x14ac:dyDescent="0.2">
      <c r="A1753" s="2" t="s">
        <v>34</v>
      </c>
      <c r="B1753" s="2">
        <v>4</v>
      </c>
      <c r="C1753" s="2">
        <v>8</v>
      </c>
      <c r="D1753" s="2">
        <v>2021</v>
      </c>
      <c r="E1753" s="2">
        <v>21.7</v>
      </c>
      <c r="F1753" s="2">
        <v>79.36</v>
      </c>
      <c r="H1753" s="1">
        <f>_xlfn.XLOOKUP('Customer Info'!A2061,'Customer Info'!A2061:A2160,'Customer Info'!E2061:E2160,0,0)</f>
        <v>0</v>
      </c>
      <c r="J1753" s="1">
        <f>_xlfn.XLOOKUP('Customer Info'!A2061,'Customer Info'!A2061:A2160,'Customer Info'!M2061:M2160)</f>
        <v>0</v>
      </c>
    </row>
    <row r="1754" spans="1:10" ht="14" x14ac:dyDescent="0.2">
      <c r="A1754" s="2" t="s">
        <v>91</v>
      </c>
      <c r="B1754" s="2">
        <v>5</v>
      </c>
      <c r="C1754" s="2">
        <v>2</v>
      </c>
      <c r="D1754" s="2">
        <v>2021</v>
      </c>
      <c r="E1754" s="2">
        <v>138.6</v>
      </c>
      <c r="F1754" s="2">
        <v>79.239999999999995</v>
      </c>
      <c r="H1754" s="1">
        <f>_xlfn.XLOOKUP('Customer Info'!A1367,'Customer Info'!A1367:A1466,'Customer Info'!E1367:E1466,0,0)</f>
        <v>0</v>
      </c>
      <c r="J1754" s="1">
        <f>_xlfn.XLOOKUP('Customer Info'!A1367,'Customer Info'!A1367:A1466,'Customer Info'!M1367:M1466)</f>
        <v>0</v>
      </c>
    </row>
    <row r="1755" spans="1:10" ht="14" x14ac:dyDescent="0.2">
      <c r="A1755" s="2" t="s">
        <v>69</v>
      </c>
      <c r="B1755" s="2">
        <v>12</v>
      </c>
      <c r="C1755" s="2">
        <v>2</v>
      </c>
      <c r="D1755" s="2">
        <v>2021</v>
      </c>
      <c r="E1755" s="2">
        <v>122.92</v>
      </c>
      <c r="F1755" s="2">
        <v>79.239999999999995</v>
      </c>
      <c r="H1755" s="1">
        <f>_xlfn.XLOOKUP('Customer Info'!A1429,'Customer Info'!A1429:A1528,'Customer Info'!E1429:E1528,0,0)</f>
        <v>0</v>
      </c>
      <c r="J1755" s="1">
        <f>_xlfn.XLOOKUP('Customer Info'!A1429,'Customer Info'!A1429:A1528,'Customer Info'!M1429:M1528)</f>
        <v>0</v>
      </c>
    </row>
    <row r="1756" spans="1:10" ht="14" hidden="1" x14ac:dyDescent="0.2">
      <c r="A1756" s="2" t="s">
        <v>53</v>
      </c>
      <c r="B1756" s="2">
        <v>18</v>
      </c>
      <c r="C1756" s="2">
        <v>2</v>
      </c>
      <c r="D1756" s="2">
        <v>2020</v>
      </c>
      <c r="E1756" s="2">
        <v>106.4</v>
      </c>
      <c r="F1756" s="2">
        <v>79.239999999999995</v>
      </c>
      <c r="H1756" s="1">
        <f>_xlfn.XLOOKUP('Customer Info'!A286,'Customer Info'!A286:A385,'Customer Info'!E286:E385,0,0)</f>
        <v>0</v>
      </c>
      <c r="J1756" s="1">
        <f>_xlfn.XLOOKUP('Customer Info'!A286,'Customer Info'!A286:A385,'Customer Info'!M286:M385)</f>
        <v>0</v>
      </c>
    </row>
    <row r="1757" spans="1:10" ht="14" hidden="1" x14ac:dyDescent="0.2">
      <c r="A1757" s="2" t="s">
        <v>0</v>
      </c>
      <c r="B1757" s="2">
        <v>25</v>
      </c>
      <c r="C1757" s="2">
        <v>11</v>
      </c>
      <c r="D1757" s="2">
        <v>2020</v>
      </c>
      <c r="E1757" s="1" t="s">
        <v>94</v>
      </c>
      <c r="F1757" s="2">
        <v>79.2</v>
      </c>
      <c r="H1757" s="1">
        <f>_xlfn.XLOOKUP('Customer Info'!A125,'Customer Info'!A125:A224,'Customer Info'!E125:E224,0,0)</f>
        <v>0</v>
      </c>
      <c r="J1757" s="1">
        <f>_xlfn.XLOOKUP('Customer Info'!A125,'Customer Info'!A125:A224,'Customer Info'!M125:M224)</f>
        <v>0</v>
      </c>
    </row>
    <row r="1758" spans="1:10" ht="14" hidden="1" x14ac:dyDescent="0.2">
      <c r="A1758" s="2" t="s">
        <v>92</v>
      </c>
      <c r="B1758" s="2">
        <v>7</v>
      </c>
      <c r="C1758" s="2">
        <v>11</v>
      </c>
      <c r="D1758" s="2">
        <v>2020</v>
      </c>
      <c r="E1758" s="2">
        <v>162.9</v>
      </c>
      <c r="F1758" s="2">
        <v>79.2</v>
      </c>
      <c r="H1758" s="1">
        <f>_xlfn.XLOOKUP('Customer Info'!A147,'Customer Info'!A147:A246,'Customer Info'!E147:E246,0,0)</f>
        <v>0</v>
      </c>
      <c r="J1758" s="1">
        <f>_xlfn.XLOOKUP('Customer Info'!A147,'Customer Info'!A147:A246,'Customer Info'!M147:M246)</f>
        <v>0</v>
      </c>
    </row>
    <row r="1759" spans="1:10" ht="14" x14ac:dyDescent="0.2">
      <c r="A1759" s="2" t="s">
        <v>64</v>
      </c>
      <c r="B1759" s="2">
        <v>21</v>
      </c>
      <c r="C1759" s="2">
        <v>11</v>
      </c>
      <c r="D1759" s="2">
        <v>2021</v>
      </c>
      <c r="E1759" s="2">
        <v>102.9</v>
      </c>
      <c r="F1759" s="2">
        <v>79.2</v>
      </c>
      <c r="H1759" s="1">
        <f>_xlfn.XLOOKUP('Customer Info'!A1538,'Customer Info'!A1538:A1637,'Customer Info'!E1538:E1637,0,0)</f>
        <v>0</v>
      </c>
      <c r="J1759" s="1">
        <f>_xlfn.XLOOKUP('Customer Info'!A1538,'Customer Info'!A1538:A1637,'Customer Info'!M1538:M1637)</f>
        <v>0</v>
      </c>
    </row>
    <row r="1760" spans="1:10" ht="14" x14ac:dyDescent="0.2">
      <c r="A1760" s="2" t="s">
        <v>35</v>
      </c>
      <c r="B1760" s="2">
        <v>9</v>
      </c>
      <c r="C1760" s="2">
        <v>4</v>
      </c>
      <c r="D1760" s="2">
        <v>2021</v>
      </c>
      <c r="E1760" s="2">
        <v>66</v>
      </c>
      <c r="F1760" s="2">
        <v>79.2</v>
      </c>
      <c r="H1760" s="1">
        <f>_xlfn.XLOOKUP('Customer Info'!A1763,'Customer Info'!A1763:A1862,'Customer Info'!E1763:E1862,0,0)</f>
        <v>0</v>
      </c>
      <c r="J1760" s="1">
        <f>_xlfn.XLOOKUP('Customer Info'!A1763,'Customer Info'!A1763:A1862,'Customer Info'!M1763:M1862)</f>
        <v>0</v>
      </c>
    </row>
    <row r="1761" spans="1:10" ht="14" hidden="1" x14ac:dyDescent="0.2">
      <c r="A1761" s="2" t="s">
        <v>87</v>
      </c>
      <c r="B1761" s="2">
        <v>1</v>
      </c>
      <c r="C1761" s="2">
        <v>9</v>
      </c>
      <c r="D1761" s="2">
        <v>2020</v>
      </c>
      <c r="E1761" s="2">
        <v>60</v>
      </c>
      <c r="F1761" s="2">
        <v>79.2</v>
      </c>
      <c r="H1761" s="1">
        <f>_xlfn.XLOOKUP('Customer Info'!A586,'Customer Info'!A586:A685,'Customer Info'!E586:E685,0,0)</f>
        <v>0</v>
      </c>
      <c r="J1761" s="1">
        <f>_xlfn.XLOOKUP('Customer Info'!A586,'Customer Info'!A586:A685,'Customer Info'!M586:M685)</f>
        <v>0</v>
      </c>
    </row>
    <row r="1762" spans="1:10" ht="14" hidden="1" x14ac:dyDescent="0.2">
      <c r="A1762" s="2" t="s">
        <v>64</v>
      </c>
      <c r="B1762" s="2">
        <v>21</v>
      </c>
      <c r="C1762" s="2">
        <v>6</v>
      </c>
      <c r="D1762" s="2">
        <v>2020</v>
      </c>
      <c r="E1762" s="2">
        <v>39.6</v>
      </c>
      <c r="F1762" s="2">
        <v>79.2</v>
      </c>
      <c r="H1762" s="1">
        <f>_xlfn.XLOOKUP('Customer Info'!A736,'Customer Info'!A736:A835,'Customer Info'!E736:E835,0,0)</f>
        <v>0</v>
      </c>
      <c r="J1762" s="1">
        <f>_xlfn.XLOOKUP('Customer Info'!A736,'Customer Info'!A736:A835,'Customer Info'!M736:M835)</f>
        <v>0</v>
      </c>
    </row>
    <row r="1763" spans="1:10" ht="14" x14ac:dyDescent="0.2">
      <c r="A1763" s="2" t="s">
        <v>95</v>
      </c>
      <c r="B1763" s="2">
        <v>24</v>
      </c>
      <c r="C1763" s="2">
        <v>12</v>
      </c>
      <c r="D1763" s="2">
        <v>2021</v>
      </c>
      <c r="E1763" s="1" t="s">
        <v>94</v>
      </c>
      <c r="F1763" s="2">
        <v>79.05</v>
      </c>
      <c r="H1763" s="1">
        <f>_xlfn.XLOOKUP('Customer Info'!A1310,'Customer Info'!A1310:A1409,'Customer Info'!E1310:E1409,0,0)</f>
        <v>0</v>
      </c>
      <c r="J1763" s="1">
        <f>_xlfn.XLOOKUP('Customer Info'!A1310,'Customer Info'!A1310:A1409,'Customer Info'!M1310:M1409)</f>
        <v>0</v>
      </c>
    </row>
    <row r="1764" spans="1:10" ht="14" hidden="1" x14ac:dyDescent="0.2">
      <c r="A1764" s="2" t="s">
        <v>63</v>
      </c>
      <c r="B1764" s="2">
        <v>25</v>
      </c>
      <c r="C1764" s="2">
        <v>12</v>
      </c>
      <c r="D1764" s="2">
        <v>2020</v>
      </c>
      <c r="E1764" s="2">
        <v>100.75</v>
      </c>
      <c r="F1764" s="2">
        <v>79.05</v>
      </c>
      <c r="H1764" s="1">
        <f>_xlfn.XLOOKUP('Customer Info'!A323,'Customer Info'!A323:A422,'Customer Info'!E323:E422,0,0)</f>
        <v>0</v>
      </c>
      <c r="J1764" s="1">
        <f>_xlfn.XLOOKUP('Customer Info'!A323,'Customer Info'!A323:A422,'Customer Info'!M323:M422)</f>
        <v>0</v>
      </c>
    </row>
    <row r="1765" spans="1:10" ht="14" x14ac:dyDescent="0.2">
      <c r="A1765" s="2" t="s">
        <v>92</v>
      </c>
      <c r="B1765" s="2">
        <v>7</v>
      </c>
      <c r="C1765" s="2">
        <v>10</v>
      </c>
      <c r="D1765" s="2">
        <v>2021</v>
      </c>
      <c r="E1765" s="2">
        <v>99.82</v>
      </c>
      <c r="F1765" s="2">
        <v>79.05</v>
      </c>
      <c r="H1765" s="1">
        <f>_xlfn.XLOOKUP('Customer Info'!A1557,'Customer Info'!A1557:A1656,'Customer Info'!E1557:E1656,0,0)</f>
        <v>0</v>
      </c>
      <c r="J1765" s="1">
        <f>_xlfn.XLOOKUP('Customer Info'!A1557,'Customer Info'!A1557:A1656,'Customer Info'!M1557:M1656)</f>
        <v>0</v>
      </c>
    </row>
    <row r="1766" spans="1:10" ht="14" x14ac:dyDescent="0.2">
      <c r="A1766" s="2" t="s">
        <v>91</v>
      </c>
      <c r="B1766" s="2">
        <v>5</v>
      </c>
      <c r="C1766" s="2">
        <v>8</v>
      </c>
      <c r="D1766" s="2">
        <v>2021</v>
      </c>
      <c r="E1766" s="2">
        <v>70.37</v>
      </c>
      <c r="F1766" s="2">
        <v>79.05</v>
      </c>
      <c r="H1766" s="1">
        <f>_xlfn.XLOOKUP('Customer Info'!A1734,'Customer Info'!A1734:A1833,'Customer Info'!E1734:E1833,0,0)</f>
        <v>0</v>
      </c>
      <c r="J1766" s="1">
        <f>_xlfn.XLOOKUP('Customer Info'!A1734,'Customer Info'!A1734:A1833,'Customer Info'!M1734:M1833)</f>
        <v>0</v>
      </c>
    </row>
    <row r="1767" spans="1:10" ht="14" x14ac:dyDescent="0.2">
      <c r="A1767" s="2" t="s">
        <v>60</v>
      </c>
      <c r="B1767" s="2">
        <v>20</v>
      </c>
      <c r="C1767" s="2">
        <v>5</v>
      </c>
      <c r="D1767" s="2">
        <v>2021</v>
      </c>
      <c r="E1767" s="2">
        <v>57.04</v>
      </c>
      <c r="F1767" s="2">
        <v>79.05</v>
      </c>
      <c r="H1767" s="1">
        <f>_xlfn.XLOOKUP('Customer Info'!A1822,'Customer Info'!A1822:A1921,'Customer Info'!E1822:E1921,0,0)</f>
        <v>0</v>
      </c>
      <c r="J1767" s="1">
        <f>_xlfn.XLOOKUP('Customer Info'!A1822,'Customer Info'!A1822:A1921,'Customer Info'!M1822:M1921)</f>
        <v>0</v>
      </c>
    </row>
    <row r="1768" spans="1:10" ht="14" hidden="1" x14ac:dyDescent="0.2">
      <c r="A1768" s="2" t="s">
        <v>51</v>
      </c>
      <c r="B1768" s="2">
        <v>16</v>
      </c>
      <c r="C1768" s="2">
        <v>5</v>
      </c>
      <c r="D1768" s="2">
        <v>2020</v>
      </c>
      <c r="E1768" s="2">
        <v>46.19</v>
      </c>
      <c r="F1768" s="2">
        <v>79.05</v>
      </c>
      <c r="H1768" s="1">
        <f>_xlfn.XLOOKUP('Customer Info'!A675,'Customer Info'!A675:A774,'Customer Info'!E675:E774,0,0)</f>
        <v>0</v>
      </c>
      <c r="J1768" s="1">
        <f>_xlfn.XLOOKUP('Customer Info'!A675,'Customer Info'!A675:A774,'Customer Info'!M675:M774)</f>
        <v>0</v>
      </c>
    </row>
    <row r="1769" spans="1:10" ht="14" x14ac:dyDescent="0.2">
      <c r="A1769" s="2" t="s">
        <v>66</v>
      </c>
      <c r="B1769" s="2">
        <v>23</v>
      </c>
      <c r="C1769" s="2">
        <v>8</v>
      </c>
      <c r="D1769" s="2">
        <v>2021</v>
      </c>
      <c r="E1769" s="2">
        <v>43.09</v>
      </c>
      <c r="F1769" s="2">
        <v>79.05</v>
      </c>
      <c r="H1769" s="1">
        <f>_xlfn.XLOOKUP('Customer Info'!A1922,'Customer Info'!A1922:A2021,'Customer Info'!E1922:E2021,0,0)</f>
        <v>0</v>
      </c>
      <c r="J1769" s="1">
        <f>_xlfn.XLOOKUP('Customer Info'!A1922,'Customer Info'!A1922:A2021,'Customer Info'!M1922:M2021)</f>
        <v>0</v>
      </c>
    </row>
    <row r="1770" spans="1:10" ht="14" hidden="1" x14ac:dyDescent="0.2">
      <c r="A1770" s="2" t="s">
        <v>52</v>
      </c>
      <c r="B1770" s="2">
        <v>1</v>
      </c>
      <c r="C1770" s="2">
        <v>11</v>
      </c>
      <c r="D1770" s="2">
        <v>2020</v>
      </c>
      <c r="E1770" s="2">
        <v>110.7</v>
      </c>
      <c r="F1770" s="2">
        <v>78.900000000000006</v>
      </c>
      <c r="H1770" s="1">
        <f>_xlfn.XLOOKUP('Customer Info'!A254,'Customer Info'!A254:A353,'Customer Info'!E254:E353,0,0)</f>
        <v>0</v>
      </c>
      <c r="J1770" s="1">
        <f>_xlfn.XLOOKUP('Customer Info'!A254,'Customer Info'!A254:A353,'Customer Info'!M254:M353)</f>
        <v>0</v>
      </c>
    </row>
    <row r="1771" spans="1:10" ht="14" hidden="1" x14ac:dyDescent="0.2">
      <c r="A1771" s="2" t="s">
        <v>92</v>
      </c>
      <c r="B1771" s="2">
        <v>7</v>
      </c>
      <c r="C1771" s="2">
        <v>9</v>
      </c>
      <c r="D1771" s="2">
        <v>2020</v>
      </c>
      <c r="E1771" s="2">
        <v>76.2</v>
      </c>
      <c r="F1771" s="2">
        <v>78.900000000000006</v>
      </c>
      <c r="H1771" s="1">
        <f>_xlfn.XLOOKUP('Customer Info'!A462,'Customer Info'!A462:A561,'Customer Info'!E462:E561,0,0)</f>
        <v>0</v>
      </c>
      <c r="J1771" s="1">
        <f>_xlfn.XLOOKUP('Customer Info'!A462,'Customer Info'!A462:A561,'Customer Info'!M462:M561)</f>
        <v>0</v>
      </c>
    </row>
    <row r="1772" spans="1:10" ht="14" x14ac:dyDescent="0.2">
      <c r="A1772" s="2" t="s">
        <v>91</v>
      </c>
      <c r="B1772" s="2">
        <v>5</v>
      </c>
      <c r="C1772" s="2">
        <v>6</v>
      </c>
      <c r="D1772" s="2">
        <v>2021</v>
      </c>
      <c r="E1772" s="2">
        <v>63.6</v>
      </c>
      <c r="F1772" s="2">
        <v>78.900000000000006</v>
      </c>
      <c r="H1772" s="1">
        <f>_xlfn.XLOOKUP('Customer Info'!A1780,'Customer Info'!A1780:A1879,'Customer Info'!E1780:E1879,0,0)</f>
        <v>0</v>
      </c>
      <c r="J1772" s="1">
        <f>_xlfn.XLOOKUP('Customer Info'!A1780,'Customer Info'!A1780:A1879,'Customer Info'!M1780:M1879)</f>
        <v>0</v>
      </c>
    </row>
    <row r="1773" spans="1:10" ht="14" hidden="1" x14ac:dyDescent="0.2">
      <c r="A1773" s="2" t="s">
        <v>33</v>
      </c>
      <c r="B1773" s="2">
        <v>21</v>
      </c>
      <c r="C1773" s="2">
        <v>4</v>
      </c>
      <c r="D1773" s="2">
        <v>2020</v>
      </c>
      <c r="E1773" s="2">
        <v>42.3</v>
      </c>
      <c r="F1773" s="2">
        <v>78.900000000000006</v>
      </c>
      <c r="H1773" s="1">
        <f>_xlfn.XLOOKUP('Customer Info'!A716,'Customer Info'!A716:A815,'Customer Info'!E716:E815,0,0)</f>
        <v>0</v>
      </c>
      <c r="J1773" s="1">
        <f>_xlfn.XLOOKUP('Customer Info'!A716,'Customer Info'!A716:A815,'Customer Info'!M716:M815)</f>
        <v>0</v>
      </c>
    </row>
    <row r="1774" spans="1:10" ht="14" x14ac:dyDescent="0.2">
      <c r="A1774" s="2" t="s">
        <v>47</v>
      </c>
      <c r="B1774" s="2">
        <v>19</v>
      </c>
      <c r="C1774" s="2">
        <v>6</v>
      </c>
      <c r="D1774" s="2">
        <v>2021</v>
      </c>
      <c r="E1774" s="2">
        <v>31.8</v>
      </c>
      <c r="F1774" s="2">
        <v>78.900000000000006</v>
      </c>
      <c r="H1774" s="1">
        <f>_xlfn.XLOOKUP('Customer Info'!A2010,'Customer Info'!A2010:A2109,'Customer Info'!E2010:E2109,0,0)</f>
        <v>0</v>
      </c>
      <c r="J1774" s="1">
        <f>_xlfn.XLOOKUP('Customer Info'!A2010,'Customer Info'!A2010:A2109,'Customer Info'!M2010:M2109)</f>
        <v>0</v>
      </c>
    </row>
    <row r="1775" spans="1:10" ht="14" hidden="1" x14ac:dyDescent="0.2">
      <c r="A1775" s="2" t="s">
        <v>96</v>
      </c>
      <c r="B1775" s="2">
        <v>3</v>
      </c>
      <c r="C1775" s="2">
        <v>12</v>
      </c>
      <c r="D1775" s="2">
        <v>2020</v>
      </c>
      <c r="E1775" s="1" t="s">
        <v>94</v>
      </c>
      <c r="F1775" s="2">
        <v>78.739999999999995</v>
      </c>
      <c r="H1775" s="1">
        <f>_xlfn.XLOOKUP('Customer Info'!A126,'Customer Info'!A126:A225,'Customer Info'!E126:E225,0,0)</f>
        <v>0</v>
      </c>
      <c r="J1775" s="1">
        <f>_xlfn.XLOOKUP('Customer Info'!A126,'Customer Info'!A126:A225,'Customer Info'!M126:M225)</f>
        <v>0</v>
      </c>
    </row>
    <row r="1776" spans="1:10" ht="14" x14ac:dyDescent="0.2">
      <c r="A1776" s="2" t="s">
        <v>89</v>
      </c>
      <c r="B1776" s="2">
        <v>2</v>
      </c>
      <c r="C1776" s="2">
        <v>12</v>
      </c>
      <c r="D1776" s="2">
        <v>2021</v>
      </c>
      <c r="E1776" s="2">
        <v>133.91999999999999</v>
      </c>
      <c r="F1776" s="2">
        <v>78.739999999999995</v>
      </c>
      <c r="H1776" s="1">
        <f>_xlfn.XLOOKUP('Customer Info'!A1382,'Customer Info'!A1382:A1481,'Customer Info'!E1382:E1481,0,0)</f>
        <v>0</v>
      </c>
      <c r="J1776" s="1">
        <f>_xlfn.XLOOKUP('Customer Info'!A1382,'Customer Info'!A1382:A1481,'Customer Info'!M1382:M1481)</f>
        <v>0</v>
      </c>
    </row>
    <row r="1777" spans="1:10" ht="14" hidden="1" x14ac:dyDescent="0.2">
      <c r="A1777" s="2" t="s">
        <v>50</v>
      </c>
      <c r="B1777" s="2">
        <v>24</v>
      </c>
      <c r="C1777" s="2">
        <v>12</v>
      </c>
      <c r="D1777" s="2">
        <v>2020</v>
      </c>
      <c r="E1777" s="2">
        <v>121.52</v>
      </c>
      <c r="F1777" s="2">
        <v>78.739999999999995</v>
      </c>
      <c r="H1777" s="1">
        <f>_xlfn.XLOOKUP('Customer Info'!A201,'Customer Info'!A201:A300,'Customer Info'!E201:E300,0,0)</f>
        <v>0</v>
      </c>
      <c r="J1777" s="1">
        <f>_xlfn.XLOOKUP('Customer Info'!A201,'Customer Info'!A201:A300,'Customer Info'!M201:M300)</f>
        <v>0</v>
      </c>
    </row>
    <row r="1778" spans="1:10" ht="14" hidden="1" x14ac:dyDescent="0.2">
      <c r="A1778" s="2" t="s">
        <v>67</v>
      </c>
      <c r="B1778" s="2">
        <v>13</v>
      </c>
      <c r="C1778" s="2">
        <v>1</v>
      </c>
      <c r="D1778" s="2">
        <v>2020</v>
      </c>
      <c r="E1778" s="2">
        <v>114.08</v>
      </c>
      <c r="F1778" s="2">
        <v>78.739999999999995</v>
      </c>
      <c r="H1778" s="1">
        <f>_xlfn.XLOOKUP('Customer Info'!A240,'Customer Info'!A240:A339,'Customer Info'!E240:E339,0,0)</f>
        <v>0</v>
      </c>
      <c r="J1778" s="1">
        <f>_xlfn.XLOOKUP('Customer Info'!A240,'Customer Info'!A240:A339,'Customer Info'!M240:M339)</f>
        <v>0</v>
      </c>
    </row>
    <row r="1779" spans="1:10" ht="14" x14ac:dyDescent="0.2">
      <c r="A1779" s="2" t="s">
        <v>64</v>
      </c>
      <c r="B1779" s="2">
        <v>21</v>
      </c>
      <c r="C1779" s="2">
        <v>3</v>
      </c>
      <c r="D1779" s="2">
        <v>2021</v>
      </c>
      <c r="E1779" s="2">
        <v>72.23</v>
      </c>
      <c r="F1779" s="2">
        <v>78.739999999999995</v>
      </c>
      <c r="H1779" s="1">
        <f>_xlfn.XLOOKUP('Customer Info'!A1718,'Customer Info'!A1718:A1817,'Customer Info'!E1718:E1817,0,0)</f>
        <v>0</v>
      </c>
      <c r="J1779" s="1">
        <f>_xlfn.XLOOKUP('Customer Info'!A1718,'Customer Info'!A1718:A1817,'Customer Info'!M1718:M1817)</f>
        <v>0</v>
      </c>
    </row>
    <row r="1780" spans="1:10" ht="14" x14ac:dyDescent="0.2">
      <c r="A1780" s="2" t="s">
        <v>33</v>
      </c>
      <c r="B1780" s="2">
        <v>21</v>
      </c>
      <c r="C1780" s="2">
        <v>3</v>
      </c>
      <c r="D1780" s="2">
        <v>2021</v>
      </c>
      <c r="E1780" s="2">
        <v>62.62</v>
      </c>
      <c r="F1780" s="2">
        <v>78.739999999999995</v>
      </c>
      <c r="H1780" s="1">
        <f>_xlfn.XLOOKUP('Customer Info'!A1792,'Customer Info'!A1792:A1891,'Customer Info'!E1792:E1891,0,0)</f>
        <v>0</v>
      </c>
      <c r="J1780" s="1">
        <f>_xlfn.XLOOKUP('Customer Info'!A1792,'Customer Info'!A1792:A1891,'Customer Info'!M1792:M1891)</f>
        <v>0</v>
      </c>
    </row>
    <row r="1781" spans="1:10" ht="14" hidden="1" x14ac:dyDescent="0.2">
      <c r="A1781" s="2" t="s">
        <v>56</v>
      </c>
      <c r="B1781" s="2">
        <v>14</v>
      </c>
      <c r="C1781" s="2">
        <v>8</v>
      </c>
      <c r="D1781" s="2">
        <v>2020</v>
      </c>
      <c r="E1781" s="2">
        <v>36.89</v>
      </c>
      <c r="F1781" s="2">
        <v>78.739999999999995</v>
      </c>
      <c r="H1781" s="1">
        <f>_xlfn.XLOOKUP('Customer Info'!A767,'Customer Info'!A767:A866,'Customer Info'!E767:E866,0,0)</f>
        <v>0</v>
      </c>
      <c r="J1781" s="1">
        <f>_xlfn.XLOOKUP('Customer Info'!A767,'Customer Info'!A767:A866,'Customer Info'!M767:M866)</f>
        <v>0</v>
      </c>
    </row>
    <row r="1782" spans="1:10" ht="14" x14ac:dyDescent="0.2">
      <c r="A1782" s="2" t="s">
        <v>92</v>
      </c>
      <c r="B1782" s="2">
        <v>7</v>
      </c>
      <c r="C1782" s="2">
        <v>2</v>
      </c>
      <c r="D1782" s="2">
        <v>2021</v>
      </c>
      <c r="E1782" s="2">
        <v>120.12</v>
      </c>
      <c r="F1782" s="2">
        <v>78.680000000000007</v>
      </c>
      <c r="H1782" s="1">
        <f>_xlfn.XLOOKUP('Customer Info'!A1440,'Customer Info'!A1440:A1539,'Customer Info'!E1440:E1539,0,0)</f>
        <v>0</v>
      </c>
      <c r="J1782" s="1">
        <f>_xlfn.XLOOKUP('Customer Info'!A1440,'Customer Info'!A1440:A1539,'Customer Info'!M1440:M1539)</f>
        <v>0</v>
      </c>
    </row>
    <row r="1783" spans="1:10" ht="14" x14ac:dyDescent="0.2">
      <c r="A1783" s="2" t="s">
        <v>53</v>
      </c>
      <c r="B1783" s="2">
        <v>18</v>
      </c>
      <c r="C1783" s="2">
        <v>2</v>
      </c>
      <c r="D1783" s="2">
        <v>2021</v>
      </c>
      <c r="E1783" s="2">
        <v>107.52</v>
      </c>
      <c r="F1783" s="2">
        <v>78.680000000000007</v>
      </c>
      <c r="H1783" s="1">
        <f>_xlfn.XLOOKUP('Customer Info'!A1512,'Customer Info'!A1512:A1611,'Customer Info'!E1512:E1611,0,0)</f>
        <v>0</v>
      </c>
      <c r="J1783" s="1">
        <f>_xlfn.XLOOKUP('Customer Info'!A1512,'Customer Info'!A1512:A1611,'Customer Info'!M1512:M1611)</f>
        <v>0</v>
      </c>
    </row>
    <row r="1784" spans="1:10" ht="14" hidden="1" x14ac:dyDescent="0.2">
      <c r="A1784" s="2" t="s">
        <v>82</v>
      </c>
      <c r="B1784" s="2">
        <v>8</v>
      </c>
      <c r="C1784" s="2">
        <v>11</v>
      </c>
      <c r="D1784" s="2">
        <v>2020</v>
      </c>
      <c r="E1784" s="2">
        <v>127.2</v>
      </c>
      <c r="F1784" s="2">
        <v>78.599999999999994</v>
      </c>
      <c r="H1784" s="1">
        <f>_xlfn.XLOOKUP('Customer Info'!A184,'Customer Info'!A184:A283,'Customer Info'!E184:E283,0,0)</f>
        <v>0</v>
      </c>
      <c r="J1784" s="1">
        <f>_xlfn.XLOOKUP('Customer Info'!A184,'Customer Info'!A184:A283,'Customer Info'!M184:M283)</f>
        <v>0</v>
      </c>
    </row>
    <row r="1785" spans="1:10" ht="14" x14ac:dyDescent="0.2">
      <c r="A1785" s="2" t="s">
        <v>60</v>
      </c>
      <c r="B1785" s="2">
        <v>20</v>
      </c>
      <c r="C1785" s="2">
        <v>4</v>
      </c>
      <c r="D1785" s="2">
        <v>2021</v>
      </c>
      <c r="E1785" s="2">
        <v>77.400000000000006</v>
      </c>
      <c r="F1785" s="2">
        <v>78.599999999999994</v>
      </c>
      <c r="H1785" s="1">
        <f>_xlfn.XLOOKUP('Customer Info'!A1683,'Customer Info'!A1683:A1782,'Customer Info'!E1683:E1782,0,0)</f>
        <v>0</v>
      </c>
      <c r="J1785" s="1">
        <f>_xlfn.XLOOKUP('Customer Info'!A1683,'Customer Info'!A1683:A1782,'Customer Info'!M1683:M1782)</f>
        <v>0</v>
      </c>
    </row>
    <row r="1786" spans="1:10" ht="14" hidden="1" x14ac:dyDescent="0.2">
      <c r="A1786" s="2" t="s">
        <v>58</v>
      </c>
      <c r="B1786" s="2">
        <v>16</v>
      </c>
      <c r="C1786" s="2">
        <v>6</v>
      </c>
      <c r="D1786" s="2">
        <v>2020</v>
      </c>
      <c r="E1786" s="2">
        <v>36.9</v>
      </c>
      <c r="F1786" s="2">
        <v>78.599999999999994</v>
      </c>
      <c r="H1786" s="1">
        <f>_xlfn.XLOOKUP('Customer Info'!A765,'Customer Info'!A765:A864,'Customer Info'!E765:E864,0,0)</f>
        <v>0</v>
      </c>
      <c r="J1786" s="1">
        <f>_xlfn.XLOOKUP('Customer Info'!A765,'Customer Info'!A765:A864,'Customer Info'!M765:M864)</f>
        <v>0</v>
      </c>
    </row>
    <row r="1787" spans="1:10" ht="14" hidden="1" x14ac:dyDescent="0.2">
      <c r="A1787" s="2" t="s">
        <v>57</v>
      </c>
      <c r="B1787" s="2">
        <v>17</v>
      </c>
      <c r="C1787" s="2">
        <v>9</v>
      </c>
      <c r="D1787" s="2">
        <v>2020</v>
      </c>
      <c r="E1787" s="2">
        <v>36</v>
      </c>
      <c r="F1787" s="2">
        <v>78.599999999999994</v>
      </c>
      <c r="H1787" s="1">
        <f>_xlfn.XLOOKUP('Customer Info'!A777,'Customer Info'!A777:A876,'Customer Info'!E777:E876,0,0)</f>
        <v>0</v>
      </c>
      <c r="J1787" s="1">
        <f>_xlfn.XLOOKUP('Customer Info'!A777,'Customer Info'!A777:A876,'Customer Info'!M777:M876)</f>
        <v>0</v>
      </c>
    </row>
    <row r="1788" spans="1:10" ht="14" x14ac:dyDescent="0.2">
      <c r="A1788" s="2" t="s">
        <v>63</v>
      </c>
      <c r="B1788" s="2">
        <v>25</v>
      </c>
      <c r="C1788" s="2">
        <v>6</v>
      </c>
      <c r="D1788" s="2">
        <v>2021</v>
      </c>
      <c r="E1788" s="2">
        <v>34.5</v>
      </c>
      <c r="F1788" s="2">
        <v>78.599999999999994</v>
      </c>
      <c r="H1788" s="1">
        <f>_xlfn.XLOOKUP('Customer Info'!A1992,'Customer Info'!A1992:A2091,'Customer Info'!E1992:E2091,0,0)</f>
        <v>0</v>
      </c>
      <c r="J1788" s="1">
        <f>_xlfn.XLOOKUP('Customer Info'!A1992,'Customer Info'!A1992:A2091,'Customer Info'!M1992:M2091)</f>
        <v>0</v>
      </c>
    </row>
    <row r="1789" spans="1:10" ht="14" x14ac:dyDescent="0.2">
      <c r="A1789" s="2" t="s">
        <v>93</v>
      </c>
      <c r="B1789" s="2">
        <v>3</v>
      </c>
      <c r="C1789" s="2">
        <v>12</v>
      </c>
      <c r="D1789" s="2">
        <v>2021</v>
      </c>
      <c r="E1789" s="2">
        <v>147.56</v>
      </c>
      <c r="F1789" s="2">
        <v>78.430000000000007</v>
      </c>
      <c r="H1789" s="1">
        <f>_xlfn.XLOOKUP('Customer Info'!A1353,'Customer Info'!A1353:A1452,'Customer Info'!E1353:E1452,0,0)</f>
        <v>0</v>
      </c>
      <c r="J1789" s="1">
        <f>_xlfn.XLOOKUP('Customer Info'!A1353,'Customer Info'!A1353:A1452,'Customer Info'!M1353:M1452)</f>
        <v>0</v>
      </c>
    </row>
    <row r="1790" spans="1:10" ht="14" hidden="1" x14ac:dyDescent="0.2">
      <c r="A1790" s="2" t="s">
        <v>70</v>
      </c>
      <c r="B1790" s="2">
        <v>16</v>
      </c>
      <c r="C1790" s="2">
        <v>3</v>
      </c>
      <c r="D1790" s="2">
        <v>2020</v>
      </c>
      <c r="E1790" s="2">
        <v>76.260000000000005</v>
      </c>
      <c r="F1790" s="2">
        <v>78.430000000000007</v>
      </c>
      <c r="H1790" s="1">
        <f>_xlfn.XLOOKUP('Customer Info'!A460,'Customer Info'!A460:A559,'Customer Info'!E460:E559,0,0)</f>
        <v>0</v>
      </c>
      <c r="J1790" s="1">
        <f>_xlfn.XLOOKUP('Customer Info'!A460,'Customer Info'!A460:A559,'Customer Info'!M460:M559)</f>
        <v>0</v>
      </c>
    </row>
    <row r="1791" spans="1:10" ht="14" x14ac:dyDescent="0.2">
      <c r="A1791" s="2" t="s">
        <v>47</v>
      </c>
      <c r="B1791" s="2">
        <v>19</v>
      </c>
      <c r="C1791" s="2">
        <v>10</v>
      </c>
      <c r="D1791" s="2">
        <v>2021</v>
      </c>
      <c r="E1791" s="2">
        <v>62.93</v>
      </c>
      <c r="F1791" s="2">
        <v>78.430000000000007</v>
      </c>
      <c r="H1791" s="1">
        <f>_xlfn.XLOOKUP('Customer Info'!A1789,'Customer Info'!A1789:A1888,'Customer Info'!E1789:E1888,0,0)</f>
        <v>0</v>
      </c>
      <c r="J1791" s="1">
        <f>_xlfn.XLOOKUP('Customer Info'!A1789,'Customer Info'!A1789:A1888,'Customer Info'!M1789:M1888)</f>
        <v>0</v>
      </c>
    </row>
    <row r="1792" spans="1:10" ht="14" hidden="1" x14ac:dyDescent="0.2">
      <c r="A1792" s="2" t="s">
        <v>52</v>
      </c>
      <c r="B1792" s="2">
        <v>1</v>
      </c>
      <c r="C1792" s="2">
        <v>3</v>
      </c>
      <c r="D1792" s="2">
        <v>2020</v>
      </c>
      <c r="E1792" s="2">
        <v>58.9</v>
      </c>
      <c r="F1792" s="2">
        <v>78.430000000000007</v>
      </c>
      <c r="H1792" s="1">
        <f>_xlfn.XLOOKUP('Customer Info'!A593,'Customer Info'!A593:A692,'Customer Info'!E593:E692,0,0)</f>
        <v>0</v>
      </c>
      <c r="J1792" s="1">
        <f>_xlfn.XLOOKUP('Customer Info'!A593,'Customer Info'!A593:A692,'Customer Info'!M593:M692)</f>
        <v>0</v>
      </c>
    </row>
    <row r="1793" spans="1:10" ht="14" x14ac:dyDescent="0.2">
      <c r="A1793" s="2" t="s">
        <v>34</v>
      </c>
      <c r="B1793" s="2">
        <v>4</v>
      </c>
      <c r="C1793" s="2">
        <v>10</v>
      </c>
      <c r="D1793" s="2">
        <v>2021</v>
      </c>
      <c r="E1793" s="2">
        <v>56.11</v>
      </c>
      <c r="F1793" s="2">
        <v>78.430000000000007</v>
      </c>
      <c r="H1793" s="1">
        <f>_xlfn.XLOOKUP('Customer Info'!A1828,'Customer Info'!A1828:A1927,'Customer Info'!E1828:E1927,0,0)</f>
        <v>0</v>
      </c>
      <c r="J1793" s="1">
        <f>_xlfn.XLOOKUP('Customer Info'!A1828,'Customer Info'!A1828:A1927,'Customer Info'!M1828:M1927)</f>
        <v>0</v>
      </c>
    </row>
    <row r="1794" spans="1:10" ht="14" hidden="1" x14ac:dyDescent="0.2">
      <c r="A1794" s="2" t="s">
        <v>34</v>
      </c>
      <c r="B1794" s="2">
        <v>4</v>
      </c>
      <c r="C1794" s="2">
        <v>10</v>
      </c>
      <c r="D1794" s="2">
        <v>2020</v>
      </c>
      <c r="E1794" s="2">
        <v>55.18</v>
      </c>
      <c r="F1794" s="2">
        <v>78.430000000000007</v>
      </c>
      <c r="H1794" s="1">
        <f>_xlfn.XLOOKUP('Customer Info'!A611,'Customer Info'!A611:A710,'Customer Info'!E611:E710,0,0)</f>
        <v>0</v>
      </c>
      <c r="J1794" s="1">
        <f>_xlfn.XLOOKUP('Customer Info'!A611,'Customer Info'!A611:A710,'Customer Info'!M611:M710)</f>
        <v>0</v>
      </c>
    </row>
    <row r="1795" spans="1:10" ht="14" hidden="1" x14ac:dyDescent="0.2">
      <c r="A1795" s="2" t="s">
        <v>33</v>
      </c>
      <c r="B1795" s="2">
        <v>21</v>
      </c>
      <c r="C1795" s="2">
        <v>3</v>
      </c>
      <c r="D1795" s="2">
        <v>2020</v>
      </c>
      <c r="E1795" s="2">
        <v>42.47</v>
      </c>
      <c r="F1795" s="2">
        <v>78.430000000000007</v>
      </c>
      <c r="H1795" s="1">
        <f>_xlfn.XLOOKUP('Customer Info'!A714,'Customer Info'!A714:A813,'Customer Info'!E714:E813,0,0)</f>
        <v>0</v>
      </c>
      <c r="J1795" s="1">
        <f>_xlfn.XLOOKUP('Customer Info'!A714,'Customer Info'!A714:A813,'Customer Info'!M714:M813)</f>
        <v>0</v>
      </c>
    </row>
    <row r="1796" spans="1:10" ht="14" hidden="1" x14ac:dyDescent="0.2">
      <c r="A1796" s="2" t="s">
        <v>58</v>
      </c>
      <c r="B1796" s="2">
        <v>16</v>
      </c>
      <c r="C1796" s="2">
        <v>7</v>
      </c>
      <c r="D1796" s="2">
        <v>2020</v>
      </c>
      <c r="E1796" s="2">
        <v>36.270000000000003</v>
      </c>
      <c r="F1796" s="2">
        <v>78.430000000000007</v>
      </c>
      <c r="H1796" s="1">
        <f>_xlfn.XLOOKUP('Customer Info'!A775,'Customer Info'!A775:A874,'Customer Info'!E775:E874,0,0)</f>
        <v>0</v>
      </c>
      <c r="J1796" s="1">
        <f>_xlfn.XLOOKUP('Customer Info'!A775,'Customer Info'!A775:A874,'Customer Info'!M775:M874)</f>
        <v>0</v>
      </c>
    </row>
    <row r="1797" spans="1:10" ht="14" hidden="1" x14ac:dyDescent="0.2">
      <c r="A1797" s="2" t="s">
        <v>59</v>
      </c>
      <c r="B1797" s="2">
        <v>11</v>
      </c>
      <c r="C1797" s="2">
        <v>8</v>
      </c>
      <c r="D1797" s="2">
        <v>2020</v>
      </c>
      <c r="E1797" s="2">
        <v>34.72</v>
      </c>
      <c r="F1797" s="2">
        <v>78.430000000000007</v>
      </c>
      <c r="H1797" s="1">
        <f>_xlfn.XLOOKUP('Customer Info'!A787,'Customer Info'!A787:A886,'Customer Info'!E787:E886,0,0)</f>
        <v>0</v>
      </c>
      <c r="J1797" s="1">
        <f>_xlfn.XLOOKUP('Customer Info'!A787,'Customer Info'!A787:A886,'Customer Info'!M787:M886)</f>
        <v>0</v>
      </c>
    </row>
    <row r="1798" spans="1:10" ht="14" x14ac:dyDescent="0.2">
      <c r="A1798" s="2" t="s">
        <v>40</v>
      </c>
      <c r="B1798" s="2">
        <v>15</v>
      </c>
      <c r="C1798" s="2">
        <v>5</v>
      </c>
      <c r="D1798" s="2">
        <v>2021</v>
      </c>
      <c r="E1798" s="2">
        <v>31.93</v>
      </c>
      <c r="F1798" s="2">
        <v>78.430000000000007</v>
      </c>
      <c r="H1798" s="1">
        <f>_xlfn.XLOOKUP('Customer Info'!A2009,'Customer Info'!A2009:A2108,'Customer Info'!E2009:E2108,0,0)</f>
        <v>0</v>
      </c>
      <c r="J1798" s="1">
        <f>_xlfn.XLOOKUP('Customer Info'!A2009,'Customer Info'!A2009:A2108,'Customer Info'!M2009:M2108)</f>
        <v>0</v>
      </c>
    </row>
    <row r="1799" spans="1:10" ht="14" hidden="1" x14ac:dyDescent="0.2">
      <c r="A1799" s="2" t="s">
        <v>38</v>
      </c>
      <c r="B1799" s="2">
        <v>21</v>
      </c>
      <c r="C1799" s="2">
        <v>7</v>
      </c>
      <c r="D1799" s="2">
        <v>2020</v>
      </c>
      <c r="E1799" s="2">
        <v>23.87</v>
      </c>
      <c r="F1799" s="2">
        <v>78.430000000000007</v>
      </c>
      <c r="H1799" s="1">
        <f>_xlfn.XLOOKUP('Customer Info'!A860,'Customer Info'!A860:A959,'Customer Info'!E860:E959,0,0)</f>
        <v>0</v>
      </c>
      <c r="J1799" s="1">
        <f>_xlfn.XLOOKUP('Customer Info'!A860,'Customer Info'!A860:A959,'Customer Info'!M860:M959)</f>
        <v>0</v>
      </c>
    </row>
    <row r="1800" spans="1:10" ht="14" x14ac:dyDescent="0.2">
      <c r="A1800" s="2" t="s">
        <v>40</v>
      </c>
      <c r="B1800" s="2">
        <v>15</v>
      </c>
      <c r="C1800" s="2">
        <v>2</v>
      </c>
      <c r="D1800" s="2">
        <v>2021</v>
      </c>
      <c r="E1800" s="2">
        <v>117.04</v>
      </c>
      <c r="F1800" s="2">
        <v>78.400000000000006</v>
      </c>
      <c r="H1800" s="1">
        <f>_xlfn.XLOOKUP('Customer Info'!A1452,'Customer Info'!A1452:A1551,'Customer Info'!E1452:E1551,0,0)</f>
        <v>0</v>
      </c>
      <c r="J1800" s="1">
        <f>_xlfn.XLOOKUP('Customer Info'!A1452,'Customer Info'!A1452:A1551,'Customer Info'!M1452:M1551)</f>
        <v>0</v>
      </c>
    </row>
    <row r="1801" spans="1:10" ht="14" hidden="1" x14ac:dyDescent="0.2">
      <c r="A1801" s="2" t="s">
        <v>52</v>
      </c>
      <c r="B1801" s="2">
        <v>1</v>
      </c>
      <c r="C1801" s="2">
        <v>2</v>
      </c>
      <c r="D1801" s="2">
        <v>2020</v>
      </c>
      <c r="E1801" s="2">
        <v>107.8</v>
      </c>
      <c r="F1801" s="2">
        <v>78.400000000000006</v>
      </c>
      <c r="H1801" s="1">
        <f>_xlfn.XLOOKUP('Customer Info'!A272,'Customer Info'!A272:A371,'Customer Info'!E272:E371,0,0)</f>
        <v>0</v>
      </c>
      <c r="J1801" s="1">
        <f>_xlfn.XLOOKUP('Customer Info'!A272,'Customer Info'!A272:A371,'Customer Info'!M272:M371)</f>
        <v>0</v>
      </c>
    </row>
    <row r="1802" spans="1:10" ht="14" x14ac:dyDescent="0.2">
      <c r="A1802" s="2" t="s">
        <v>75</v>
      </c>
      <c r="B1802" s="2">
        <v>2</v>
      </c>
      <c r="C1802" s="2">
        <v>2</v>
      </c>
      <c r="D1802" s="2">
        <v>2021</v>
      </c>
      <c r="E1802" s="2">
        <v>102.2</v>
      </c>
      <c r="F1802" s="2">
        <v>78.400000000000006</v>
      </c>
      <c r="H1802" s="1">
        <f>_xlfn.XLOOKUP('Customer Info'!A1546,'Customer Info'!A1546:A1645,'Customer Info'!E1546:E1645,0,0)</f>
        <v>0</v>
      </c>
      <c r="J1802" s="1">
        <f>_xlfn.XLOOKUP('Customer Info'!A1546,'Customer Info'!A1546:A1645,'Customer Info'!M1546:M1645)</f>
        <v>0</v>
      </c>
    </row>
    <row r="1803" spans="1:10" ht="14" x14ac:dyDescent="0.2">
      <c r="A1803" s="2" t="s">
        <v>55</v>
      </c>
      <c r="B1803" s="2">
        <v>18</v>
      </c>
      <c r="C1803" s="2">
        <v>2</v>
      </c>
      <c r="D1803" s="2">
        <v>2021</v>
      </c>
      <c r="E1803" s="2">
        <v>92.12</v>
      </c>
      <c r="F1803" s="2">
        <v>78.400000000000006</v>
      </c>
      <c r="H1803" s="1">
        <f>_xlfn.XLOOKUP('Customer Info'!A1601,'Customer Info'!A1601:A1700,'Customer Info'!E1601:E1700,0,0)</f>
        <v>0</v>
      </c>
      <c r="J1803" s="1">
        <f>_xlfn.XLOOKUP('Customer Info'!A1601,'Customer Info'!A1601:A1700,'Customer Info'!M1601:M1700)</f>
        <v>0</v>
      </c>
    </row>
    <row r="1804" spans="1:10" ht="14" hidden="1" x14ac:dyDescent="0.2">
      <c r="A1804" s="2" t="s">
        <v>70</v>
      </c>
      <c r="B1804" s="2">
        <v>16</v>
      </c>
      <c r="C1804" s="2">
        <v>2</v>
      </c>
      <c r="D1804" s="2">
        <v>2020</v>
      </c>
      <c r="E1804" s="2">
        <v>89.6</v>
      </c>
      <c r="F1804" s="2">
        <v>78.400000000000006</v>
      </c>
      <c r="H1804" s="1">
        <f>_xlfn.XLOOKUP('Customer Info'!A395,'Customer Info'!A395:A494,'Customer Info'!E395:E494,0,0)</f>
        <v>0</v>
      </c>
      <c r="J1804" s="1">
        <f>_xlfn.XLOOKUP('Customer Info'!A395,'Customer Info'!A395:A494,'Customer Info'!M395:M494)</f>
        <v>0</v>
      </c>
    </row>
    <row r="1805" spans="1:10" ht="14" hidden="1" x14ac:dyDescent="0.2">
      <c r="A1805" s="2" t="s">
        <v>64</v>
      </c>
      <c r="B1805" s="2">
        <v>21</v>
      </c>
      <c r="C1805" s="2">
        <v>11</v>
      </c>
      <c r="D1805" s="2">
        <v>2020</v>
      </c>
      <c r="E1805" s="2">
        <v>114.3</v>
      </c>
      <c r="F1805" s="2">
        <v>78.3</v>
      </c>
      <c r="H1805" s="1">
        <f>_xlfn.XLOOKUP('Customer Info'!A236,'Customer Info'!A236:A335,'Customer Info'!E236:E335,0,0)</f>
        <v>0</v>
      </c>
      <c r="J1805" s="1">
        <f>_xlfn.XLOOKUP('Customer Info'!A236,'Customer Info'!A236:A335,'Customer Info'!M236:M335)</f>
        <v>0</v>
      </c>
    </row>
    <row r="1806" spans="1:10" ht="14" hidden="1" x14ac:dyDescent="0.2">
      <c r="A1806" s="2" t="s">
        <v>65</v>
      </c>
      <c r="B1806" s="2">
        <v>11</v>
      </c>
      <c r="C1806" s="2">
        <v>4</v>
      </c>
      <c r="D1806" s="2">
        <v>2020</v>
      </c>
      <c r="E1806" s="2">
        <v>68.7</v>
      </c>
      <c r="F1806" s="2">
        <v>78.3</v>
      </c>
      <c r="H1806" s="1">
        <f>_xlfn.XLOOKUP('Customer Info'!A517,'Customer Info'!A517:A616,'Customer Info'!E517:E616,0,0)</f>
        <v>0</v>
      </c>
      <c r="J1806" s="1">
        <f>_xlfn.XLOOKUP('Customer Info'!A517,'Customer Info'!A517:A616,'Customer Info'!M517:M616)</f>
        <v>0</v>
      </c>
    </row>
    <row r="1807" spans="1:10" ht="14" x14ac:dyDescent="0.2">
      <c r="A1807" s="2" t="s">
        <v>0</v>
      </c>
      <c r="B1807" s="2">
        <v>25</v>
      </c>
      <c r="C1807" s="2">
        <v>3</v>
      </c>
      <c r="D1807" s="2">
        <v>2021</v>
      </c>
      <c r="E1807" s="1" t="s">
        <v>94</v>
      </c>
      <c r="F1807" s="2">
        <v>78.12</v>
      </c>
      <c r="H1807" s="1">
        <f>_xlfn.XLOOKUP('Customer Info'!A1311,'Customer Info'!A1311:A1410,'Customer Info'!E1311:E1410,0,0)</f>
        <v>0</v>
      </c>
      <c r="J1807" s="1">
        <f>_xlfn.XLOOKUP('Customer Info'!A1311,'Customer Info'!A1311:A1410,'Customer Info'!M1311:M1410)</f>
        <v>0</v>
      </c>
    </row>
    <row r="1808" spans="1:10" ht="14" x14ac:dyDescent="0.2">
      <c r="A1808" s="2" t="s">
        <v>92</v>
      </c>
      <c r="B1808" s="2">
        <v>7</v>
      </c>
      <c r="C1808" s="2">
        <v>1</v>
      </c>
      <c r="D1808" s="2">
        <v>2021</v>
      </c>
      <c r="E1808" s="2">
        <v>160.88999999999999</v>
      </c>
      <c r="F1808" s="2">
        <v>78.12</v>
      </c>
      <c r="H1808" s="1">
        <f>_xlfn.XLOOKUP('Customer Info'!A1340,'Customer Info'!A1340:A1439,'Customer Info'!E1340:E1439,0,0)</f>
        <v>0</v>
      </c>
      <c r="J1808" s="1">
        <f>_xlfn.XLOOKUP('Customer Info'!A1340,'Customer Info'!A1340:A1439,'Customer Info'!M1340:M1439)</f>
        <v>0</v>
      </c>
    </row>
    <row r="1809" spans="1:10" ht="14" x14ac:dyDescent="0.2">
      <c r="A1809" s="2" t="s">
        <v>55</v>
      </c>
      <c r="B1809" s="2">
        <v>18</v>
      </c>
      <c r="C1809" s="2">
        <v>1</v>
      </c>
      <c r="D1809" s="2">
        <v>2021</v>
      </c>
      <c r="E1809" s="2">
        <v>128.34</v>
      </c>
      <c r="F1809" s="2">
        <v>78.12</v>
      </c>
      <c r="H1809" s="1">
        <f>_xlfn.XLOOKUP('Customer Info'!A1407,'Customer Info'!A1407:A1506,'Customer Info'!E1407:E1506,0,0)</f>
        <v>0</v>
      </c>
      <c r="J1809" s="1">
        <f>_xlfn.XLOOKUP('Customer Info'!A1407,'Customer Info'!A1407:A1506,'Customer Info'!M1407:M1506)</f>
        <v>0</v>
      </c>
    </row>
    <row r="1810" spans="1:10" ht="14" x14ac:dyDescent="0.2">
      <c r="A1810" s="2" t="s">
        <v>92</v>
      </c>
      <c r="B1810" s="2">
        <v>7</v>
      </c>
      <c r="C1810" s="2">
        <v>12</v>
      </c>
      <c r="D1810" s="2">
        <v>2021</v>
      </c>
      <c r="E1810" s="2">
        <v>128.03</v>
      </c>
      <c r="F1810" s="2">
        <v>78.12</v>
      </c>
      <c r="H1810" s="1">
        <f>_xlfn.XLOOKUP('Customer Info'!A1410,'Customer Info'!A1410:A1509,'Customer Info'!E1410:E1509,0,0)</f>
        <v>0</v>
      </c>
      <c r="J1810" s="1">
        <f>_xlfn.XLOOKUP('Customer Info'!A1410,'Customer Info'!A1410:A1509,'Customer Info'!M1410:M1509)</f>
        <v>0</v>
      </c>
    </row>
    <row r="1811" spans="1:10" ht="14" hidden="1" x14ac:dyDescent="0.2">
      <c r="A1811" s="2" t="s">
        <v>64</v>
      </c>
      <c r="B1811" s="2">
        <v>21</v>
      </c>
      <c r="C1811" s="2">
        <v>12</v>
      </c>
      <c r="D1811" s="2">
        <v>2020</v>
      </c>
      <c r="E1811" s="2">
        <v>120.28</v>
      </c>
      <c r="F1811" s="2">
        <v>78.12</v>
      </c>
      <c r="H1811" s="1">
        <f>_xlfn.XLOOKUP('Customer Info'!A205,'Customer Info'!A205:A304,'Customer Info'!E205:E304,0,0)</f>
        <v>0</v>
      </c>
      <c r="J1811" s="1">
        <f>_xlfn.XLOOKUP('Customer Info'!A205,'Customer Info'!A205:A304,'Customer Info'!M205:M304)</f>
        <v>0</v>
      </c>
    </row>
    <row r="1812" spans="1:10" ht="14" hidden="1" x14ac:dyDescent="0.2">
      <c r="A1812" s="2" t="s">
        <v>76</v>
      </c>
      <c r="B1812" s="2">
        <v>9</v>
      </c>
      <c r="C1812" s="2">
        <v>12</v>
      </c>
      <c r="D1812" s="2">
        <v>2020</v>
      </c>
      <c r="E1812" s="2">
        <v>113.77</v>
      </c>
      <c r="F1812" s="2">
        <v>78.12</v>
      </c>
      <c r="H1812" s="1">
        <f>_xlfn.XLOOKUP('Customer Info'!A244,'Customer Info'!A244:A343,'Customer Info'!E244:E343,0,0)</f>
        <v>0</v>
      </c>
      <c r="J1812" s="1">
        <f>_xlfn.XLOOKUP('Customer Info'!A244,'Customer Info'!A244:A343,'Customer Info'!M244:M343)</f>
        <v>0</v>
      </c>
    </row>
    <row r="1813" spans="1:10" ht="14" x14ac:dyDescent="0.2">
      <c r="A1813" s="2" t="s">
        <v>87</v>
      </c>
      <c r="B1813" s="2">
        <v>1</v>
      </c>
      <c r="C1813" s="2">
        <v>3</v>
      </c>
      <c r="D1813" s="2">
        <v>2021</v>
      </c>
      <c r="E1813" s="2">
        <v>106.95</v>
      </c>
      <c r="F1813" s="2">
        <v>78.12</v>
      </c>
      <c r="H1813" s="1">
        <f>_xlfn.XLOOKUP('Customer Info'!A1516,'Customer Info'!A1516:A1615,'Customer Info'!E1516:E1615,0,0)</f>
        <v>0</v>
      </c>
      <c r="J1813" s="1">
        <f>_xlfn.XLOOKUP('Customer Info'!A1516,'Customer Info'!A1516:A1615,'Customer Info'!M1516:M1615)</f>
        <v>0</v>
      </c>
    </row>
    <row r="1814" spans="1:10" ht="14" hidden="1" x14ac:dyDescent="0.2">
      <c r="A1814" s="2" t="s">
        <v>43</v>
      </c>
      <c r="B1814" s="2">
        <v>15</v>
      </c>
      <c r="C1814" s="2">
        <v>12</v>
      </c>
      <c r="D1814" s="2">
        <v>2020</v>
      </c>
      <c r="E1814" s="2">
        <v>90.52</v>
      </c>
      <c r="F1814" s="2">
        <v>78.12</v>
      </c>
      <c r="H1814" s="1">
        <f>_xlfn.XLOOKUP('Customer Info'!A392,'Customer Info'!A392:A491,'Customer Info'!E392:E491,0,0)</f>
        <v>0</v>
      </c>
      <c r="J1814" s="1">
        <f>_xlfn.XLOOKUP('Customer Info'!A392,'Customer Info'!A392:A491,'Customer Info'!M392:M491)</f>
        <v>0</v>
      </c>
    </row>
    <row r="1815" spans="1:10" ht="14" x14ac:dyDescent="0.2">
      <c r="A1815" s="2" t="s">
        <v>44</v>
      </c>
      <c r="B1815" s="2">
        <v>1</v>
      </c>
      <c r="C1815" s="2">
        <v>10</v>
      </c>
      <c r="D1815" s="2">
        <v>2021</v>
      </c>
      <c r="E1815" s="2">
        <v>86.49</v>
      </c>
      <c r="F1815" s="2">
        <v>78.12</v>
      </c>
      <c r="H1815" s="1">
        <f>_xlfn.XLOOKUP('Customer Info'!A1632,'Customer Info'!A1632:A1731,'Customer Info'!E1632:E1731,0,0)</f>
        <v>0</v>
      </c>
      <c r="J1815" s="1">
        <f>_xlfn.XLOOKUP('Customer Info'!A1632,'Customer Info'!A1632:A1731,'Customer Info'!M1632:M1731)</f>
        <v>0</v>
      </c>
    </row>
    <row r="1816" spans="1:10" ht="14" hidden="1" x14ac:dyDescent="0.2">
      <c r="A1816" s="2" t="s">
        <v>87</v>
      </c>
      <c r="B1816" s="2">
        <v>1</v>
      </c>
      <c r="C1816" s="2">
        <v>10</v>
      </c>
      <c r="D1816" s="2">
        <v>2020</v>
      </c>
      <c r="E1816" s="2">
        <v>85.87</v>
      </c>
      <c r="F1816" s="2">
        <v>78.12</v>
      </c>
      <c r="H1816" s="1">
        <f>_xlfn.XLOOKUP('Customer Info'!A412,'Customer Info'!A412:A511,'Customer Info'!E412:E511,0,0)</f>
        <v>0</v>
      </c>
      <c r="J1816" s="1">
        <f>_xlfn.XLOOKUP('Customer Info'!A412,'Customer Info'!A412:A511,'Customer Info'!M412:M511)</f>
        <v>0</v>
      </c>
    </row>
    <row r="1817" spans="1:10" ht="14" x14ac:dyDescent="0.2">
      <c r="A1817" s="2" t="s">
        <v>75</v>
      </c>
      <c r="B1817" s="2">
        <v>2</v>
      </c>
      <c r="C1817" s="2">
        <v>8</v>
      </c>
      <c r="D1817" s="2">
        <v>2021</v>
      </c>
      <c r="E1817" s="2">
        <v>41.23</v>
      </c>
      <c r="F1817" s="2">
        <v>78.12</v>
      </c>
      <c r="H1817" s="1">
        <f>_xlfn.XLOOKUP('Customer Info'!A1933,'Customer Info'!A1933:A2032,'Customer Info'!E1933:E2032,0,0)</f>
        <v>0</v>
      </c>
      <c r="J1817" s="1">
        <f>_xlfn.XLOOKUP('Customer Info'!A1933,'Customer Info'!A1933:A2032,'Customer Info'!M1933:M2032)</f>
        <v>0</v>
      </c>
    </row>
    <row r="1818" spans="1:10" ht="14" hidden="1" x14ac:dyDescent="0.2">
      <c r="A1818" s="2" t="s">
        <v>55</v>
      </c>
      <c r="B1818" s="2">
        <v>18</v>
      </c>
      <c r="C1818" s="2">
        <v>7</v>
      </c>
      <c r="D1818" s="2">
        <v>2020</v>
      </c>
      <c r="E1818" s="2">
        <v>38.130000000000003</v>
      </c>
      <c r="F1818" s="2">
        <v>78.12</v>
      </c>
      <c r="H1818" s="1">
        <f>_xlfn.XLOOKUP('Customer Info'!A750,'Customer Info'!A750:A849,'Customer Info'!E750:E849,0,0)</f>
        <v>0</v>
      </c>
      <c r="J1818" s="1">
        <f>_xlfn.XLOOKUP('Customer Info'!A750,'Customer Info'!A750:A849,'Customer Info'!M750:M849)</f>
        <v>0</v>
      </c>
    </row>
    <row r="1819" spans="1:10" ht="14" hidden="1" x14ac:dyDescent="0.2">
      <c r="A1819" s="2" t="s">
        <v>51</v>
      </c>
      <c r="B1819" s="2">
        <v>16</v>
      </c>
      <c r="C1819" s="2">
        <v>8</v>
      </c>
      <c r="D1819" s="2">
        <v>2020</v>
      </c>
      <c r="E1819" s="2">
        <v>27.28</v>
      </c>
      <c r="F1819" s="2">
        <v>78.12</v>
      </c>
      <c r="H1819" s="1">
        <f>_xlfn.XLOOKUP('Customer Info'!A839,'Customer Info'!A839:A938,'Customer Info'!E839:E938,0,0)</f>
        <v>0</v>
      </c>
      <c r="J1819" s="1">
        <f>_xlfn.XLOOKUP('Customer Info'!A839,'Customer Info'!A839:A938,'Customer Info'!M839:M938)</f>
        <v>0</v>
      </c>
    </row>
    <row r="1820" spans="1:10" ht="14" x14ac:dyDescent="0.2">
      <c r="A1820" s="2" t="s">
        <v>87</v>
      </c>
      <c r="B1820" s="2">
        <v>1</v>
      </c>
      <c r="C1820" s="2">
        <v>9</v>
      </c>
      <c r="D1820" s="2">
        <v>2021</v>
      </c>
      <c r="E1820" s="2">
        <v>77.400000000000006</v>
      </c>
      <c r="F1820" s="2">
        <v>78</v>
      </c>
      <c r="H1820" s="1">
        <f>_xlfn.XLOOKUP('Customer Info'!A1684,'Customer Info'!A1684:A1783,'Customer Info'!E1684:E1783,0,0)</f>
        <v>0</v>
      </c>
      <c r="J1820" s="1">
        <f>_xlfn.XLOOKUP('Customer Info'!A1684,'Customer Info'!A1684:A1783,'Customer Info'!M1684:M1783)</f>
        <v>0</v>
      </c>
    </row>
    <row r="1821" spans="1:10" ht="14" hidden="1" x14ac:dyDescent="0.2">
      <c r="A1821" s="2" t="s">
        <v>74</v>
      </c>
      <c r="B1821" s="2">
        <v>5</v>
      </c>
      <c r="C1821" s="2">
        <v>4</v>
      </c>
      <c r="D1821" s="2">
        <v>2020</v>
      </c>
      <c r="E1821" s="2">
        <v>69.900000000000006</v>
      </c>
      <c r="F1821" s="2">
        <v>78</v>
      </c>
      <c r="H1821" s="1">
        <f>_xlfn.XLOOKUP('Customer Info'!A506,'Customer Info'!A506:A605,'Customer Info'!E506:E605,0,0)</f>
        <v>0</v>
      </c>
      <c r="J1821" s="1">
        <f>_xlfn.XLOOKUP('Customer Info'!A506,'Customer Info'!A506:A605,'Customer Info'!M506:M605)</f>
        <v>0</v>
      </c>
    </row>
    <row r="1822" spans="1:10" ht="14" x14ac:dyDescent="0.2">
      <c r="A1822" s="2" t="s">
        <v>96</v>
      </c>
      <c r="B1822" s="2">
        <v>3</v>
      </c>
      <c r="C1822" s="2">
        <v>10</v>
      </c>
      <c r="D1822" s="2">
        <v>2021</v>
      </c>
      <c r="E1822" s="1" t="s">
        <v>94</v>
      </c>
      <c r="F1822" s="2">
        <v>77.81</v>
      </c>
      <c r="H1822" s="1">
        <f>_xlfn.XLOOKUP('Customer Info'!A1312,'Customer Info'!A1312:A1411,'Customer Info'!E1312:E1411,0,0)</f>
        <v>0</v>
      </c>
      <c r="J1822" s="1">
        <f>_xlfn.XLOOKUP('Customer Info'!A1312,'Customer Info'!A1312:A1411,'Customer Info'!M1312:M1411)</f>
        <v>0</v>
      </c>
    </row>
    <row r="1823" spans="1:10" ht="14" x14ac:dyDescent="0.2">
      <c r="A1823" s="2" t="s">
        <v>0</v>
      </c>
      <c r="B1823" s="2">
        <v>25</v>
      </c>
      <c r="C1823" s="2">
        <v>12</v>
      </c>
      <c r="D1823" s="2">
        <v>2021</v>
      </c>
      <c r="E1823" s="1" t="s">
        <v>94</v>
      </c>
      <c r="F1823" s="2">
        <v>77.81</v>
      </c>
      <c r="H1823" s="1">
        <f>_xlfn.XLOOKUP('Customer Info'!A1313,'Customer Info'!A1313:A1412,'Customer Info'!E1313:E1412,0,0)</f>
        <v>0</v>
      </c>
      <c r="J1823" s="1">
        <f>_xlfn.XLOOKUP('Customer Info'!A1313,'Customer Info'!A1313:A1412,'Customer Info'!M1313:M1412)</f>
        <v>0</v>
      </c>
    </row>
    <row r="1824" spans="1:10" ht="14" hidden="1" x14ac:dyDescent="0.2">
      <c r="A1824" s="2" t="s">
        <v>78</v>
      </c>
      <c r="B1824" s="2">
        <v>18</v>
      </c>
      <c r="C1824" s="2">
        <v>1</v>
      </c>
      <c r="D1824" s="2">
        <v>2020</v>
      </c>
      <c r="E1824" s="2">
        <v>128.34</v>
      </c>
      <c r="F1824" s="2">
        <v>77.81</v>
      </c>
      <c r="H1824" s="1">
        <f>_xlfn.XLOOKUP('Customer Info'!A182,'Customer Info'!A182:A281,'Customer Info'!E182:E281,0,0)</f>
        <v>0</v>
      </c>
      <c r="J1824" s="1">
        <f>_xlfn.XLOOKUP('Customer Info'!A182,'Customer Info'!A182:A281,'Customer Info'!M182:M281)</f>
        <v>0</v>
      </c>
    </row>
    <row r="1825" spans="1:10" ht="14" x14ac:dyDescent="0.2">
      <c r="A1825" s="2" t="s">
        <v>39</v>
      </c>
      <c r="B1825" s="2">
        <v>22</v>
      </c>
      <c r="C1825" s="2">
        <v>12</v>
      </c>
      <c r="D1825" s="2">
        <v>2021</v>
      </c>
      <c r="E1825" s="2">
        <v>110.05</v>
      </c>
      <c r="F1825" s="2">
        <v>77.81</v>
      </c>
      <c r="H1825" s="1">
        <f>_xlfn.XLOOKUP('Customer Info'!A1497,'Customer Info'!A1497:A1596,'Customer Info'!E1497:E1596,0,0)</f>
        <v>0</v>
      </c>
      <c r="J1825" s="1">
        <f>_xlfn.XLOOKUP('Customer Info'!A1497,'Customer Info'!A1497:A1596,'Customer Info'!M1497:M1596)</f>
        <v>0</v>
      </c>
    </row>
    <row r="1826" spans="1:10" ht="14" hidden="1" x14ac:dyDescent="0.2">
      <c r="A1826" s="2" t="s">
        <v>92</v>
      </c>
      <c r="B1826" s="2">
        <v>7</v>
      </c>
      <c r="C1826" s="2">
        <v>10</v>
      </c>
      <c r="D1826" s="2">
        <v>2020</v>
      </c>
      <c r="E1826" s="2">
        <v>109.74</v>
      </c>
      <c r="F1826" s="2">
        <v>77.81</v>
      </c>
      <c r="H1826" s="1">
        <f>_xlfn.XLOOKUP('Customer Info'!A262,'Customer Info'!A262:A361,'Customer Info'!E262:E361,0,0)</f>
        <v>0</v>
      </c>
      <c r="J1826" s="1">
        <f>_xlfn.XLOOKUP('Customer Info'!A262,'Customer Info'!A262:A361,'Customer Info'!M262:M361)</f>
        <v>0</v>
      </c>
    </row>
    <row r="1827" spans="1:10" ht="14" x14ac:dyDescent="0.2">
      <c r="A1827" s="2" t="s">
        <v>91</v>
      </c>
      <c r="B1827" s="2">
        <v>5</v>
      </c>
      <c r="C1827" s="2">
        <v>7</v>
      </c>
      <c r="D1827" s="2">
        <v>2021</v>
      </c>
      <c r="E1827" s="2">
        <v>63.55</v>
      </c>
      <c r="F1827" s="2">
        <v>77.81</v>
      </c>
      <c r="H1827" s="1">
        <f>_xlfn.XLOOKUP('Customer Info'!A1782,'Customer Info'!A1782:A1881,'Customer Info'!E1782:E1881,0,0)</f>
        <v>0</v>
      </c>
      <c r="J1827" s="1">
        <f>_xlfn.XLOOKUP('Customer Info'!A1782,'Customer Info'!A1782:A1881,'Customer Info'!M1782:M1881)</f>
        <v>0</v>
      </c>
    </row>
    <row r="1828" spans="1:10" ht="14" x14ac:dyDescent="0.2">
      <c r="A1828" s="2" t="s">
        <v>39</v>
      </c>
      <c r="B1828" s="2">
        <v>22</v>
      </c>
      <c r="C1828" s="2">
        <v>10</v>
      </c>
      <c r="D1828" s="2">
        <v>2021</v>
      </c>
      <c r="E1828" s="2">
        <v>57.66</v>
      </c>
      <c r="F1828" s="2">
        <v>77.81</v>
      </c>
      <c r="H1828" s="1">
        <f>_xlfn.XLOOKUP('Customer Info'!A1821,'Customer Info'!A1821:A1920,'Customer Info'!E1821:E1920,0,0)</f>
        <v>0</v>
      </c>
      <c r="J1828" s="1">
        <f>_xlfn.XLOOKUP('Customer Info'!A1821,'Customer Info'!A1821:A1920,'Customer Info'!M1821:M1920)</f>
        <v>0</v>
      </c>
    </row>
    <row r="1829" spans="1:10" ht="14" hidden="1" x14ac:dyDescent="0.2">
      <c r="A1829" s="2" t="s">
        <v>70</v>
      </c>
      <c r="B1829" s="2">
        <v>16</v>
      </c>
      <c r="C1829" s="2">
        <v>5</v>
      </c>
      <c r="D1829" s="2">
        <v>2020</v>
      </c>
      <c r="E1829" s="2">
        <v>46.81</v>
      </c>
      <c r="F1829" s="2">
        <v>77.81</v>
      </c>
      <c r="H1829" s="1">
        <f>_xlfn.XLOOKUP('Customer Info'!A667,'Customer Info'!A667:A766,'Customer Info'!E667:E766,0,0)</f>
        <v>0</v>
      </c>
      <c r="J1829" s="1">
        <f>_xlfn.XLOOKUP('Customer Info'!A667,'Customer Info'!A667:A766,'Customer Info'!M667:M766)</f>
        <v>0</v>
      </c>
    </row>
    <row r="1830" spans="1:10" ht="14" hidden="1" x14ac:dyDescent="0.2">
      <c r="A1830" s="2" t="s">
        <v>56</v>
      </c>
      <c r="B1830" s="2">
        <v>14</v>
      </c>
      <c r="C1830" s="2">
        <v>5</v>
      </c>
      <c r="D1830" s="2">
        <v>2020</v>
      </c>
      <c r="E1830" s="2">
        <v>42.78</v>
      </c>
      <c r="F1830" s="2">
        <v>77.81</v>
      </c>
      <c r="H1830" s="1">
        <f>_xlfn.XLOOKUP('Customer Info'!A712,'Customer Info'!A712:A811,'Customer Info'!E712:E811,0,0)</f>
        <v>0</v>
      </c>
      <c r="J1830" s="1">
        <f>_xlfn.XLOOKUP('Customer Info'!A712,'Customer Info'!A712:A811,'Customer Info'!M712:M811)</f>
        <v>0</v>
      </c>
    </row>
    <row r="1831" spans="1:10" ht="14" hidden="1" x14ac:dyDescent="0.2">
      <c r="A1831" s="2" t="s">
        <v>58</v>
      </c>
      <c r="B1831" s="2">
        <v>16</v>
      </c>
      <c r="C1831" s="2">
        <v>8</v>
      </c>
      <c r="D1831" s="2">
        <v>2020</v>
      </c>
      <c r="E1831" s="2">
        <v>37.200000000000003</v>
      </c>
      <c r="F1831" s="2">
        <v>77.81</v>
      </c>
      <c r="H1831" s="1">
        <f>_xlfn.XLOOKUP('Customer Info'!A762,'Customer Info'!A762:A861,'Customer Info'!E762:E861,0,0)</f>
        <v>0</v>
      </c>
      <c r="J1831" s="1">
        <f>_xlfn.XLOOKUP('Customer Info'!A762,'Customer Info'!A762:A861,'Customer Info'!M762:M861)</f>
        <v>0</v>
      </c>
    </row>
    <row r="1832" spans="1:10" ht="14" hidden="1" x14ac:dyDescent="0.2">
      <c r="A1832" s="2" t="s">
        <v>66</v>
      </c>
      <c r="B1832" s="2">
        <v>23</v>
      </c>
      <c r="C1832" s="2">
        <v>11</v>
      </c>
      <c r="D1832" s="2">
        <v>2020</v>
      </c>
      <c r="E1832" s="2">
        <v>99.3</v>
      </c>
      <c r="F1832" s="2">
        <v>77.7</v>
      </c>
      <c r="H1832" s="1">
        <f>_xlfn.XLOOKUP('Customer Info'!A338,'Customer Info'!A338:A437,'Customer Info'!E338:E437,0,0)</f>
        <v>0</v>
      </c>
      <c r="J1832" s="1">
        <f>_xlfn.XLOOKUP('Customer Info'!A338,'Customer Info'!A338:A437,'Customer Info'!M338:M437)</f>
        <v>0</v>
      </c>
    </row>
    <row r="1833" spans="1:10" ht="14" x14ac:dyDescent="0.2">
      <c r="A1833" s="2" t="s">
        <v>92</v>
      </c>
      <c r="B1833" s="2">
        <v>7</v>
      </c>
      <c r="C1833" s="2">
        <v>4</v>
      </c>
      <c r="D1833" s="2">
        <v>2021</v>
      </c>
      <c r="E1833" s="2">
        <v>95.4</v>
      </c>
      <c r="F1833" s="2">
        <v>77.7</v>
      </c>
      <c r="H1833" s="1">
        <f>_xlfn.XLOOKUP('Customer Info'!A1581,'Customer Info'!A1581:A1680,'Customer Info'!E1581:E1680,0,0)</f>
        <v>0</v>
      </c>
      <c r="J1833" s="1">
        <f>_xlfn.XLOOKUP('Customer Info'!A1581,'Customer Info'!A1581:A1680,'Customer Info'!M1581:M1680)</f>
        <v>0</v>
      </c>
    </row>
    <row r="1834" spans="1:10" ht="14" x14ac:dyDescent="0.2">
      <c r="A1834" s="2" t="s">
        <v>80</v>
      </c>
      <c r="B1834" s="2">
        <v>12</v>
      </c>
      <c r="C1834" s="2">
        <v>4</v>
      </c>
      <c r="D1834" s="2">
        <v>2021</v>
      </c>
      <c r="E1834" s="2">
        <v>83.1</v>
      </c>
      <c r="F1834" s="2">
        <v>77.7</v>
      </c>
      <c r="H1834" s="1">
        <f>_xlfn.XLOOKUP('Customer Info'!A1646,'Customer Info'!A1646:A1745,'Customer Info'!E1646:E1745,0,0)</f>
        <v>0</v>
      </c>
      <c r="J1834" s="1">
        <f>_xlfn.XLOOKUP('Customer Info'!A1646,'Customer Info'!A1646:A1745,'Customer Info'!M1646:M1745)</f>
        <v>0</v>
      </c>
    </row>
    <row r="1835" spans="1:10" ht="14" hidden="1" x14ac:dyDescent="0.2">
      <c r="A1835" s="2" t="s">
        <v>63</v>
      </c>
      <c r="B1835" s="2">
        <v>25</v>
      </c>
      <c r="C1835" s="2">
        <v>4</v>
      </c>
      <c r="D1835" s="2">
        <v>2020</v>
      </c>
      <c r="E1835" s="2">
        <v>71.7</v>
      </c>
      <c r="F1835" s="2">
        <v>77.7</v>
      </c>
      <c r="H1835" s="1">
        <f>_xlfn.XLOOKUP('Customer Info'!A489,'Customer Info'!A489:A588,'Customer Info'!E489:E588,0,0)</f>
        <v>0</v>
      </c>
      <c r="J1835" s="1">
        <f>_xlfn.XLOOKUP('Customer Info'!A489,'Customer Info'!A489:A588,'Customer Info'!M489:M588)</f>
        <v>0</v>
      </c>
    </row>
    <row r="1836" spans="1:10" ht="14" hidden="1" x14ac:dyDescent="0.2">
      <c r="A1836" s="2" t="s">
        <v>78</v>
      </c>
      <c r="B1836" s="2">
        <v>18</v>
      </c>
      <c r="C1836" s="2">
        <v>9</v>
      </c>
      <c r="D1836" s="2">
        <v>2020</v>
      </c>
      <c r="E1836" s="2">
        <v>54.6</v>
      </c>
      <c r="F1836" s="2">
        <v>77.7</v>
      </c>
      <c r="H1836" s="1">
        <f>_xlfn.XLOOKUP('Customer Info'!A614,'Customer Info'!A614:A713,'Customer Info'!E614:E713,0,0)</f>
        <v>0</v>
      </c>
      <c r="J1836" s="1">
        <f>_xlfn.XLOOKUP('Customer Info'!A614,'Customer Info'!A614:A713,'Customer Info'!M614:M713)</f>
        <v>0</v>
      </c>
    </row>
    <row r="1837" spans="1:10" ht="14" x14ac:dyDescent="0.2">
      <c r="A1837" s="2" t="s">
        <v>48</v>
      </c>
      <c r="B1837" s="2">
        <v>24</v>
      </c>
      <c r="C1837" s="2">
        <v>9</v>
      </c>
      <c r="D1837" s="2">
        <v>2021</v>
      </c>
      <c r="E1837" s="2">
        <v>46.8</v>
      </c>
      <c r="F1837" s="2">
        <v>77.7</v>
      </c>
      <c r="H1837" s="1">
        <f>_xlfn.XLOOKUP('Customer Info'!A1895,'Customer Info'!A1895:A1994,'Customer Info'!E1895:E1994,0,0)</f>
        <v>0</v>
      </c>
      <c r="J1837" s="1">
        <f>_xlfn.XLOOKUP('Customer Info'!A1895,'Customer Info'!A1895:A1994,'Customer Info'!M1895:M1994)</f>
        <v>0</v>
      </c>
    </row>
    <row r="1838" spans="1:10" ht="14" hidden="1" x14ac:dyDescent="0.2">
      <c r="A1838" s="2" t="s">
        <v>33</v>
      </c>
      <c r="B1838" s="2">
        <v>21</v>
      </c>
      <c r="C1838" s="2">
        <v>6</v>
      </c>
      <c r="D1838" s="2">
        <v>2020</v>
      </c>
      <c r="E1838" s="2">
        <v>18.600000000000001</v>
      </c>
      <c r="F1838" s="2">
        <v>77.7</v>
      </c>
      <c r="H1838" s="1">
        <f>_xlfn.XLOOKUP('Customer Info'!A871,'Customer Info'!A871:A970,'Customer Info'!E871:E970,0,0)</f>
        <v>0</v>
      </c>
      <c r="J1838" s="1">
        <f>_xlfn.XLOOKUP('Customer Info'!A871,'Customer Info'!A871:A970,'Customer Info'!M871:M970)</f>
        <v>0</v>
      </c>
    </row>
    <row r="1839" spans="1:10" ht="14" x14ac:dyDescent="0.2">
      <c r="A1839" s="2" t="s">
        <v>52</v>
      </c>
      <c r="B1839" s="2">
        <v>1</v>
      </c>
      <c r="C1839" s="2">
        <v>2</v>
      </c>
      <c r="D1839" s="2">
        <v>2021</v>
      </c>
      <c r="E1839" s="2">
        <v>107.8</v>
      </c>
      <c r="F1839" s="2">
        <v>77.56</v>
      </c>
      <c r="H1839" s="1">
        <f>_xlfn.XLOOKUP('Customer Info'!A1511,'Customer Info'!A1511:A1610,'Customer Info'!E1511:E1610,0,0)</f>
        <v>0</v>
      </c>
      <c r="J1839" s="1">
        <f>_xlfn.XLOOKUP('Customer Info'!A1511,'Customer Info'!A1511:A1610,'Customer Info'!M1511:M1610)</f>
        <v>0</v>
      </c>
    </row>
    <row r="1840" spans="1:10" ht="14" hidden="1" x14ac:dyDescent="0.2">
      <c r="A1840" s="2" t="s">
        <v>96</v>
      </c>
      <c r="B1840" s="2">
        <v>3</v>
      </c>
      <c r="C1840" s="2">
        <v>8</v>
      </c>
      <c r="D1840" s="2">
        <v>2020</v>
      </c>
      <c r="E1840" s="1" t="s">
        <v>94</v>
      </c>
      <c r="F1840" s="2">
        <v>77.5</v>
      </c>
      <c r="H1840" s="1">
        <f>_xlfn.XLOOKUP('Customer Info'!A127,'Customer Info'!A127:A226,'Customer Info'!E127:E226,0,0)</f>
        <v>0</v>
      </c>
      <c r="J1840" s="1">
        <f>_xlfn.XLOOKUP('Customer Info'!A127,'Customer Info'!A127:A226,'Customer Info'!M127:M226)</f>
        <v>0</v>
      </c>
    </row>
    <row r="1841" spans="1:10" ht="14" hidden="1" x14ac:dyDescent="0.2">
      <c r="A1841" s="2" t="s">
        <v>93</v>
      </c>
      <c r="B1841" s="2">
        <v>3</v>
      </c>
      <c r="C1841" s="2">
        <v>12</v>
      </c>
      <c r="D1841" s="2">
        <v>2020</v>
      </c>
      <c r="E1841" s="2">
        <v>177.01</v>
      </c>
      <c r="F1841" s="2">
        <v>77.5</v>
      </c>
      <c r="H1841" s="1">
        <f>_xlfn.XLOOKUP('Customer Info'!A146,'Customer Info'!A146:A245,'Customer Info'!E146:E245,0,0)</f>
        <v>0</v>
      </c>
      <c r="J1841" s="1">
        <f>_xlfn.XLOOKUP('Customer Info'!A146,'Customer Info'!A146:A245,'Customer Info'!M146:M245)</f>
        <v>0</v>
      </c>
    </row>
    <row r="1842" spans="1:10" ht="14" hidden="1" x14ac:dyDescent="0.2">
      <c r="A1842" s="2" t="s">
        <v>70</v>
      </c>
      <c r="B1842" s="2">
        <v>16</v>
      </c>
      <c r="C1842" s="2">
        <v>12</v>
      </c>
      <c r="D1842" s="2">
        <v>2020</v>
      </c>
      <c r="E1842" s="2">
        <v>114.7</v>
      </c>
      <c r="F1842" s="2">
        <v>77.5</v>
      </c>
      <c r="H1842" s="1">
        <f>_xlfn.XLOOKUP('Customer Info'!A232,'Customer Info'!A232:A331,'Customer Info'!E232:E331,0,0)</f>
        <v>0</v>
      </c>
      <c r="J1842" s="1">
        <f>_xlfn.XLOOKUP('Customer Info'!A232,'Customer Info'!A232:A331,'Customer Info'!M232:M331)</f>
        <v>0</v>
      </c>
    </row>
    <row r="1843" spans="1:10" ht="14" x14ac:dyDescent="0.2">
      <c r="A1843" s="2" t="s">
        <v>46</v>
      </c>
      <c r="B1843" s="2">
        <v>9</v>
      </c>
      <c r="C1843" s="2">
        <v>1</v>
      </c>
      <c r="D1843" s="2">
        <v>2021</v>
      </c>
      <c r="E1843" s="2">
        <v>107.26</v>
      </c>
      <c r="F1843" s="2">
        <v>77.5</v>
      </c>
      <c r="H1843" s="1">
        <f>_xlfn.XLOOKUP('Customer Info'!A1514,'Customer Info'!A1514:A1613,'Customer Info'!E1514:E1613,0,0)</f>
        <v>0</v>
      </c>
      <c r="J1843" s="1">
        <f>_xlfn.XLOOKUP('Customer Info'!A1514,'Customer Info'!A1514:A1613,'Customer Info'!M1514:M1613)</f>
        <v>0</v>
      </c>
    </row>
    <row r="1844" spans="1:10" ht="14" x14ac:dyDescent="0.2">
      <c r="A1844" s="2" t="s">
        <v>82</v>
      </c>
      <c r="B1844" s="2">
        <v>8</v>
      </c>
      <c r="C1844" s="2">
        <v>3</v>
      </c>
      <c r="D1844" s="2">
        <v>2021</v>
      </c>
      <c r="E1844" s="2">
        <v>84.32</v>
      </c>
      <c r="F1844" s="2">
        <v>77.5</v>
      </c>
      <c r="H1844" s="1">
        <f>_xlfn.XLOOKUP('Customer Info'!A1640,'Customer Info'!A1640:A1739,'Customer Info'!E1640:E1739,0,0)</f>
        <v>0</v>
      </c>
      <c r="J1844" s="1">
        <f>_xlfn.XLOOKUP('Customer Info'!A1640,'Customer Info'!A1640:A1739,'Customer Info'!M1640:M1739)</f>
        <v>0</v>
      </c>
    </row>
    <row r="1845" spans="1:10" ht="14" x14ac:dyDescent="0.2">
      <c r="A1845" s="2" t="s">
        <v>48</v>
      </c>
      <c r="B1845" s="2">
        <v>24</v>
      </c>
      <c r="C1845" s="2">
        <v>10</v>
      </c>
      <c r="D1845" s="2">
        <v>2021</v>
      </c>
      <c r="E1845" s="2">
        <v>77.5</v>
      </c>
      <c r="F1845" s="2">
        <v>77.5</v>
      </c>
      <c r="H1845" s="1">
        <f>_xlfn.XLOOKUP('Customer Info'!A1681,'Customer Info'!A1681:A1780,'Customer Info'!E1681:E1780,0,0)</f>
        <v>0</v>
      </c>
      <c r="J1845" s="1">
        <f>_xlfn.XLOOKUP('Customer Info'!A1681,'Customer Info'!A1681:A1780,'Customer Info'!M1681:M1780)</f>
        <v>0</v>
      </c>
    </row>
    <row r="1846" spans="1:10" ht="14" x14ac:dyDescent="0.2">
      <c r="A1846" s="2" t="s">
        <v>93</v>
      </c>
      <c r="B1846" s="2">
        <v>3</v>
      </c>
      <c r="C1846" s="2">
        <v>7</v>
      </c>
      <c r="D1846" s="2">
        <v>2021</v>
      </c>
      <c r="E1846" s="2">
        <v>76.88</v>
      </c>
      <c r="F1846" s="2">
        <v>77.5</v>
      </c>
      <c r="H1846" s="1">
        <f>_xlfn.XLOOKUP('Customer Info'!A1689,'Customer Info'!A1689:A1788,'Customer Info'!E1689:E1788,0,0)</f>
        <v>0</v>
      </c>
      <c r="J1846" s="1">
        <f>_xlfn.XLOOKUP('Customer Info'!A1689,'Customer Info'!A1689:A1788,'Customer Info'!M1689:M1788)</f>
        <v>0</v>
      </c>
    </row>
    <row r="1847" spans="1:10" ht="14" hidden="1" x14ac:dyDescent="0.2">
      <c r="A1847" s="2" t="s">
        <v>66</v>
      </c>
      <c r="B1847" s="2">
        <v>23</v>
      </c>
      <c r="C1847" s="2">
        <v>3</v>
      </c>
      <c r="D1847" s="2">
        <v>2020</v>
      </c>
      <c r="E1847" s="2">
        <v>72.23</v>
      </c>
      <c r="F1847" s="2">
        <v>77.5</v>
      </c>
      <c r="H1847" s="1">
        <f>_xlfn.XLOOKUP('Customer Info'!A483,'Customer Info'!A483:A582,'Customer Info'!E483:E582,0,0)</f>
        <v>0</v>
      </c>
      <c r="J1847" s="1">
        <f>_xlfn.XLOOKUP('Customer Info'!A483,'Customer Info'!A483:A582,'Customer Info'!M483:M582)</f>
        <v>0</v>
      </c>
    </row>
    <row r="1848" spans="1:10" ht="14" x14ac:dyDescent="0.2">
      <c r="A1848" s="2" t="s">
        <v>48</v>
      </c>
      <c r="B1848" s="2">
        <v>24</v>
      </c>
      <c r="C1848" s="2">
        <v>3</v>
      </c>
      <c r="D1848" s="2">
        <v>2021</v>
      </c>
      <c r="E1848" s="2">
        <v>70.989999999999995</v>
      </c>
      <c r="F1848" s="2">
        <v>77.5</v>
      </c>
      <c r="H1848" s="1">
        <f>_xlfn.XLOOKUP('Customer Info'!A1729,'Customer Info'!A1729:A1828,'Customer Info'!E1729:E1828,0,0)</f>
        <v>0</v>
      </c>
      <c r="J1848" s="1">
        <f>_xlfn.XLOOKUP('Customer Info'!A1729,'Customer Info'!A1729:A1828,'Customer Info'!M1729:M1828)</f>
        <v>0</v>
      </c>
    </row>
    <row r="1849" spans="1:10" ht="14" x14ac:dyDescent="0.2">
      <c r="A1849" s="2" t="s">
        <v>66</v>
      </c>
      <c r="B1849" s="2">
        <v>23</v>
      </c>
      <c r="C1849" s="2">
        <v>5</v>
      </c>
      <c r="D1849" s="2">
        <v>2021</v>
      </c>
      <c r="E1849" s="2">
        <v>48.98</v>
      </c>
      <c r="F1849" s="2">
        <v>77.5</v>
      </c>
      <c r="H1849" s="1">
        <f>_xlfn.XLOOKUP('Customer Info'!A1875,'Customer Info'!A1875:A1974,'Customer Info'!E1875:E1974,0,0)</f>
        <v>0</v>
      </c>
      <c r="J1849" s="1">
        <f>_xlfn.XLOOKUP('Customer Info'!A1875,'Customer Info'!A1875:A1974,'Customer Info'!M1875:M1974)</f>
        <v>0</v>
      </c>
    </row>
    <row r="1850" spans="1:10" ht="14" hidden="1" x14ac:dyDescent="0.2">
      <c r="A1850" s="2" t="s">
        <v>76</v>
      </c>
      <c r="B1850" s="2">
        <v>9</v>
      </c>
      <c r="C1850" s="2">
        <v>8</v>
      </c>
      <c r="D1850" s="2">
        <v>2020</v>
      </c>
      <c r="E1850" s="2">
        <v>39.99</v>
      </c>
      <c r="F1850" s="2">
        <v>77.5</v>
      </c>
      <c r="H1850" s="1">
        <f>_xlfn.XLOOKUP('Customer Info'!A733,'Customer Info'!A733:A832,'Customer Info'!E733:E832,0,0)</f>
        <v>0</v>
      </c>
      <c r="J1850" s="1">
        <f>_xlfn.XLOOKUP('Customer Info'!A733,'Customer Info'!A733:A832,'Customer Info'!M733:M832)</f>
        <v>0</v>
      </c>
    </row>
    <row r="1851" spans="1:10" ht="14" x14ac:dyDescent="0.2">
      <c r="A1851" s="2" t="s">
        <v>36</v>
      </c>
      <c r="B1851" s="2">
        <v>12</v>
      </c>
      <c r="C1851" s="2">
        <v>5</v>
      </c>
      <c r="D1851" s="2">
        <v>2021</v>
      </c>
      <c r="E1851" s="2">
        <v>35.340000000000003</v>
      </c>
      <c r="F1851" s="2">
        <v>77.5</v>
      </c>
      <c r="H1851" s="1">
        <f>_xlfn.XLOOKUP('Customer Info'!A1985,'Customer Info'!A1985:A2084,'Customer Info'!E1985:E2084,0,0)</f>
        <v>0</v>
      </c>
      <c r="J1851" s="1">
        <f>_xlfn.XLOOKUP('Customer Info'!A1985,'Customer Info'!A1985:A2084,'Customer Info'!M1985:M2084)</f>
        <v>0</v>
      </c>
    </row>
    <row r="1852" spans="1:10" ht="14" hidden="1" x14ac:dyDescent="0.2">
      <c r="A1852" s="2" t="s">
        <v>0</v>
      </c>
      <c r="B1852" s="2">
        <v>25</v>
      </c>
      <c r="C1852" s="2">
        <v>9</v>
      </c>
      <c r="D1852" s="2">
        <v>2020</v>
      </c>
      <c r="E1852" s="1" t="s">
        <v>94</v>
      </c>
      <c r="F1852" s="2">
        <v>77.400000000000006</v>
      </c>
      <c r="H1852" s="1">
        <f>_xlfn.XLOOKUP('Customer Info'!A128,'Customer Info'!A128:A227,'Customer Info'!E128:E227,0,0)</f>
        <v>0</v>
      </c>
      <c r="J1852" s="1">
        <f>_xlfn.XLOOKUP('Customer Info'!A128,'Customer Info'!A128:A227,'Customer Info'!M128:M227)</f>
        <v>0</v>
      </c>
    </row>
    <row r="1853" spans="1:10" ht="14" x14ac:dyDescent="0.2">
      <c r="A1853" s="2" t="s">
        <v>63</v>
      </c>
      <c r="B1853" s="2">
        <v>25</v>
      </c>
      <c r="C1853" s="2">
        <v>11</v>
      </c>
      <c r="D1853" s="2">
        <v>2021</v>
      </c>
      <c r="E1853" s="2">
        <v>94.2</v>
      </c>
      <c r="F1853" s="2">
        <v>77.400000000000006</v>
      </c>
      <c r="H1853" s="1">
        <f>_xlfn.XLOOKUP('Customer Info'!A1591,'Customer Info'!A1591:A1690,'Customer Info'!E1591:E1690,0,0)</f>
        <v>0</v>
      </c>
      <c r="J1853" s="1">
        <f>_xlfn.XLOOKUP('Customer Info'!A1591,'Customer Info'!A1591:A1690,'Customer Info'!M1591:M1690)</f>
        <v>0</v>
      </c>
    </row>
    <row r="1854" spans="1:10" ht="14" hidden="1" x14ac:dyDescent="0.2">
      <c r="A1854" s="2" t="s">
        <v>43</v>
      </c>
      <c r="B1854" s="2">
        <v>15</v>
      </c>
      <c r="C1854" s="2">
        <v>11</v>
      </c>
      <c r="D1854" s="2">
        <v>2020</v>
      </c>
      <c r="E1854" s="2">
        <v>90.9</v>
      </c>
      <c r="F1854" s="2">
        <v>77.400000000000006</v>
      </c>
      <c r="H1854" s="1">
        <f>_xlfn.XLOOKUP('Customer Info'!A388,'Customer Info'!A388:A487,'Customer Info'!E388:E487,0,0)</f>
        <v>0</v>
      </c>
      <c r="J1854" s="1">
        <f>_xlfn.XLOOKUP('Customer Info'!A388,'Customer Info'!A388:A487,'Customer Info'!M388:M487)</f>
        <v>0</v>
      </c>
    </row>
    <row r="1855" spans="1:10" ht="14" hidden="1" x14ac:dyDescent="0.2">
      <c r="A1855" s="2" t="s">
        <v>38</v>
      </c>
      <c r="B1855" s="2">
        <v>21</v>
      </c>
      <c r="C1855" s="2">
        <v>11</v>
      </c>
      <c r="D1855" s="2">
        <v>2020</v>
      </c>
      <c r="E1855" s="2">
        <v>80.099999999999994</v>
      </c>
      <c r="F1855" s="2">
        <v>77.400000000000006</v>
      </c>
      <c r="H1855" s="1">
        <f>_xlfn.XLOOKUP('Customer Info'!A439,'Customer Info'!A439:A538,'Customer Info'!E439:E538,0,0)</f>
        <v>0</v>
      </c>
      <c r="J1855" s="1">
        <f>_xlfn.XLOOKUP('Customer Info'!A439,'Customer Info'!A439:A538,'Customer Info'!M439:M538)</f>
        <v>0</v>
      </c>
    </row>
    <row r="1856" spans="1:10" ht="14" hidden="1" x14ac:dyDescent="0.2">
      <c r="A1856" s="2" t="s">
        <v>52</v>
      </c>
      <c r="B1856" s="2">
        <v>1</v>
      </c>
      <c r="C1856" s="2">
        <v>4</v>
      </c>
      <c r="D1856" s="2">
        <v>2020</v>
      </c>
      <c r="E1856" s="2">
        <v>66.3</v>
      </c>
      <c r="F1856" s="2">
        <v>77.400000000000006</v>
      </c>
      <c r="H1856" s="1">
        <f>_xlfn.XLOOKUP('Customer Info'!A537,'Customer Info'!A537:A636,'Customer Info'!E537:E636,0,0)</f>
        <v>0</v>
      </c>
      <c r="J1856" s="1">
        <f>_xlfn.XLOOKUP('Customer Info'!A537,'Customer Info'!A537:A636,'Customer Info'!M537:M636)</f>
        <v>0</v>
      </c>
    </row>
    <row r="1857" spans="1:10" ht="14" x14ac:dyDescent="0.2">
      <c r="A1857" s="2" t="s">
        <v>57</v>
      </c>
      <c r="B1857" s="2">
        <v>17</v>
      </c>
      <c r="C1857" s="2">
        <v>9</v>
      </c>
      <c r="D1857" s="2">
        <v>2021</v>
      </c>
      <c r="E1857" s="2">
        <v>39.299999999999997</v>
      </c>
      <c r="F1857" s="2">
        <v>77.400000000000006</v>
      </c>
      <c r="H1857" s="1">
        <f>_xlfn.XLOOKUP('Customer Info'!A1949,'Customer Info'!A1949:A2048,'Customer Info'!E1949:E2048,0,0)</f>
        <v>0</v>
      </c>
      <c r="J1857" s="1">
        <f>_xlfn.XLOOKUP('Customer Info'!A1949,'Customer Info'!A1949:A2048,'Customer Info'!M1949:M2048)</f>
        <v>0</v>
      </c>
    </row>
    <row r="1858" spans="1:10" ht="14" x14ac:dyDescent="0.2">
      <c r="A1858" s="2" t="s">
        <v>37</v>
      </c>
      <c r="B1858" s="2">
        <v>12</v>
      </c>
      <c r="C1858" s="2">
        <v>9</v>
      </c>
      <c r="D1858" s="2">
        <v>2021</v>
      </c>
      <c r="E1858" s="2">
        <v>35.700000000000003</v>
      </c>
      <c r="F1858" s="2">
        <v>77.400000000000006</v>
      </c>
      <c r="H1858" s="1">
        <f>_xlfn.XLOOKUP('Customer Info'!A1983,'Customer Info'!A1983:A2082,'Customer Info'!E1983:E2082,0,0)</f>
        <v>0</v>
      </c>
      <c r="J1858" s="1">
        <f>_xlfn.XLOOKUP('Customer Info'!A1983,'Customer Info'!A1983:A2082,'Customer Info'!M1983:M2082)</f>
        <v>0</v>
      </c>
    </row>
    <row r="1859" spans="1:10" ht="14" x14ac:dyDescent="0.2">
      <c r="A1859" s="2" t="s">
        <v>39</v>
      </c>
      <c r="B1859" s="2">
        <v>22</v>
      </c>
      <c r="C1859" s="2">
        <v>9</v>
      </c>
      <c r="D1859" s="2">
        <v>2021</v>
      </c>
      <c r="E1859" s="2">
        <v>25.2</v>
      </c>
      <c r="F1859" s="2">
        <v>77.400000000000006</v>
      </c>
      <c r="H1859" s="1">
        <f>_xlfn.XLOOKUP('Customer Info'!A2051,'Customer Info'!A2051:A2150,'Customer Info'!E2051:E2150,0,0)</f>
        <v>0</v>
      </c>
      <c r="J1859" s="1">
        <f>_xlfn.XLOOKUP('Customer Info'!A2051,'Customer Info'!A2051:A2150,'Customer Info'!M2051:M2150)</f>
        <v>0</v>
      </c>
    </row>
    <row r="1860" spans="1:10" ht="14" x14ac:dyDescent="0.2">
      <c r="A1860" s="2" t="s">
        <v>85</v>
      </c>
      <c r="B1860" s="2">
        <v>3</v>
      </c>
      <c r="C1860" s="2">
        <v>2</v>
      </c>
      <c r="D1860" s="2">
        <v>2021</v>
      </c>
      <c r="E1860" s="2">
        <v>113.4</v>
      </c>
      <c r="F1860" s="2">
        <v>77.28</v>
      </c>
      <c r="H1860" s="1">
        <f>_xlfn.XLOOKUP('Customer Info'!A1478,'Customer Info'!A1478:A1577,'Customer Info'!E1478:E1577,0,0)</f>
        <v>0</v>
      </c>
      <c r="J1860" s="1">
        <f>_xlfn.XLOOKUP('Customer Info'!A1478,'Customer Info'!A1478:A1577,'Customer Info'!M1478:M1577)</f>
        <v>0</v>
      </c>
    </row>
    <row r="1861" spans="1:10" ht="14" x14ac:dyDescent="0.2">
      <c r="A1861" s="2" t="s">
        <v>95</v>
      </c>
      <c r="B1861" s="2">
        <v>24</v>
      </c>
      <c r="C1861" s="2">
        <v>1</v>
      </c>
      <c r="D1861" s="2">
        <v>2021</v>
      </c>
      <c r="E1861" s="1" t="s">
        <v>94</v>
      </c>
      <c r="F1861" s="2">
        <v>77.19</v>
      </c>
      <c r="H1861" s="1">
        <f>_xlfn.XLOOKUP('Customer Info'!A1314,'Customer Info'!A1314:A1413,'Customer Info'!E1314:E1413,0,0)</f>
        <v>0</v>
      </c>
      <c r="J1861" s="1">
        <f>_xlfn.XLOOKUP('Customer Info'!A1314,'Customer Info'!A1314:A1413,'Customer Info'!M1314:M1413)</f>
        <v>0</v>
      </c>
    </row>
    <row r="1862" spans="1:10" ht="14" x14ac:dyDescent="0.2">
      <c r="A1862" s="2" t="s">
        <v>62</v>
      </c>
      <c r="B1862" s="2">
        <v>1</v>
      </c>
      <c r="C1862" s="2">
        <v>3</v>
      </c>
      <c r="D1862" s="2">
        <v>2021</v>
      </c>
      <c r="E1862" s="2">
        <v>84.63</v>
      </c>
      <c r="F1862" s="2">
        <v>77.19</v>
      </c>
      <c r="H1862" s="1">
        <f>_xlfn.XLOOKUP('Customer Info'!A1638,'Customer Info'!A1638:A1737,'Customer Info'!E1638:E1737,0,0)</f>
        <v>0</v>
      </c>
      <c r="J1862" s="1">
        <f>_xlfn.XLOOKUP('Customer Info'!A1638,'Customer Info'!A1638:A1737,'Customer Info'!M1638:M1737)</f>
        <v>0</v>
      </c>
    </row>
    <row r="1863" spans="1:10" ht="14" hidden="1" x14ac:dyDescent="0.2">
      <c r="A1863" s="2" t="s">
        <v>61</v>
      </c>
      <c r="B1863" s="2">
        <v>23</v>
      </c>
      <c r="C1863" s="2">
        <v>3</v>
      </c>
      <c r="D1863" s="2">
        <v>2020</v>
      </c>
      <c r="E1863" s="2">
        <v>73.78</v>
      </c>
      <c r="F1863" s="2">
        <v>77.19</v>
      </c>
      <c r="H1863" s="1">
        <f>_xlfn.XLOOKUP('Customer Info'!A477,'Customer Info'!A477:A576,'Customer Info'!E477:E576,0,0)</f>
        <v>0</v>
      </c>
      <c r="J1863" s="1">
        <f>_xlfn.XLOOKUP('Customer Info'!A477,'Customer Info'!A477:A576,'Customer Info'!M477:M576)</f>
        <v>0</v>
      </c>
    </row>
    <row r="1864" spans="1:10" ht="14" hidden="1" x14ac:dyDescent="0.2">
      <c r="A1864" s="2" t="s">
        <v>92</v>
      </c>
      <c r="B1864" s="2">
        <v>7</v>
      </c>
      <c r="C1864" s="2">
        <v>8</v>
      </c>
      <c r="D1864" s="2">
        <v>2020</v>
      </c>
      <c r="E1864" s="2">
        <v>65.41</v>
      </c>
      <c r="F1864" s="2">
        <v>77.19</v>
      </c>
      <c r="H1864" s="1">
        <f>_xlfn.XLOOKUP('Customer Info'!A543,'Customer Info'!A543:A642,'Customer Info'!E543:E642,0,0)</f>
        <v>0</v>
      </c>
      <c r="J1864" s="1">
        <f>_xlfn.XLOOKUP('Customer Info'!A543,'Customer Info'!A543:A642,'Customer Info'!M543:M642)</f>
        <v>0</v>
      </c>
    </row>
    <row r="1865" spans="1:10" ht="14" hidden="1" x14ac:dyDescent="0.2">
      <c r="A1865" s="2" t="s">
        <v>84</v>
      </c>
      <c r="B1865" s="2">
        <v>20</v>
      </c>
      <c r="C1865" s="2">
        <v>8</v>
      </c>
      <c r="D1865" s="2">
        <v>2020</v>
      </c>
      <c r="E1865" s="2">
        <v>57.04</v>
      </c>
      <c r="F1865" s="2">
        <v>77.19</v>
      </c>
      <c r="H1865" s="1">
        <f>_xlfn.XLOOKUP('Customer Info'!A604,'Customer Info'!A604:A703,'Customer Info'!E604:E703,0,0)</f>
        <v>0</v>
      </c>
      <c r="J1865" s="1">
        <f>_xlfn.XLOOKUP('Customer Info'!A604,'Customer Info'!A604:A703,'Customer Info'!M604:M703)</f>
        <v>0</v>
      </c>
    </row>
    <row r="1866" spans="1:10" ht="14" hidden="1" x14ac:dyDescent="0.2">
      <c r="A1866" s="2" t="s">
        <v>75</v>
      </c>
      <c r="B1866" s="2">
        <v>2</v>
      </c>
      <c r="C1866" s="2">
        <v>7</v>
      </c>
      <c r="D1866" s="2">
        <v>2020</v>
      </c>
      <c r="E1866" s="2">
        <v>48.36</v>
      </c>
      <c r="F1866" s="2">
        <v>77.19</v>
      </c>
      <c r="H1866" s="1">
        <f>_xlfn.XLOOKUP('Customer Info'!A658,'Customer Info'!A658:A757,'Customer Info'!E658:E757,0,0)</f>
        <v>0</v>
      </c>
      <c r="J1866" s="1">
        <f>_xlfn.XLOOKUP('Customer Info'!A658,'Customer Info'!A658:A757,'Customer Info'!M658:M757)</f>
        <v>0</v>
      </c>
    </row>
    <row r="1867" spans="1:10" ht="14" hidden="1" x14ac:dyDescent="0.2">
      <c r="A1867" s="2" t="s">
        <v>59</v>
      </c>
      <c r="B1867" s="2">
        <v>11</v>
      </c>
      <c r="C1867" s="2">
        <v>7</v>
      </c>
      <c r="D1867" s="2">
        <v>2020</v>
      </c>
      <c r="E1867" s="2">
        <v>32.86</v>
      </c>
      <c r="F1867" s="2">
        <v>77.19</v>
      </c>
      <c r="H1867" s="1">
        <f>_xlfn.XLOOKUP('Customer Info'!A799,'Customer Info'!A799:A898,'Customer Info'!E799:E898,0,0)</f>
        <v>0</v>
      </c>
      <c r="J1867" s="1">
        <f>_xlfn.XLOOKUP('Customer Info'!A799,'Customer Info'!A799:A898,'Customer Info'!M799:M898)</f>
        <v>0</v>
      </c>
    </row>
    <row r="1868" spans="1:10" ht="14" x14ac:dyDescent="0.2">
      <c r="A1868" s="2" t="s">
        <v>36</v>
      </c>
      <c r="B1868" s="2">
        <v>12</v>
      </c>
      <c r="C1868" s="2">
        <v>7</v>
      </c>
      <c r="D1868" s="2">
        <v>2021</v>
      </c>
      <c r="E1868" s="2">
        <v>29.45</v>
      </c>
      <c r="F1868" s="2">
        <v>77.19</v>
      </c>
      <c r="H1868" s="1">
        <f>_xlfn.XLOOKUP('Customer Info'!A2023,'Customer Info'!A2023:A2122,'Customer Info'!E2023:E2122,0,0)</f>
        <v>0</v>
      </c>
      <c r="J1868" s="1">
        <f>_xlfn.XLOOKUP('Customer Info'!A2023,'Customer Info'!A2023:A2122,'Customer Info'!M2023:M2122)</f>
        <v>0</v>
      </c>
    </row>
    <row r="1869" spans="1:10" ht="14" hidden="1" x14ac:dyDescent="0.2">
      <c r="A1869" s="2" t="s">
        <v>48</v>
      </c>
      <c r="B1869" s="2">
        <v>24</v>
      </c>
      <c r="C1869" s="2">
        <v>8</v>
      </c>
      <c r="D1869" s="2">
        <v>2020</v>
      </c>
      <c r="E1869" s="2">
        <v>26.04</v>
      </c>
      <c r="F1869" s="2">
        <v>77.19</v>
      </c>
      <c r="H1869" s="1">
        <f>_xlfn.XLOOKUP('Customer Info'!A844,'Customer Info'!A844:A943,'Customer Info'!E844:E943,0,0)</f>
        <v>0</v>
      </c>
      <c r="J1869" s="1">
        <f>_xlfn.XLOOKUP('Customer Info'!A844,'Customer Info'!A844:A943,'Customer Info'!M844:M943)</f>
        <v>0</v>
      </c>
    </row>
    <row r="1870" spans="1:10" ht="14" x14ac:dyDescent="0.2">
      <c r="A1870" s="2" t="s">
        <v>56</v>
      </c>
      <c r="B1870" s="2">
        <v>14</v>
      </c>
      <c r="C1870" s="2">
        <v>4</v>
      </c>
      <c r="D1870" s="2">
        <v>2021</v>
      </c>
      <c r="E1870" s="2">
        <v>81</v>
      </c>
      <c r="F1870" s="2">
        <v>77.099999999999994</v>
      </c>
      <c r="H1870" s="1">
        <f>_xlfn.XLOOKUP('Customer Info'!A1660,'Customer Info'!A1660:A1759,'Customer Info'!E1660:E1759,0,0)</f>
        <v>0</v>
      </c>
      <c r="J1870" s="1">
        <f>_xlfn.XLOOKUP('Customer Info'!A1660,'Customer Info'!A1660:A1759,'Customer Info'!M1660:M1759)</f>
        <v>0</v>
      </c>
    </row>
    <row r="1871" spans="1:10" ht="14" hidden="1" x14ac:dyDescent="0.2">
      <c r="A1871" s="2" t="s">
        <v>81</v>
      </c>
      <c r="B1871" s="2">
        <v>19</v>
      </c>
      <c r="C1871" s="2">
        <v>6</v>
      </c>
      <c r="D1871" s="2">
        <v>2020</v>
      </c>
      <c r="E1871" s="2">
        <v>44.4</v>
      </c>
      <c r="F1871" s="2">
        <v>77.099999999999994</v>
      </c>
      <c r="H1871" s="1">
        <f>_xlfn.XLOOKUP('Customer Info'!A690,'Customer Info'!A690:A789,'Customer Info'!E690:E789,0,0)</f>
        <v>0</v>
      </c>
      <c r="J1871" s="1">
        <f>_xlfn.XLOOKUP('Customer Info'!A690,'Customer Info'!A690:A789,'Customer Info'!M690:M789)</f>
        <v>0</v>
      </c>
    </row>
    <row r="1872" spans="1:10" ht="14" hidden="1" x14ac:dyDescent="0.2">
      <c r="A1872" s="2" t="s">
        <v>76</v>
      </c>
      <c r="B1872" s="2">
        <v>9</v>
      </c>
      <c r="C1872" s="2">
        <v>6</v>
      </c>
      <c r="D1872" s="2">
        <v>2020</v>
      </c>
      <c r="E1872" s="2">
        <v>41.1</v>
      </c>
      <c r="F1872" s="2">
        <v>77.099999999999994</v>
      </c>
      <c r="H1872" s="1">
        <f>_xlfn.XLOOKUP('Customer Info'!A722,'Customer Info'!A722:A821,'Customer Info'!E722:E821,0,0)</f>
        <v>0</v>
      </c>
      <c r="J1872" s="1">
        <f>_xlfn.XLOOKUP('Customer Info'!A722,'Customer Info'!A722:A821,'Customer Info'!M722:M821)</f>
        <v>0</v>
      </c>
    </row>
    <row r="1873" spans="1:10" ht="14" x14ac:dyDescent="0.2">
      <c r="A1873" s="2" t="s">
        <v>80</v>
      </c>
      <c r="B1873" s="2">
        <v>12</v>
      </c>
      <c r="C1873" s="2">
        <v>2</v>
      </c>
      <c r="D1873" s="2">
        <v>2021</v>
      </c>
      <c r="E1873" s="2">
        <v>106.12</v>
      </c>
      <c r="F1873" s="2">
        <v>77</v>
      </c>
      <c r="H1873" s="1">
        <f>_xlfn.XLOOKUP('Customer Info'!A1521,'Customer Info'!A1521:A1620,'Customer Info'!E1521:E1620,0,0)</f>
        <v>0</v>
      </c>
      <c r="J1873" s="1">
        <f>_xlfn.XLOOKUP('Customer Info'!A1521,'Customer Info'!A1521:A1620,'Customer Info'!M1521:M1620)</f>
        <v>0</v>
      </c>
    </row>
    <row r="1874" spans="1:10" ht="14" hidden="1" x14ac:dyDescent="0.2">
      <c r="A1874" s="2" t="s">
        <v>60</v>
      </c>
      <c r="B1874" s="2">
        <v>20</v>
      </c>
      <c r="C1874" s="2">
        <v>2</v>
      </c>
      <c r="D1874" s="2">
        <v>2020</v>
      </c>
      <c r="E1874" s="2">
        <v>86.24</v>
      </c>
      <c r="F1874" s="2">
        <v>77</v>
      </c>
      <c r="H1874" s="1">
        <f>_xlfn.XLOOKUP('Customer Info'!A411,'Customer Info'!A411:A510,'Customer Info'!E411:E510,0,0)</f>
        <v>0</v>
      </c>
      <c r="J1874" s="1">
        <f>_xlfn.XLOOKUP('Customer Info'!A411,'Customer Info'!A411:A510,'Customer Info'!M411:M510)</f>
        <v>0</v>
      </c>
    </row>
    <row r="1875" spans="1:10" ht="14" x14ac:dyDescent="0.2">
      <c r="A1875" s="2" t="s">
        <v>96</v>
      </c>
      <c r="B1875" s="2">
        <v>3</v>
      </c>
      <c r="C1875" s="2">
        <v>1</v>
      </c>
      <c r="D1875" s="2">
        <v>2021</v>
      </c>
      <c r="E1875" s="1" t="s">
        <v>94</v>
      </c>
      <c r="F1875" s="2">
        <v>76.88</v>
      </c>
      <c r="H1875" s="1">
        <f>_xlfn.XLOOKUP('Customer Info'!A1315,'Customer Info'!A1315:A1414,'Customer Info'!E1315:E1414,0,0)</f>
        <v>0</v>
      </c>
      <c r="J1875" s="1">
        <f>_xlfn.XLOOKUP('Customer Info'!A1315,'Customer Info'!A1315:A1414,'Customer Info'!M1315:M1414)</f>
        <v>0</v>
      </c>
    </row>
    <row r="1876" spans="1:10" ht="14" hidden="1" x14ac:dyDescent="0.2">
      <c r="A1876" s="2" t="s">
        <v>61</v>
      </c>
      <c r="B1876" s="2">
        <v>23</v>
      </c>
      <c r="C1876" s="2">
        <v>12</v>
      </c>
      <c r="D1876" s="2">
        <v>2020</v>
      </c>
      <c r="E1876" s="2">
        <v>124.62</v>
      </c>
      <c r="F1876" s="2">
        <v>76.88</v>
      </c>
      <c r="H1876" s="1">
        <f>_xlfn.XLOOKUP('Customer Info'!A190,'Customer Info'!A190:A289,'Customer Info'!E190:E289,0,0)</f>
        <v>0</v>
      </c>
      <c r="J1876" s="1">
        <f>_xlfn.XLOOKUP('Customer Info'!A190,'Customer Info'!A190:A289,'Customer Info'!M190:M289)</f>
        <v>0</v>
      </c>
    </row>
    <row r="1877" spans="1:10" ht="14" hidden="1" x14ac:dyDescent="0.2">
      <c r="A1877" s="2" t="s">
        <v>58</v>
      </c>
      <c r="B1877" s="2">
        <v>16</v>
      </c>
      <c r="C1877" s="2">
        <v>12</v>
      </c>
      <c r="D1877" s="2">
        <v>2020</v>
      </c>
      <c r="E1877" s="2">
        <v>120.28</v>
      </c>
      <c r="F1877" s="2">
        <v>76.88</v>
      </c>
      <c r="H1877" s="1">
        <f>_xlfn.XLOOKUP('Customer Info'!A206,'Customer Info'!A206:A305,'Customer Info'!E206:E305,0,0)</f>
        <v>0</v>
      </c>
      <c r="J1877" s="1">
        <f>_xlfn.XLOOKUP('Customer Info'!A206,'Customer Info'!A206:A305,'Customer Info'!M206:M305)</f>
        <v>0</v>
      </c>
    </row>
    <row r="1878" spans="1:10" ht="14" hidden="1" x14ac:dyDescent="0.2">
      <c r="A1878" s="2" t="s">
        <v>45</v>
      </c>
      <c r="B1878" s="2">
        <v>18</v>
      </c>
      <c r="C1878" s="2">
        <v>12</v>
      </c>
      <c r="D1878" s="2">
        <v>2020</v>
      </c>
      <c r="E1878" s="2">
        <v>114.7</v>
      </c>
      <c r="F1878" s="2">
        <v>76.88</v>
      </c>
      <c r="H1878" s="1">
        <f>_xlfn.XLOOKUP('Customer Info'!A233,'Customer Info'!A233:A332,'Customer Info'!E233:E332,0,0)</f>
        <v>0</v>
      </c>
      <c r="J1878" s="1">
        <f>_xlfn.XLOOKUP('Customer Info'!A233,'Customer Info'!A233:A332,'Customer Info'!M233:M332)</f>
        <v>0</v>
      </c>
    </row>
    <row r="1879" spans="1:10" ht="14" hidden="1" x14ac:dyDescent="0.2">
      <c r="A1879" s="2" t="s">
        <v>43</v>
      </c>
      <c r="B1879" s="2">
        <v>15</v>
      </c>
      <c r="C1879" s="2">
        <v>1</v>
      </c>
      <c r="D1879" s="2">
        <v>2020</v>
      </c>
      <c r="E1879" s="2">
        <v>109.74</v>
      </c>
      <c r="F1879" s="2">
        <v>76.88</v>
      </c>
      <c r="H1879" s="1">
        <f>_xlfn.XLOOKUP('Customer Info'!A263,'Customer Info'!A263:A362,'Customer Info'!E263:E362,0,0)</f>
        <v>0</v>
      </c>
      <c r="J1879" s="1">
        <f>_xlfn.XLOOKUP('Customer Info'!A263,'Customer Info'!A263:A362,'Customer Info'!M263:M362)</f>
        <v>0</v>
      </c>
    </row>
    <row r="1880" spans="1:10" ht="14" hidden="1" x14ac:dyDescent="0.2">
      <c r="A1880" s="2" t="s">
        <v>63</v>
      </c>
      <c r="B1880" s="2">
        <v>25</v>
      </c>
      <c r="C1880" s="2">
        <v>3</v>
      </c>
      <c r="D1880" s="2">
        <v>2020</v>
      </c>
      <c r="E1880" s="2">
        <v>75.33</v>
      </c>
      <c r="F1880" s="2">
        <v>76.88</v>
      </c>
      <c r="H1880" s="1">
        <f>_xlfn.XLOOKUP('Customer Info'!A467,'Customer Info'!A467:A566,'Customer Info'!E467:E566,0,0)</f>
        <v>0</v>
      </c>
      <c r="J1880" s="1">
        <f>_xlfn.XLOOKUP('Customer Info'!A467,'Customer Info'!A467:A566,'Customer Info'!M467:M566)</f>
        <v>0</v>
      </c>
    </row>
    <row r="1881" spans="1:10" ht="14" x14ac:dyDescent="0.2">
      <c r="A1881" s="2" t="s">
        <v>45</v>
      </c>
      <c r="B1881" s="2">
        <v>18</v>
      </c>
      <c r="C1881" s="2">
        <v>10</v>
      </c>
      <c r="D1881" s="2">
        <v>2021</v>
      </c>
      <c r="E1881" s="2">
        <v>60.76</v>
      </c>
      <c r="F1881" s="2">
        <v>76.88</v>
      </c>
      <c r="H1881" s="1">
        <f>_xlfn.XLOOKUP('Customer Info'!A1799,'Customer Info'!A1799:A1898,'Customer Info'!E1799:E1898,0,0)</f>
        <v>0</v>
      </c>
      <c r="J1881" s="1">
        <f>_xlfn.XLOOKUP('Customer Info'!A1799,'Customer Info'!A1799:A1898,'Customer Info'!M1799:M1898)</f>
        <v>0</v>
      </c>
    </row>
    <row r="1882" spans="1:10" ht="14" hidden="1" x14ac:dyDescent="0.2">
      <c r="A1882" s="2" t="s">
        <v>82</v>
      </c>
      <c r="B1882" s="2">
        <v>8</v>
      </c>
      <c r="C1882" s="2">
        <v>8</v>
      </c>
      <c r="D1882" s="2">
        <v>2020</v>
      </c>
      <c r="E1882" s="2">
        <v>48.98</v>
      </c>
      <c r="F1882" s="2">
        <v>76.88</v>
      </c>
      <c r="H1882" s="1">
        <f>_xlfn.XLOOKUP('Customer Info'!A651,'Customer Info'!A651:A750,'Customer Info'!E651:E750,0,0)</f>
        <v>0</v>
      </c>
      <c r="J1882" s="1">
        <f>_xlfn.XLOOKUP('Customer Info'!A651,'Customer Info'!A651:A750,'Customer Info'!M651:M750)</f>
        <v>0</v>
      </c>
    </row>
    <row r="1883" spans="1:10" ht="14" hidden="1" x14ac:dyDescent="0.2">
      <c r="A1883" s="2" t="s">
        <v>81</v>
      </c>
      <c r="B1883" s="2">
        <v>19</v>
      </c>
      <c r="C1883" s="2">
        <v>7</v>
      </c>
      <c r="D1883" s="2">
        <v>2020</v>
      </c>
      <c r="E1883" s="2">
        <v>47.74</v>
      </c>
      <c r="F1883" s="2">
        <v>76.88</v>
      </c>
      <c r="H1883" s="1">
        <f>_xlfn.XLOOKUP('Customer Info'!A663,'Customer Info'!A663:A762,'Customer Info'!E663:E762,0,0)</f>
        <v>0</v>
      </c>
      <c r="J1883" s="1">
        <f>_xlfn.XLOOKUP('Customer Info'!A663,'Customer Info'!A663:A762,'Customer Info'!M663:M762)</f>
        <v>0</v>
      </c>
    </row>
    <row r="1884" spans="1:10" ht="14" x14ac:dyDescent="0.2">
      <c r="A1884" s="2" t="s">
        <v>82</v>
      </c>
      <c r="B1884" s="2">
        <v>8</v>
      </c>
      <c r="C1884" s="2">
        <v>8</v>
      </c>
      <c r="D1884" s="2">
        <v>2021</v>
      </c>
      <c r="E1884" s="2">
        <v>45.26</v>
      </c>
      <c r="F1884" s="2">
        <v>76.88</v>
      </c>
      <c r="H1884" s="1">
        <f>_xlfn.XLOOKUP('Customer Info'!A1904,'Customer Info'!A1904:A2003,'Customer Info'!E1904:E2003,0,0)</f>
        <v>0</v>
      </c>
      <c r="J1884" s="1">
        <f>_xlfn.XLOOKUP('Customer Info'!A1904,'Customer Info'!A1904:A2003,'Customer Info'!M1904:M2003)</f>
        <v>0</v>
      </c>
    </row>
    <row r="1885" spans="1:10" ht="14" x14ac:dyDescent="0.2">
      <c r="A1885" s="2" t="s">
        <v>58</v>
      </c>
      <c r="B1885" s="2">
        <v>16</v>
      </c>
      <c r="C1885" s="2">
        <v>5</v>
      </c>
      <c r="D1885" s="2">
        <v>2021</v>
      </c>
      <c r="E1885" s="2">
        <v>37.200000000000003</v>
      </c>
      <c r="F1885" s="2">
        <v>76.88</v>
      </c>
      <c r="H1885" s="1">
        <f>_xlfn.XLOOKUP('Customer Info'!A1971,'Customer Info'!A1971:A2070,'Customer Info'!E1971:E2070,0,0)</f>
        <v>0</v>
      </c>
      <c r="J1885" s="1">
        <f>_xlfn.XLOOKUP('Customer Info'!A1971,'Customer Info'!A1971:A2070,'Customer Info'!M1971:M2070)</f>
        <v>0</v>
      </c>
    </row>
    <row r="1886" spans="1:10" ht="14" x14ac:dyDescent="0.2">
      <c r="A1886" s="2" t="s">
        <v>38</v>
      </c>
      <c r="B1886" s="2">
        <v>21</v>
      </c>
      <c r="C1886" s="2">
        <v>8</v>
      </c>
      <c r="D1886" s="2">
        <v>2021</v>
      </c>
      <c r="E1886" s="2">
        <v>37.200000000000003</v>
      </c>
      <c r="F1886" s="2">
        <v>76.88</v>
      </c>
      <c r="H1886" s="1">
        <f>_xlfn.XLOOKUP('Customer Info'!A1972,'Customer Info'!A1972:A2071,'Customer Info'!E1972:E2071,0,0)</f>
        <v>0</v>
      </c>
      <c r="J1886" s="1">
        <f>_xlfn.XLOOKUP('Customer Info'!A1972,'Customer Info'!A1972:A2071,'Customer Info'!M1972:M2071)</f>
        <v>0</v>
      </c>
    </row>
    <row r="1887" spans="1:10" ht="14" x14ac:dyDescent="0.2">
      <c r="A1887" s="2" t="s">
        <v>47</v>
      </c>
      <c r="B1887" s="2">
        <v>19</v>
      </c>
      <c r="C1887" s="2">
        <v>5</v>
      </c>
      <c r="D1887" s="2">
        <v>2021</v>
      </c>
      <c r="E1887" s="2">
        <v>35.340000000000003</v>
      </c>
      <c r="F1887" s="2">
        <v>76.88</v>
      </c>
      <c r="H1887" s="1">
        <f>_xlfn.XLOOKUP('Customer Info'!A1986,'Customer Info'!A1986:A2085,'Customer Info'!E1986:E2085,0,0)</f>
        <v>0</v>
      </c>
      <c r="J1887" s="1">
        <f>_xlfn.XLOOKUP('Customer Info'!A1986,'Customer Info'!A1986:A2085,'Customer Info'!M1986:M2085)</f>
        <v>0</v>
      </c>
    </row>
    <row r="1888" spans="1:10" ht="14" hidden="1" x14ac:dyDescent="0.2">
      <c r="A1888" s="2" t="s">
        <v>84</v>
      </c>
      <c r="B1888" s="2">
        <v>20</v>
      </c>
      <c r="C1888" s="2">
        <v>11</v>
      </c>
      <c r="D1888" s="2">
        <v>2020</v>
      </c>
      <c r="E1888" s="2">
        <v>147.6</v>
      </c>
      <c r="F1888" s="2">
        <v>76.8</v>
      </c>
      <c r="H1888" s="1">
        <f>_xlfn.XLOOKUP('Customer Info'!A153,'Customer Info'!A153:A252,'Customer Info'!E153:E252,0,0)</f>
        <v>0</v>
      </c>
      <c r="J1888" s="1">
        <f>_xlfn.XLOOKUP('Customer Info'!A153,'Customer Info'!A153:A252,'Customer Info'!M153:M252)</f>
        <v>0</v>
      </c>
    </row>
    <row r="1889" spans="1:10" ht="14" x14ac:dyDescent="0.2">
      <c r="A1889" s="2" t="s">
        <v>40</v>
      </c>
      <c r="B1889" s="2">
        <v>15</v>
      </c>
      <c r="C1889" s="2">
        <v>4</v>
      </c>
      <c r="D1889" s="2">
        <v>2021</v>
      </c>
      <c r="E1889" s="2">
        <v>70.5</v>
      </c>
      <c r="F1889" s="2">
        <v>76.8</v>
      </c>
      <c r="H1889" s="1">
        <f>_xlfn.XLOOKUP('Customer Info'!A1733,'Customer Info'!A1733:A1832,'Customer Info'!E1733:E1832,0,0)</f>
        <v>0</v>
      </c>
      <c r="J1889" s="1">
        <f>_xlfn.XLOOKUP('Customer Info'!A1733,'Customer Info'!A1733:A1832,'Customer Info'!M1733:M1832)</f>
        <v>0</v>
      </c>
    </row>
    <row r="1890" spans="1:10" ht="14" x14ac:dyDescent="0.2">
      <c r="A1890" s="2" t="s">
        <v>34</v>
      </c>
      <c r="B1890" s="2">
        <v>4</v>
      </c>
      <c r="C1890" s="2">
        <v>4</v>
      </c>
      <c r="D1890" s="2">
        <v>2021</v>
      </c>
      <c r="E1890" s="2">
        <v>56.7</v>
      </c>
      <c r="F1890" s="2">
        <v>76.8</v>
      </c>
      <c r="H1890" s="1">
        <f>_xlfn.XLOOKUP('Customer Info'!A1824,'Customer Info'!A1824:A1923,'Customer Info'!E1824:E1923,0,0)</f>
        <v>0</v>
      </c>
      <c r="J1890" s="1">
        <f>_xlfn.XLOOKUP('Customer Info'!A1824,'Customer Info'!A1824:A1923,'Customer Info'!M1824:M1923)</f>
        <v>0</v>
      </c>
    </row>
    <row r="1891" spans="1:10" ht="14" x14ac:dyDescent="0.2">
      <c r="A1891" s="2" t="s">
        <v>80</v>
      </c>
      <c r="B1891" s="2">
        <v>12</v>
      </c>
      <c r="C1891" s="2">
        <v>9</v>
      </c>
      <c r="D1891" s="2">
        <v>2021</v>
      </c>
      <c r="E1891" s="2">
        <v>54.9</v>
      </c>
      <c r="F1891" s="2">
        <v>76.8</v>
      </c>
      <c r="H1891" s="1">
        <f>_xlfn.XLOOKUP('Customer Info'!A1832,'Customer Info'!A1832:A1931,'Customer Info'!E1832:E1931,0,0)</f>
        <v>0</v>
      </c>
      <c r="J1891" s="1">
        <f>_xlfn.XLOOKUP('Customer Info'!A1832,'Customer Info'!A1832:A1931,'Customer Info'!M1832:M1931)</f>
        <v>0</v>
      </c>
    </row>
    <row r="1892" spans="1:10" ht="14" x14ac:dyDescent="0.2">
      <c r="A1892" s="2" t="s">
        <v>58</v>
      </c>
      <c r="B1892" s="2">
        <v>16</v>
      </c>
      <c r="C1892" s="2">
        <v>9</v>
      </c>
      <c r="D1892" s="2">
        <v>2021</v>
      </c>
      <c r="E1892" s="2">
        <v>32.4</v>
      </c>
      <c r="F1892" s="2">
        <v>76.8</v>
      </c>
      <c r="H1892" s="1">
        <f>_xlfn.XLOOKUP('Customer Info'!A2003,'Customer Info'!A2003:A2102,'Customer Info'!E2003:E2102,0,0)</f>
        <v>0</v>
      </c>
      <c r="J1892" s="1">
        <f>_xlfn.XLOOKUP('Customer Info'!A2003,'Customer Info'!A2003:A2102,'Customer Info'!M2003:M2102)</f>
        <v>0</v>
      </c>
    </row>
    <row r="1893" spans="1:10" ht="14" x14ac:dyDescent="0.2">
      <c r="A1893" s="2" t="s">
        <v>68</v>
      </c>
      <c r="B1893" s="2">
        <v>11</v>
      </c>
      <c r="C1893" s="2">
        <v>2</v>
      </c>
      <c r="D1893" s="2">
        <v>2021</v>
      </c>
      <c r="E1893" s="2">
        <v>117.04</v>
      </c>
      <c r="F1893" s="2">
        <v>76.72</v>
      </c>
      <c r="H1893" s="1">
        <f>_xlfn.XLOOKUP('Customer Info'!A1453,'Customer Info'!A1453:A1552,'Customer Info'!E1453:E1552,0,0)</f>
        <v>0</v>
      </c>
      <c r="J1893" s="1">
        <f>_xlfn.XLOOKUP('Customer Info'!A1453,'Customer Info'!A1453:A1552,'Customer Info'!M1453:M1552)</f>
        <v>0</v>
      </c>
    </row>
    <row r="1894" spans="1:10" ht="14" hidden="1" x14ac:dyDescent="0.2">
      <c r="A1894" s="2" t="s">
        <v>40</v>
      </c>
      <c r="B1894" s="2">
        <v>15</v>
      </c>
      <c r="C1894" s="2">
        <v>2</v>
      </c>
      <c r="D1894" s="2">
        <v>2020</v>
      </c>
      <c r="E1894" s="2">
        <v>81.48</v>
      </c>
      <c r="F1894" s="2">
        <v>76.72</v>
      </c>
      <c r="H1894" s="1">
        <f>_xlfn.XLOOKUP('Customer Info'!A435,'Customer Info'!A435:A534,'Customer Info'!E435:E534,0,0)</f>
        <v>0</v>
      </c>
      <c r="J1894" s="1">
        <f>_xlfn.XLOOKUP('Customer Info'!A435,'Customer Info'!A435:A534,'Customer Info'!M435:M534)</f>
        <v>0</v>
      </c>
    </row>
    <row r="1895" spans="1:10" ht="14" x14ac:dyDescent="0.2">
      <c r="A1895" s="2" t="s">
        <v>38</v>
      </c>
      <c r="B1895" s="2">
        <v>21</v>
      </c>
      <c r="C1895" s="2">
        <v>12</v>
      </c>
      <c r="D1895" s="2">
        <v>2021</v>
      </c>
      <c r="E1895" s="2">
        <v>114.39</v>
      </c>
      <c r="F1895" s="2">
        <v>76.569999999999993</v>
      </c>
      <c r="H1895" s="1">
        <f>_xlfn.XLOOKUP('Customer Info'!A1471,'Customer Info'!A1471:A1570,'Customer Info'!E1471:E1570,0,0)</f>
        <v>0</v>
      </c>
      <c r="J1895" s="1">
        <f>_xlfn.XLOOKUP('Customer Info'!A1471,'Customer Info'!A1471:A1570,'Customer Info'!M1471:M1570)</f>
        <v>0</v>
      </c>
    </row>
    <row r="1896" spans="1:10" ht="14" hidden="1" x14ac:dyDescent="0.2">
      <c r="A1896" s="2" t="s">
        <v>80</v>
      </c>
      <c r="B1896" s="2">
        <v>12</v>
      </c>
      <c r="C1896" s="2">
        <v>1</v>
      </c>
      <c r="D1896" s="2">
        <v>2020</v>
      </c>
      <c r="E1896" s="2">
        <v>107.88</v>
      </c>
      <c r="F1896" s="2">
        <v>76.569999999999993</v>
      </c>
      <c r="H1896" s="1">
        <f>_xlfn.XLOOKUP('Customer Info'!A271,'Customer Info'!A271:A370,'Customer Info'!E271:E370,0,0)</f>
        <v>0</v>
      </c>
      <c r="J1896" s="1">
        <f>_xlfn.XLOOKUP('Customer Info'!A271,'Customer Info'!A271:A370,'Customer Info'!M271:M370)</f>
        <v>0</v>
      </c>
    </row>
    <row r="1897" spans="1:10" ht="14" x14ac:dyDescent="0.2">
      <c r="A1897" s="2" t="s">
        <v>47</v>
      </c>
      <c r="B1897" s="2">
        <v>19</v>
      </c>
      <c r="C1897" s="2">
        <v>12</v>
      </c>
      <c r="D1897" s="2">
        <v>2021</v>
      </c>
      <c r="E1897" s="2">
        <v>96.72</v>
      </c>
      <c r="F1897" s="2">
        <v>76.569999999999993</v>
      </c>
      <c r="H1897" s="1">
        <f>_xlfn.XLOOKUP('Customer Info'!A1571,'Customer Info'!A1571:A1670,'Customer Info'!E1571:E1670,0,0)</f>
        <v>0</v>
      </c>
      <c r="J1897" s="1">
        <f>_xlfn.XLOOKUP('Customer Info'!A1571,'Customer Info'!A1571:A1670,'Customer Info'!M1571:M1670)</f>
        <v>0</v>
      </c>
    </row>
    <row r="1898" spans="1:10" ht="14" hidden="1" x14ac:dyDescent="0.2">
      <c r="A1898" s="2" t="s">
        <v>35</v>
      </c>
      <c r="B1898" s="2">
        <v>9</v>
      </c>
      <c r="C1898" s="2">
        <v>10</v>
      </c>
      <c r="D1898" s="2">
        <v>2020</v>
      </c>
      <c r="E1898" s="2">
        <v>67.89</v>
      </c>
      <c r="F1898" s="2">
        <v>76.569999999999993</v>
      </c>
      <c r="H1898" s="1">
        <f>_xlfn.XLOOKUP('Customer Info'!A523,'Customer Info'!A523:A622,'Customer Info'!E523:E622,0,0)</f>
        <v>0</v>
      </c>
      <c r="J1898" s="1">
        <f>_xlfn.XLOOKUP('Customer Info'!A523,'Customer Info'!A523:A622,'Customer Info'!M523:M622)</f>
        <v>0</v>
      </c>
    </row>
    <row r="1899" spans="1:10" ht="14" hidden="1" x14ac:dyDescent="0.2">
      <c r="A1899" s="2" t="s">
        <v>40</v>
      </c>
      <c r="B1899" s="2">
        <v>15</v>
      </c>
      <c r="C1899" s="2">
        <v>10</v>
      </c>
      <c r="D1899" s="2">
        <v>2020</v>
      </c>
      <c r="E1899" s="2">
        <v>55.18</v>
      </c>
      <c r="F1899" s="2">
        <v>76.569999999999993</v>
      </c>
      <c r="H1899" s="1">
        <f>_xlfn.XLOOKUP('Customer Info'!A612,'Customer Info'!A612:A711,'Customer Info'!E612:E711,0,0)</f>
        <v>0</v>
      </c>
      <c r="J1899" s="1">
        <f>_xlfn.XLOOKUP('Customer Info'!A612,'Customer Info'!A612:A711,'Customer Info'!M612:M711)</f>
        <v>0</v>
      </c>
    </row>
    <row r="1900" spans="1:10" ht="14" x14ac:dyDescent="0.2">
      <c r="A1900" s="2" t="s">
        <v>37</v>
      </c>
      <c r="B1900" s="2">
        <v>12</v>
      </c>
      <c r="C1900" s="2">
        <v>11</v>
      </c>
      <c r="D1900" s="2">
        <v>2021</v>
      </c>
      <c r="E1900" s="2">
        <v>80.099999999999994</v>
      </c>
      <c r="F1900" s="2">
        <v>76.5</v>
      </c>
      <c r="H1900" s="1">
        <f>_xlfn.XLOOKUP('Customer Info'!A1665,'Customer Info'!A1665:A1764,'Customer Info'!E1665:E1764,0,0)</f>
        <v>0</v>
      </c>
      <c r="J1900" s="1">
        <f>_xlfn.XLOOKUP('Customer Info'!A1665,'Customer Info'!A1665:A1764,'Customer Info'!M1665:M1764)</f>
        <v>0</v>
      </c>
    </row>
    <row r="1901" spans="1:10" ht="14" x14ac:dyDescent="0.2">
      <c r="A1901" s="2" t="s">
        <v>85</v>
      </c>
      <c r="B1901" s="2">
        <v>3</v>
      </c>
      <c r="C1901" s="2">
        <v>9</v>
      </c>
      <c r="D1901" s="2">
        <v>2021</v>
      </c>
      <c r="E1901" s="2">
        <v>72.599999999999994</v>
      </c>
      <c r="F1901" s="2">
        <v>76.5</v>
      </c>
      <c r="H1901" s="1">
        <f>_xlfn.XLOOKUP('Customer Info'!A1715,'Customer Info'!A1715:A1814,'Customer Info'!E1715:E1814,0,0)</f>
        <v>0</v>
      </c>
      <c r="J1901" s="1">
        <f>_xlfn.XLOOKUP('Customer Info'!A1715,'Customer Info'!A1715:A1814,'Customer Info'!M1715:M1814)</f>
        <v>0</v>
      </c>
    </row>
    <row r="1902" spans="1:10" ht="14" x14ac:dyDescent="0.2">
      <c r="A1902" s="2" t="s">
        <v>40</v>
      </c>
      <c r="B1902" s="2">
        <v>15</v>
      </c>
      <c r="C1902" s="2">
        <v>9</v>
      </c>
      <c r="D1902" s="2">
        <v>2021</v>
      </c>
      <c r="E1902" s="2">
        <v>42</v>
      </c>
      <c r="F1902" s="2">
        <v>76.5</v>
      </c>
      <c r="H1902" s="1">
        <f>_xlfn.XLOOKUP('Customer Info'!A1930,'Customer Info'!A1930:A2029,'Customer Info'!E1930:E2029,0,0)</f>
        <v>0</v>
      </c>
      <c r="J1902" s="1">
        <f>_xlfn.XLOOKUP('Customer Info'!A1930,'Customer Info'!A1930:A2029,'Customer Info'!M1930:M2029)</f>
        <v>0</v>
      </c>
    </row>
    <row r="1903" spans="1:10" ht="14" hidden="1" x14ac:dyDescent="0.2">
      <c r="A1903" s="2" t="s">
        <v>54</v>
      </c>
      <c r="B1903" s="2">
        <v>5</v>
      </c>
      <c r="C1903" s="2">
        <v>2</v>
      </c>
      <c r="D1903" s="2">
        <v>2020</v>
      </c>
      <c r="E1903" s="2">
        <v>113.12</v>
      </c>
      <c r="F1903" s="2">
        <v>76.44</v>
      </c>
      <c r="H1903" s="1">
        <f>_xlfn.XLOOKUP('Customer Info'!A247,'Customer Info'!A247:A346,'Customer Info'!E247:E346,0,0)</f>
        <v>0</v>
      </c>
      <c r="J1903" s="1">
        <f>_xlfn.XLOOKUP('Customer Info'!A247,'Customer Info'!A247:A346,'Customer Info'!M247:M346)</f>
        <v>0</v>
      </c>
    </row>
    <row r="1904" spans="1:10" ht="14" hidden="1" x14ac:dyDescent="0.2">
      <c r="A1904" s="2" t="s">
        <v>73</v>
      </c>
      <c r="B1904" s="2">
        <v>5</v>
      </c>
      <c r="C1904" s="2">
        <v>12</v>
      </c>
      <c r="D1904" s="2">
        <v>2020</v>
      </c>
      <c r="E1904" s="2">
        <v>131.13</v>
      </c>
      <c r="F1904" s="2">
        <v>76.260000000000005</v>
      </c>
      <c r="H1904" s="1">
        <f>_xlfn.XLOOKUP('Customer Info'!A174,'Customer Info'!A174:A273,'Customer Info'!E174:E273,0,0)</f>
        <v>0</v>
      </c>
      <c r="J1904" s="1">
        <f>_xlfn.XLOOKUP('Customer Info'!A174,'Customer Info'!A174:A273,'Customer Info'!M174:M273)</f>
        <v>0</v>
      </c>
    </row>
    <row r="1905" spans="1:10" ht="14" hidden="1" x14ac:dyDescent="0.2">
      <c r="A1905" s="2" t="s">
        <v>85</v>
      </c>
      <c r="B1905" s="2">
        <v>3</v>
      </c>
      <c r="C1905" s="2">
        <v>1</v>
      </c>
      <c r="D1905" s="2">
        <v>2020</v>
      </c>
      <c r="E1905" s="2">
        <v>130.51</v>
      </c>
      <c r="F1905" s="2">
        <v>76.260000000000005</v>
      </c>
      <c r="H1905" s="1">
        <f>_xlfn.XLOOKUP('Customer Info'!A176,'Customer Info'!A176:A275,'Customer Info'!E176:E275,0,0)</f>
        <v>0</v>
      </c>
      <c r="J1905" s="1">
        <f>_xlfn.XLOOKUP('Customer Info'!A176,'Customer Info'!A176:A275,'Customer Info'!M176:M275)</f>
        <v>0</v>
      </c>
    </row>
    <row r="1906" spans="1:10" ht="14" x14ac:dyDescent="0.2">
      <c r="A1906" s="2" t="s">
        <v>75</v>
      </c>
      <c r="B1906" s="2">
        <v>2</v>
      </c>
      <c r="C1906" s="2">
        <v>12</v>
      </c>
      <c r="D1906" s="2">
        <v>2021</v>
      </c>
      <c r="E1906" s="2">
        <v>126.17</v>
      </c>
      <c r="F1906" s="2">
        <v>76.260000000000005</v>
      </c>
      <c r="H1906" s="1">
        <f>_xlfn.XLOOKUP('Customer Info'!A1419,'Customer Info'!A1419:A1518,'Customer Info'!E1419:E1518,0,0)</f>
        <v>0</v>
      </c>
      <c r="J1906" s="1">
        <f>_xlfn.XLOOKUP('Customer Info'!A1419,'Customer Info'!A1419:A1518,'Customer Info'!M1419:M1518)</f>
        <v>0</v>
      </c>
    </row>
    <row r="1907" spans="1:10" ht="14" hidden="1" x14ac:dyDescent="0.2">
      <c r="A1907" s="2" t="s">
        <v>82</v>
      </c>
      <c r="B1907" s="2">
        <v>8</v>
      </c>
      <c r="C1907" s="2">
        <v>1</v>
      </c>
      <c r="D1907" s="2">
        <v>2020</v>
      </c>
      <c r="E1907" s="2">
        <v>119.97</v>
      </c>
      <c r="F1907" s="2">
        <v>76.260000000000005</v>
      </c>
      <c r="H1907" s="1">
        <f>_xlfn.XLOOKUP('Customer Info'!A207,'Customer Info'!A207:A306,'Customer Info'!E207:E306,0,0)</f>
        <v>0</v>
      </c>
      <c r="J1907" s="1">
        <f>_xlfn.XLOOKUP('Customer Info'!A207,'Customer Info'!A207:A306,'Customer Info'!M207:M306)</f>
        <v>0</v>
      </c>
    </row>
    <row r="1908" spans="1:10" ht="14" hidden="1" x14ac:dyDescent="0.2">
      <c r="A1908" s="2" t="s">
        <v>85</v>
      </c>
      <c r="B1908" s="2">
        <v>3</v>
      </c>
      <c r="C1908" s="2">
        <v>12</v>
      </c>
      <c r="D1908" s="2">
        <v>2020</v>
      </c>
      <c r="E1908" s="2">
        <v>110.98</v>
      </c>
      <c r="F1908" s="2">
        <v>76.260000000000005</v>
      </c>
      <c r="H1908" s="1">
        <f>_xlfn.XLOOKUP('Customer Info'!A252,'Customer Info'!A252:A351,'Customer Info'!E252:E351,0,0)</f>
        <v>0</v>
      </c>
      <c r="J1908" s="1">
        <f>_xlfn.XLOOKUP('Customer Info'!A252,'Customer Info'!A252:A351,'Customer Info'!M252:M351)</f>
        <v>0</v>
      </c>
    </row>
    <row r="1909" spans="1:10" ht="14" hidden="1" x14ac:dyDescent="0.2">
      <c r="A1909" s="2" t="s">
        <v>34</v>
      </c>
      <c r="B1909" s="2">
        <v>4</v>
      </c>
      <c r="C1909" s="2">
        <v>12</v>
      </c>
      <c r="D1909" s="2">
        <v>2020</v>
      </c>
      <c r="E1909" s="2">
        <v>102.92</v>
      </c>
      <c r="F1909" s="2">
        <v>76.260000000000005</v>
      </c>
      <c r="H1909" s="1">
        <f>_xlfn.XLOOKUP('Customer Info'!A311,'Customer Info'!A311:A410,'Customer Info'!E311:E410,0,0)</f>
        <v>0</v>
      </c>
      <c r="J1909" s="1">
        <f>_xlfn.XLOOKUP('Customer Info'!A311,'Customer Info'!A311:A410,'Customer Info'!M311:M410)</f>
        <v>0</v>
      </c>
    </row>
    <row r="1910" spans="1:10" ht="14" x14ac:dyDescent="0.2">
      <c r="A1910" s="2" t="s">
        <v>50</v>
      </c>
      <c r="B1910" s="2">
        <v>24</v>
      </c>
      <c r="C1910" s="2">
        <v>12</v>
      </c>
      <c r="D1910" s="2">
        <v>2021</v>
      </c>
      <c r="E1910" s="2">
        <v>93</v>
      </c>
      <c r="F1910" s="2">
        <v>76.260000000000005</v>
      </c>
      <c r="H1910" s="1">
        <f>_xlfn.XLOOKUP('Customer Info'!A1597,'Customer Info'!A1597:A1696,'Customer Info'!E1597:E1696,0,0)</f>
        <v>0</v>
      </c>
      <c r="J1910" s="1">
        <f>_xlfn.XLOOKUP('Customer Info'!A1597,'Customer Info'!A1597:A1696,'Customer Info'!M1597:M1696)</f>
        <v>0</v>
      </c>
    </row>
    <row r="1911" spans="1:10" ht="14" hidden="1" x14ac:dyDescent="0.2">
      <c r="A1911" s="2" t="s">
        <v>75</v>
      </c>
      <c r="B1911" s="2">
        <v>2</v>
      </c>
      <c r="C1911" s="2">
        <v>10</v>
      </c>
      <c r="D1911" s="2">
        <v>2020</v>
      </c>
      <c r="E1911" s="2">
        <v>82.15</v>
      </c>
      <c r="F1911" s="2">
        <v>76.260000000000005</v>
      </c>
      <c r="H1911" s="1">
        <f>_xlfn.XLOOKUP('Customer Info'!A432,'Customer Info'!A432:A531,'Customer Info'!E432:E531,0,0)</f>
        <v>0</v>
      </c>
      <c r="J1911" s="1">
        <f>_xlfn.XLOOKUP('Customer Info'!A432,'Customer Info'!A432:A531,'Customer Info'!M432:M531)</f>
        <v>0</v>
      </c>
    </row>
    <row r="1912" spans="1:10" ht="14" x14ac:dyDescent="0.2">
      <c r="A1912" s="2" t="s">
        <v>39</v>
      </c>
      <c r="B1912" s="2">
        <v>22</v>
      </c>
      <c r="C1912" s="2">
        <v>1</v>
      </c>
      <c r="D1912" s="2">
        <v>2021</v>
      </c>
      <c r="E1912" s="2">
        <v>82.15</v>
      </c>
      <c r="F1912" s="2">
        <v>76.260000000000005</v>
      </c>
      <c r="H1912" s="1">
        <f>_xlfn.XLOOKUP('Customer Info'!A1652,'Customer Info'!A1652:A1751,'Customer Info'!E1652:E1751,0,0)</f>
        <v>0</v>
      </c>
      <c r="J1912" s="1">
        <f>_xlfn.XLOOKUP('Customer Info'!A1652,'Customer Info'!A1652:A1751,'Customer Info'!M1652:M1751)</f>
        <v>0</v>
      </c>
    </row>
    <row r="1913" spans="1:10" ht="14" x14ac:dyDescent="0.2">
      <c r="A1913" s="2" t="s">
        <v>37</v>
      </c>
      <c r="B1913" s="2">
        <v>12</v>
      </c>
      <c r="C1913" s="2">
        <v>3</v>
      </c>
      <c r="D1913" s="2">
        <v>2021</v>
      </c>
      <c r="E1913" s="2">
        <v>63.86</v>
      </c>
      <c r="F1913" s="2">
        <v>76.260000000000005</v>
      </c>
      <c r="H1913" s="1">
        <f>_xlfn.XLOOKUP('Customer Info'!A1779,'Customer Info'!A1779:A1878,'Customer Info'!E1779:E1878,0,0)</f>
        <v>0</v>
      </c>
      <c r="J1913" s="1">
        <f>_xlfn.XLOOKUP('Customer Info'!A1779,'Customer Info'!A1779:A1878,'Customer Info'!M1779:M1878)</f>
        <v>0</v>
      </c>
    </row>
    <row r="1914" spans="1:10" ht="14" hidden="1" x14ac:dyDescent="0.2">
      <c r="A1914" s="2" t="s">
        <v>57</v>
      </c>
      <c r="B1914" s="2">
        <v>17</v>
      </c>
      <c r="C1914" s="2">
        <v>8</v>
      </c>
      <c r="D1914" s="2">
        <v>2020</v>
      </c>
      <c r="E1914" s="2">
        <v>32.24</v>
      </c>
      <c r="F1914" s="2">
        <v>76.260000000000005</v>
      </c>
      <c r="H1914" s="1">
        <f>_xlfn.XLOOKUP('Customer Info'!A801,'Customer Info'!A801:A900,'Customer Info'!E801:E900,0,0)</f>
        <v>0</v>
      </c>
      <c r="J1914" s="1">
        <f>_xlfn.XLOOKUP('Customer Info'!A801,'Customer Info'!A801:A900,'Customer Info'!M801:M900)</f>
        <v>0</v>
      </c>
    </row>
    <row r="1915" spans="1:10" ht="14" hidden="1" x14ac:dyDescent="0.2">
      <c r="A1915" s="2" t="s">
        <v>39</v>
      </c>
      <c r="B1915" s="2">
        <v>22</v>
      </c>
      <c r="C1915" s="2">
        <v>7</v>
      </c>
      <c r="D1915" s="2">
        <v>2020</v>
      </c>
      <c r="E1915" s="2">
        <v>27.9</v>
      </c>
      <c r="F1915" s="2">
        <v>76.260000000000005</v>
      </c>
      <c r="H1915" s="1">
        <f>_xlfn.XLOOKUP('Customer Info'!A832,'Customer Info'!A832:A931,'Customer Info'!E832:E931,0,0)</f>
        <v>0</v>
      </c>
      <c r="J1915" s="1">
        <f>_xlfn.XLOOKUP('Customer Info'!A832,'Customer Info'!A832:A931,'Customer Info'!M832:M931)</f>
        <v>0</v>
      </c>
    </row>
    <row r="1916" spans="1:10" ht="14" hidden="1" x14ac:dyDescent="0.2">
      <c r="A1916" s="2" t="s">
        <v>85</v>
      </c>
      <c r="B1916" s="2">
        <v>3</v>
      </c>
      <c r="C1916" s="2">
        <v>4</v>
      </c>
      <c r="D1916" s="2">
        <v>2020</v>
      </c>
      <c r="E1916" s="2">
        <v>78</v>
      </c>
      <c r="F1916" s="2">
        <v>76.2</v>
      </c>
      <c r="H1916" s="1">
        <f>_xlfn.XLOOKUP('Customer Info'!A450,'Customer Info'!A450:A549,'Customer Info'!E450:E549,0,0)</f>
        <v>0</v>
      </c>
      <c r="J1916" s="1">
        <f>_xlfn.XLOOKUP('Customer Info'!A450,'Customer Info'!A450:A549,'Customer Info'!M450:M549)</f>
        <v>0</v>
      </c>
    </row>
    <row r="1917" spans="1:10" ht="14" hidden="1" x14ac:dyDescent="0.2">
      <c r="A1917" s="2" t="s">
        <v>80</v>
      </c>
      <c r="B1917" s="2">
        <v>12</v>
      </c>
      <c r="C1917" s="2">
        <v>6</v>
      </c>
      <c r="D1917" s="2">
        <v>2020</v>
      </c>
      <c r="E1917" s="2">
        <v>44.1</v>
      </c>
      <c r="F1917" s="2">
        <v>76.2</v>
      </c>
      <c r="H1917" s="1">
        <f>_xlfn.XLOOKUP('Customer Info'!A695,'Customer Info'!A695:A794,'Customer Info'!E695:E794,0,0)</f>
        <v>0</v>
      </c>
      <c r="J1917" s="1">
        <f>_xlfn.XLOOKUP('Customer Info'!A695,'Customer Info'!A695:A794,'Customer Info'!M695:M794)</f>
        <v>0</v>
      </c>
    </row>
    <row r="1918" spans="1:10" ht="14" hidden="1" x14ac:dyDescent="0.2">
      <c r="A1918" s="2" t="s">
        <v>36</v>
      </c>
      <c r="B1918" s="2">
        <v>12</v>
      </c>
      <c r="C1918" s="2">
        <v>9</v>
      </c>
      <c r="D1918" s="2">
        <v>2020</v>
      </c>
      <c r="E1918" s="2">
        <v>32.1</v>
      </c>
      <c r="F1918" s="2">
        <v>76.2</v>
      </c>
      <c r="H1918" s="1">
        <f>_xlfn.XLOOKUP('Customer Info'!A803,'Customer Info'!A803:A902,'Customer Info'!E803:E902,0,0)</f>
        <v>0</v>
      </c>
      <c r="J1918" s="1">
        <f>_xlfn.XLOOKUP('Customer Info'!A803,'Customer Info'!A803:A902,'Customer Info'!M803:M902)</f>
        <v>0</v>
      </c>
    </row>
    <row r="1919" spans="1:10" ht="14" hidden="1" x14ac:dyDescent="0.2">
      <c r="A1919" s="2" t="s">
        <v>44</v>
      </c>
      <c r="B1919" s="2">
        <v>1</v>
      </c>
      <c r="C1919" s="2">
        <v>6</v>
      </c>
      <c r="D1919" s="2">
        <v>2020</v>
      </c>
      <c r="E1919" s="2">
        <v>30.9</v>
      </c>
      <c r="F1919" s="2">
        <v>76.2</v>
      </c>
      <c r="H1919" s="1">
        <f>_xlfn.XLOOKUP('Customer Info'!A814,'Customer Info'!A814:A913,'Customer Info'!E814:E913,0,0)</f>
        <v>0</v>
      </c>
      <c r="J1919" s="1">
        <f>_xlfn.XLOOKUP('Customer Info'!A814,'Customer Info'!A814:A913,'Customer Info'!M814:M913)</f>
        <v>0</v>
      </c>
    </row>
    <row r="1920" spans="1:10" ht="14" x14ac:dyDescent="0.2">
      <c r="A1920" s="2" t="s">
        <v>55</v>
      </c>
      <c r="B1920" s="2">
        <v>18</v>
      </c>
      <c r="C1920" s="2">
        <v>6</v>
      </c>
      <c r="D1920" s="2">
        <v>2021</v>
      </c>
      <c r="E1920" s="2">
        <v>28.8</v>
      </c>
      <c r="F1920" s="2">
        <v>76.2</v>
      </c>
      <c r="H1920" s="1">
        <f>_xlfn.XLOOKUP('Customer Info'!A2028,'Customer Info'!A2028:A2127,'Customer Info'!E2028:E2127,0,0)</f>
        <v>0</v>
      </c>
      <c r="J1920" s="1">
        <f>_xlfn.XLOOKUP('Customer Info'!A2028,'Customer Info'!A2028:A2127,'Customer Info'!M2028:M2127)</f>
        <v>0</v>
      </c>
    </row>
    <row r="1921" spans="1:10" ht="14" x14ac:dyDescent="0.2">
      <c r="A1921" s="2" t="s">
        <v>70</v>
      </c>
      <c r="B1921" s="2">
        <v>16</v>
      </c>
      <c r="C1921" s="2">
        <v>2</v>
      </c>
      <c r="D1921" s="2">
        <v>2021</v>
      </c>
      <c r="E1921" s="2">
        <v>120.4</v>
      </c>
      <c r="F1921" s="2">
        <v>76.16</v>
      </c>
      <c r="H1921" s="1">
        <f>_xlfn.XLOOKUP('Customer Info'!A1438,'Customer Info'!A1438:A1537,'Customer Info'!E1438:E1537,0,0)</f>
        <v>0</v>
      </c>
      <c r="J1921" s="1">
        <f>_xlfn.XLOOKUP('Customer Info'!A1438,'Customer Info'!A1438:A1537,'Customer Info'!M1438:M1537)</f>
        <v>0</v>
      </c>
    </row>
    <row r="1922" spans="1:10" ht="14" hidden="1" x14ac:dyDescent="0.2">
      <c r="A1922" s="2" t="s">
        <v>58</v>
      </c>
      <c r="B1922" s="2">
        <v>16</v>
      </c>
      <c r="C1922" s="2">
        <v>2</v>
      </c>
      <c r="D1922" s="2">
        <v>2020</v>
      </c>
      <c r="E1922" s="2">
        <v>106.96</v>
      </c>
      <c r="F1922" s="2">
        <v>76.16</v>
      </c>
      <c r="H1922" s="1">
        <f>_xlfn.XLOOKUP('Customer Info'!A279,'Customer Info'!A279:A378,'Customer Info'!E279:E378,0,0)</f>
        <v>0</v>
      </c>
      <c r="J1922" s="1">
        <f>_xlfn.XLOOKUP('Customer Info'!A279,'Customer Info'!A279:A378,'Customer Info'!M279:M378)</f>
        <v>0</v>
      </c>
    </row>
    <row r="1923" spans="1:10" ht="14" x14ac:dyDescent="0.2">
      <c r="A1923" s="2" t="s">
        <v>82</v>
      </c>
      <c r="B1923" s="2">
        <v>8</v>
      </c>
      <c r="C1923" s="2">
        <v>1</v>
      </c>
      <c r="D1923" s="2">
        <v>2021</v>
      </c>
      <c r="E1923" s="2">
        <v>134.85</v>
      </c>
      <c r="F1923" s="2">
        <v>75.95</v>
      </c>
      <c r="H1923" s="1">
        <f>_xlfn.XLOOKUP('Customer Info'!A1378,'Customer Info'!A1378:A1477,'Customer Info'!E1378:E1477,0,0)</f>
        <v>0</v>
      </c>
      <c r="J1923" s="1">
        <f>_xlfn.XLOOKUP('Customer Info'!A1378,'Customer Info'!A1378:A1477,'Customer Info'!M1378:M1477)</f>
        <v>0</v>
      </c>
    </row>
    <row r="1924" spans="1:10" ht="14" x14ac:dyDescent="0.2">
      <c r="A1924" s="2" t="s">
        <v>75</v>
      </c>
      <c r="B1924" s="2">
        <v>2</v>
      </c>
      <c r="C1924" s="2">
        <v>3</v>
      </c>
      <c r="D1924" s="2">
        <v>2021</v>
      </c>
      <c r="E1924" s="2">
        <v>75.02</v>
      </c>
      <c r="F1924" s="2">
        <v>75.95</v>
      </c>
      <c r="H1924" s="1">
        <f>_xlfn.XLOOKUP('Customer Info'!A1697,'Customer Info'!A1697:A1796,'Customer Info'!E1697:E1796,0,0)</f>
        <v>0</v>
      </c>
      <c r="J1924" s="1">
        <f>_xlfn.XLOOKUP('Customer Info'!A1697,'Customer Info'!A1697:A1796,'Customer Info'!M1697:M1796)</f>
        <v>0</v>
      </c>
    </row>
    <row r="1925" spans="1:10" ht="14" hidden="1" x14ac:dyDescent="0.2">
      <c r="A1925" s="2" t="s">
        <v>57</v>
      </c>
      <c r="B1925" s="2">
        <v>17</v>
      </c>
      <c r="C1925" s="2">
        <v>3</v>
      </c>
      <c r="D1925" s="2">
        <v>2020</v>
      </c>
      <c r="E1925" s="2">
        <v>73.16</v>
      </c>
      <c r="F1925" s="2">
        <v>75.95</v>
      </c>
      <c r="H1925" s="1">
        <f>_xlfn.XLOOKUP('Customer Info'!A481,'Customer Info'!A481:A580,'Customer Info'!E481:E580,0,0)</f>
        <v>0</v>
      </c>
      <c r="J1925" s="1">
        <f>_xlfn.XLOOKUP('Customer Info'!A481,'Customer Info'!A481:A580,'Customer Info'!M481:M580)</f>
        <v>0</v>
      </c>
    </row>
    <row r="1926" spans="1:10" ht="14" x14ac:dyDescent="0.2">
      <c r="A1926" s="2" t="s">
        <v>42</v>
      </c>
      <c r="B1926" s="2">
        <v>12</v>
      </c>
      <c r="C1926" s="2">
        <v>3</v>
      </c>
      <c r="D1926" s="2">
        <v>2021</v>
      </c>
      <c r="E1926" s="2">
        <v>66.650000000000006</v>
      </c>
      <c r="F1926" s="2">
        <v>75.95</v>
      </c>
      <c r="H1926" s="1">
        <f>_xlfn.XLOOKUP('Customer Info'!A1754,'Customer Info'!A1754:A1853,'Customer Info'!E1754:E1853,0,0)</f>
        <v>0</v>
      </c>
      <c r="J1926" s="1">
        <f>_xlfn.XLOOKUP('Customer Info'!A1754,'Customer Info'!A1754:A1853,'Customer Info'!M1754:M1853)</f>
        <v>0</v>
      </c>
    </row>
    <row r="1927" spans="1:10" ht="14" hidden="1" x14ac:dyDescent="0.2">
      <c r="A1927" s="2" t="s">
        <v>73</v>
      </c>
      <c r="B1927" s="2">
        <v>5</v>
      </c>
      <c r="C1927" s="2">
        <v>5</v>
      </c>
      <c r="D1927" s="2">
        <v>2020</v>
      </c>
      <c r="E1927" s="2">
        <v>50.53</v>
      </c>
      <c r="F1927" s="2">
        <v>75.95</v>
      </c>
      <c r="H1927" s="1">
        <f>_xlfn.XLOOKUP('Customer Info'!A640,'Customer Info'!A640:A739,'Customer Info'!E640:E739,0,0)</f>
        <v>0</v>
      </c>
      <c r="J1927" s="1">
        <f>_xlfn.XLOOKUP('Customer Info'!A640,'Customer Info'!A640:A739,'Customer Info'!M640:M739)</f>
        <v>0</v>
      </c>
    </row>
    <row r="1928" spans="1:10" ht="14" x14ac:dyDescent="0.2">
      <c r="A1928" s="2" t="s">
        <v>62</v>
      </c>
      <c r="B1928" s="2">
        <v>1</v>
      </c>
      <c r="C1928" s="2">
        <v>8</v>
      </c>
      <c r="D1928" s="2">
        <v>2021</v>
      </c>
      <c r="E1928" s="2">
        <v>42.78</v>
      </c>
      <c r="F1928" s="2">
        <v>75.95</v>
      </c>
      <c r="H1928" s="1">
        <f>_xlfn.XLOOKUP('Customer Info'!A1924,'Customer Info'!A1924:A2023,'Customer Info'!E1924:E2023,0,0)</f>
        <v>0</v>
      </c>
      <c r="J1928" s="1">
        <f>_xlfn.XLOOKUP('Customer Info'!A1924,'Customer Info'!A1924:A2023,'Customer Info'!M1924:M2023)</f>
        <v>0</v>
      </c>
    </row>
    <row r="1929" spans="1:10" ht="14" hidden="1" x14ac:dyDescent="0.2">
      <c r="A1929" s="2" t="s">
        <v>34</v>
      </c>
      <c r="B1929" s="2">
        <v>4</v>
      </c>
      <c r="C1929" s="2">
        <v>7</v>
      </c>
      <c r="D1929" s="2">
        <v>2020</v>
      </c>
      <c r="E1929" s="2">
        <v>23.87</v>
      </c>
      <c r="F1929" s="2">
        <v>75.95</v>
      </c>
      <c r="H1929" s="1">
        <f>_xlfn.XLOOKUP('Customer Info'!A861,'Customer Info'!A861:A960,'Customer Info'!E861:E960,0,0)</f>
        <v>0</v>
      </c>
      <c r="J1929" s="1">
        <f>_xlfn.XLOOKUP('Customer Info'!A861,'Customer Info'!A861:A960,'Customer Info'!M861:M960)</f>
        <v>0</v>
      </c>
    </row>
    <row r="1930" spans="1:10" ht="14" x14ac:dyDescent="0.2">
      <c r="A1930" s="2" t="s">
        <v>48</v>
      </c>
      <c r="B1930" s="2">
        <v>24</v>
      </c>
      <c r="C1930" s="2">
        <v>11</v>
      </c>
      <c r="D1930" s="2">
        <v>2021</v>
      </c>
      <c r="E1930" s="2">
        <v>107.4</v>
      </c>
      <c r="F1930" s="2">
        <v>75.900000000000006</v>
      </c>
      <c r="H1930" s="1">
        <f>_xlfn.XLOOKUP('Customer Info'!A1513,'Customer Info'!A1513:A1612,'Customer Info'!E1513:E1612,0,0)</f>
        <v>0</v>
      </c>
      <c r="J1930" s="1">
        <f>_xlfn.XLOOKUP('Customer Info'!A1513,'Customer Info'!A1513:A1612,'Customer Info'!M1513:M1612)</f>
        <v>0</v>
      </c>
    </row>
    <row r="1931" spans="1:10" ht="14" x14ac:dyDescent="0.2">
      <c r="A1931" s="2" t="s">
        <v>38</v>
      </c>
      <c r="B1931" s="2">
        <v>21</v>
      </c>
      <c r="C1931" s="2">
        <v>4</v>
      </c>
      <c r="D1931" s="2">
        <v>2021</v>
      </c>
      <c r="E1931" s="2">
        <v>63.6</v>
      </c>
      <c r="F1931" s="2">
        <v>75.900000000000006</v>
      </c>
      <c r="H1931" s="1">
        <f>_xlfn.XLOOKUP('Customer Info'!A1781,'Customer Info'!A1781:A1880,'Customer Info'!E1781:E1880,0,0)</f>
        <v>0</v>
      </c>
      <c r="J1931" s="1">
        <f>_xlfn.XLOOKUP('Customer Info'!A1781,'Customer Info'!A1781:A1880,'Customer Info'!M1781:M1880)</f>
        <v>0</v>
      </c>
    </row>
    <row r="1932" spans="1:10" ht="14" hidden="1" x14ac:dyDescent="0.2">
      <c r="A1932" s="2" t="s">
        <v>74</v>
      </c>
      <c r="B1932" s="2">
        <v>5</v>
      </c>
      <c r="C1932" s="2">
        <v>9</v>
      </c>
      <c r="D1932" s="2">
        <v>2020</v>
      </c>
      <c r="E1932" s="2">
        <v>50.4</v>
      </c>
      <c r="F1932" s="2">
        <v>75.900000000000006</v>
      </c>
      <c r="H1932" s="1">
        <f>_xlfn.XLOOKUP('Customer Info'!A642,'Customer Info'!A642:A741,'Customer Info'!E642:E741,0,0)</f>
        <v>0</v>
      </c>
      <c r="J1932" s="1">
        <f>_xlfn.XLOOKUP('Customer Info'!A642,'Customer Info'!A642:A741,'Customer Info'!M642:M741)</f>
        <v>0</v>
      </c>
    </row>
    <row r="1933" spans="1:10" ht="14" hidden="1" x14ac:dyDescent="0.2">
      <c r="A1933" s="2" t="s">
        <v>76</v>
      </c>
      <c r="B1933" s="2">
        <v>9</v>
      </c>
      <c r="C1933" s="2">
        <v>2</v>
      </c>
      <c r="D1933" s="2">
        <v>2020</v>
      </c>
      <c r="E1933" s="2">
        <v>91.56</v>
      </c>
      <c r="F1933" s="2">
        <v>75.88</v>
      </c>
      <c r="H1933" s="1">
        <f>_xlfn.XLOOKUP('Customer Info'!A383,'Customer Info'!A383:A482,'Customer Info'!E383:E482,0,0)</f>
        <v>0</v>
      </c>
      <c r="J1933" s="1">
        <f>_xlfn.XLOOKUP('Customer Info'!A383,'Customer Info'!A383:A482,'Customer Info'!M383:M482)</f>
        <v>0</v>
      </c>
    </row>
    <row r="1934" spans="1:10" ht="14" x14ac:dyDescent="0.2">
      <c r="A1934" s="2" t="s">
        <v>62</v>
      </c>
      <c r="B1934" s="2">
        <v>1</v>
      </c>
      <c r="C1934" s="2">
        <v>10</v>
      </c>
      <c r="D1934" s="2">
        <v>2021</v>
      </c>
      <c r="E1934" s="2">
        <v>77.5</v>
      </c>
      <c r="F1934" s="2">
        <v>75.64</v>
      </c>
      <c r="H1934" s="1">
        <f>_xlfn.XLOOKUP('Customer Info'!A1682,'Customer Info'!A1682:A1781,'Customer Info'!E1682:E1781,0,0)</f>
        <v>0</v>
      </c>
      <c r="J1934" s="1">
        <f>_xlfn.XLOOKUP('Customer Info'!A1682,'Customer Info'!A1682:A1781,'Customer Info'!M1682:M1781)</f>
        <v>0</v>
      </c>
    </row>
    <row r="1935" spans="1:10" ht="14" x14ac:dyDescent="0.2">
      <c r="A1935" s="2" t="s">
        <v>35</v>
      </c>
      <c r="B1935" s="2">
        <v>9</v>
      </c>
      <c r="C1935" s="2">
        <v>10</v>
      </c>
      <c r="D1935" s="2">
        <v>2021</v>
      </c>
      <c r="E1935" s="2">
        <v>64.17</v>
      </c>
      <c r="F1935" s="2">
        <v>75.64</v>
      </c>
      <c r="H1935" s="1">
        <f>_xlfn.XLOOKUP('Customer Info'!A1775,'Customer Info'!A1775:A1874,'Customer Info'!E1775:E1874,0,0)</f>
        <v>0</v>
      </c>
      <c r="J1935" s="1">
        <f>_xlfn.XLOOKUP('Customer Info'!A1775,'Customer Info'!A1775:A1874,'Customer Info'!M1775:M1874)</f>
        <v>0</v>
      </c>
    </row>
    <row r="1936" spans="1:10" ht="14" hidden="1" x14ac:dyDescent="0.2">
      <c r="A1936" s="2" t="s">
        <v>58</v>
      </c>
      <c r="B1936" s="2">
        <v>16</v>
      </c>
      <c r="C1936" s="2">
        <v>5</v>
      </c>
      <c r="D1936" s="2">
        <v>2020</v>
      </c>
      <c r="E1936" s="2">
        <v>43.71</v>
      </c>
      <c r="F1936" s="2">
        <v>75.64</v>
      </c>
      <c r="H1936" s="1">
        <f>_xlfn.XLOOKUP('Customer Info'!A701,'Customer Info'!A701:A800,'Customer Info'!E701:E800,0,0)</f>
        <v>0</v>
      </c>
      <c r="J1936" s="1">
        <f>_xlfn.XLOOKUP('Customer Info'!A701,'Customer Info'!A701:A800,'Customer Info'!M701:M800)</f>
        <v>0</v>
      </c>
    </row>
    <row r="1937" spans="1:10" ht="14" hidden="1" x14ac:dyDescent="0.2">
      <c r="A1937" s="2" t="s">
        <v>36</v>
      </c>
      <c r="B1937" s="2">
        <v>12</v>
      </c>
      <c r="C1937" s="2">
        <v>8</v>
      </c>
      <c r="D1937" s="2">
        <v>2020</v>
      </c>
      <c r="E1937" s="2">
        <v>25.73</v>
      </c>
      <c r="F1937" s="2">
        <v>75.64</v>
      </c>
      <c r="H1937" s="1">
        <f>_xlfn.XLOOKUP('Customer Info'!A846,'Customer Info'!A846:A945,'Customer Info'!E846:E945,0,0)</f>
        <v>0</v>
      </c>
      <c r="J1937" s="1">
        <f>_xlfn.XLOOKUP('Customer Info'!A846,'Customer Info'!A846:A945,'Customer Info'!M846:M945)</f>
        <v>0</v>
      </c>
    </row>
    <row r="1938" spans="1:10" ht="14" hidden="1" x14ac:dyDescent="0.2">
      <c r="A1938" s="2" t="s">
        <v>36</v>
      </c>
      <c r="B1938" s="2">
        <v>12</v>
      </c>
      <c r="C1938" s="2">
        <v>2</v>
      </c>
      <c r="D1938" s="2">
        <v>2020</v>
      </c>
      <c r="E1938" s="2">
        <v>94.36</v>
      </c>
      <c r="F1938" s="2">
        <v>75.599999999999994</v>
      </c>
      <c r="H1938" s="1">
        <f>_xlfn.XLOOKUP('Customer Info'!A369,'Customer Info'!A369:A468,'Customer Info'!E369:E468,0,0)</f>
        <v>0</v>
      </c>
      <c r="J1938" s="1">
        <f>_xlfn.XLOOKUP('Customer Info'!A369,'Customer Info'!A369:A468,'Customer Info'!M369:M468)</f>
        <v>0</v>
      </c>
    </row>
    <row r="1939" spans="1:10" ht="14" hidden="1" x14ac:dyDescent="0.2">
      <c r="A1939" s="2" t="s">
        <v>76</v>
      </c>
      <c r="B1939" s="2">
        <v>9</v>
      </c>
      <c r="C1939" s="2">
        <v>4</v>
      </c>
      <c r="D1939" s="2">
        <v>2020</v>
      </c>
      <c r="E1939" s="2">
        <v>74.7</v>
      </c>
      <c r="F1939" s="2">
        <v>75.599999999999994</v>
      </c>
      <c r="H1939" s="1">
        <f>_xlfn.XLOOKUP('Customer Info'!A471,'Customer Info'!A471:A570,'Customer Info'!E471:E570,0,0)</f>
        <v>0</v>
      </c>
      <c r="J1939" s="1">
        <f>_xlfn.XLOOKUP('Customer Info'!A471,'Customer Info'!A471:A570,'Customer Info'!M471:M570)</f>
        <v>0</v>
      </c>
    </row>
    <row r="1940" spans="1:10" ht="14" hidden="1" x14ac:dyDescent="0.2">
      <c r="A1940" s="2" t="s">
        <v>40</v>
      </c>
      <c r="B1940" s="2">
        <v>15</v>
      </c>
      <c r="C1940" s="2">
        <v>12</v>
      </c>
      <c r="D1940" s="2">
        <v>2020</v>
      </c>
      <c r="E1940" s="2">
        <v>108.5</v>
      </c>
      <c r="F1940" s="2">
        <v>75.33</v>
      </c>
      <c r="H1940" s="1">
        <f>_xlfn.XLOOKUP('Customer Info'!A268,'Customer Info'!A268:A367,'Customer Info'!E268:E367,0,0)</f>
        <v>0</v>
      </c>
      <c r="J1940" s="1">
        <f>_xlfn.XLOOKUP('Customer Info'!A268,'Customer Info'!A268:A367,'Customer Info'!M268:M367)</f>
        <v>0</v>
      </c>
    </row>
    <row r="1941" spans="1:10" ht="14" x14ac:dyDescent="0.2">
      <c r="A1941" s="2" t="s">
        <v>81</v>
      </c>
      <c r="B1941" s="2">
        <v>19</v>
      </c>
      <c r="C1941" s="2">
        <v>10</v>
      </c>
      <c r="D1941" s="2">
        <v>2021</v>
      </c>
      <c r="E1941" s="2">
        <v>97.96</v>
      </c>
      <c r="F1941" s="2">
        <v>75.33</v>
      </c>
      <c r="H1941" s="1">
        <f>_xlfn.XLOOKUP('Customer Info'!A1566,'Customer Info'!A1566:A1665,'Customer Info'!E1566:E1665,0,0)</f>
        <v>0</v>
      </c>
      <c r="J1941" s="1">
        <f>_xlfn.XLOOKUP('Customer Info'!A1566,'Customer Info'!A1566:A1665,'Customer Info'!M1566:M1665)</f>
        <v>0</v>
      </c>
    </row>
    <row r="1942" spans="1:10" ht="14" hidden="1" x14ac:dyDescent="0.2">
      <c r="A1942" s="2" t="s">
        <v>76</v>
      </c>
      <c r="B1942" s="2">
        <v>9</v>
      </c>
      <c r="C1942" s="2">
        <v>10</v>
      </c>
      <c r="D1942" s="2">
        <v>2020</v>
      </c>
      <c r="E1942" s="2">
        <v>81.22</v>
      </c>
      <c r="F1942" s="2">
        <v>75.33</v>
      </c>
      <c r="H1942" s="1">
        <f>_xlfn.XLOOKUP('Customer Info'!A436,'Customer Info'!A436:A535,'Customer Info'!E436:E535,0,0)</f>
        <v>0</v>
      </c>
      <c r="J1942" s="1">
        <f>_xlfn.XLOOKUP('Customer Info'!A436,'Customer Info'!A436:A535,'Customer Info'!M436:M535)</f>
        <v>0</v>
      </c>
    </row>
    <row r="1943" spans="1:10" ht="14" hidden="1" x14ac:dyDescent="0.2">
      <c r="A1943" s="2" t="s">
        <v>51</v>
      </c>
      <c r="B1943" s="2">
        <v>16</v>
      </c>
      <c r="C1943" s="2">
        <v>10</v>
      </c>
      <c r="D1943" s="2">
        <v>2020</v>
      </c>
      <c r="E1943" s="2">
        <v>71.3</v>
      </c>
      <c r="F1943" s="2">
        <v>75.33</v>
      </c>
      <c r="H1943" s="1">
        <f>_xlfn.XLOOKUP('Customer Info'!A494,'Customer Info'!A494:A593,'Customer Info'!E494:E593,0,0)</f>
        <v>0</v>
      </c>
      <c r="J1943" s="1">
        <f>_xlfn.XLOOKUP('Customer Info'!A494,'Customer Info'!A494:A593,'Customer Info'!M494:M593)</f>
        <v>0</v>
      </c>
    </row>
    <row r="1944" spans="1:10" ht="14" x14ac:dyDescent="0.2">
      <c r="A1944" s="2" t="s">
        <v>50</v>
      </c>
      <c r="B1944" s="2">
        <v>24</v>
      </c>
      <c r="C1944" s="2">
        <v>3</v>
      </c>
      <c r="D1944" s="2">
        <v>2021</v>
      </c>
      <c r="E1944" s="2">
        <v>68.819999999999993</v>
      </c>
      <c r="F1944" s="2">
        <v>75.33</v>
      </c>
      <c r="H1944" s="1">
        <f>_xlfn.XLOOKUP('Customer Info'!A1742,'Customer Info'!A1742:A1841,'Customer Info'!E1742:E1841,0,0)</f>
        <v>0</v>
      </c>
      <c r="J1944" s="1">
        <f>_xlfn.XLOOKUP('Customer Info'!A1742,'Customer Info'!A1742:A1841,'Customer Info'!M1742:M1841)</f>
        <v>0</v>
      </c>
    </row>
    <row r="1945" spans="1:10" ht="14" hidden="1" x14ac:dyDescent="0.2">
      <c r="A1945" s="2" t="s">
        <v>50</v>
      </c>
      <c r="B1945" s="2">
        <v>24</v>
      </c>
      <c r="C1945" s="2">
        <v>3</v>
      </c>
      <c r="D1945" s="2">
        <v>2020</v>
      </c>
      <c r="E1945" s="2">
        <v>66.34</v>
      </c>
      <c r="F1945" s="2">
        <v>75.33</v>
      </c>
      <c r="H1945" s="1">
        <f>_xlfn.XLOOKUP('Customer Info'!A535,'Customer Info'!A535:A634,'Customer Info'!E535:E634,0,0)</f>
        <v>0</v>
      </c>
      <c r="J1945" s="1">
        <f>_xlfn.XLOOKUP('Customer Info'!A535,'Customer Info'!A535:A634,'Customer Info'!M535:M634)</f>
        <v>0</v>
      </c>
    </row>
    <row r="1946" spans="1:10" ht="14" hidden="1" x14ac:dyDescent="0.2">
      <c r="A1946" s="2" t="s">
        <v>89</v>
      </c>
      <c r="B1946" s="2">
        <v>2</v>
      </c>
      <c r="C1946" s="2">
        <v>8</v>
      </c>
      <c r="D1946" s="2">
        <v>2020</v>
      </c>
      <c r="E1946" s="2">
        <v>60.45</v>
      </c>
      <c r="F1946" s="2">
        <v>75.33</v>
      </c>
      <c r="H1946" s="1">
        <f>_xlfn.XLOOKUP('Customer Info'!A582,'Customer Info'!A582:A681,'Customer Info'!E582:E681,0,0)</f>
        <v>0</v>
      </c>
      <c r="J1946" s="1">
        <f>_xlfn.XLOOKUP('Customer Info'!A582,'Customer Info'!A582:A681,'Customer Info'!M582:M681)</f>
        <v>0</v>
      </c>
    </row>
    <row r="1947" spans="1:10" ht="14" x14ac:dyDescent="0.2">
      <c r="A1947" s="2" t="s">
        <v>62</v>
      </c>
      <c r="B1947" s="2">
        <v>1</v>
      </c>
      <c r="C1947" s="2">
        <v>5</v>
      </c>
      <c r="D1947" s="2">
        <v>2021</v>
      </c>
      <c r="E1947" s="2">
        <v>53.32</v>
      </c>
      <c r="F1947" s="2">
        <v>75.33</v>
      </c>
      <c r="H1947" s="1">
        <f>_xlfn.XLOOKUP('Customer Info'!A1841,'Customer Info'!A1841:A1940,'Customer Info'!E1841:E1940,0,0)</f>
        <v>0</v>
      </c>
      <c r="J1947" s="1">
        <f>_xlfn.XLOOKUP('Customer Info'!A1841,'Customer Info'!A1841:A1940,'Customer Info'!M1841:M1940)</f>
        <v>0</v>
      </c>
    </row>
    <row r="1948" spans="1:10" ht="14" hidden="1" x14ac:dyDescent="0.2">
      <c r="A1948" s="2" t="s">
        <v>66</v>
      </c>
      <c r="B1948" s="2">
        <v>23</v>
      </c>
      <c r="C1948" s="2">
        <v>5</v>
      </c>
      <c r="D1948" s="2">
        <v>2020</v>
      </c>
      <c r="E1948" s="2">
        <v>50.84</v>
      </c>
      <c r="F1948" s="2">
        <v>75.33</v>
      </c>
      <c r="H1948" s="1">
        <f>_xlfn.XLOOKUP('Customer Info'!A636,'Customer Info'!A636:A735,'Customer Info'!E636:E735,0,0)</f>
        <v>0</v>
      </c>
      <c r="J1948" s="1">
        <f>_xlfn.XLOOKUP('Customer Info'!A636,'Customer Info'!A636:A735,'Customer Info'!M636:M735)</f>
        <v>0</v>
      </c>
    </row>
    <row r="1949" spans="1:10" ht="14" hidden="1" x14ac:dyDescent="0.2">
      <c r="A1949" s="2" t="s">
        <v>62</v>
      </c>
      <c r="B1949" s="2">
        <v>1</v>
      </c>
      <c r="C1949" s="2">
        <v>8</v>
      </c>
      <c r="D1949" s="2">
        <v>2020</v>
      </c>
      <c r="E1949" s="2">
        <v>50.84</v>
      </c>
      <c r="F1949" s="2">
        <v>75.33</v>
      </c>
      <c r="H1949" s="1">
        <f>_xlfn.XLOOKUP('Customer Info'!A637,'Customer Info'!A637:A736,'Customer Info'!E637:E736,0,0)</f>
        <v>0</v>
      </c>
      <c r="J1949" s="1">
        <f>_xlfn.XLOOKUP('Customer Info'!A637,'Customer Info'!A637:A736,'Customer Info'!M637:M736)</f>
        <v>0</v>
      </c>
    </row>
    <row r="1950" spans="1:10" ht="14" hidden="1" x14ac:dyDescent="0.2">
      <c r="A1950" s="2" t="s">
        <v>47</v>
      </c>
      <c r="B1950" s="2">
        <v>19</v>
      </c>
      <c r="C1950" s="2">
        <v>5</v>
      </c>
      <c r="D1950" s="2">
        <v>2020</v>
      </c>
      <c r="E1950" s="2">
        <v>36.89</v>
      </c>
      <c r="F1950" s="2">
        <v>75.33</v>
      </c>
      <c r="H1950" s="1">
        <f>_xlfn.XLOOKUP('Customer Info'!A768,'Customer Info'!A768:A867,'Customer Info'!E768:E867,0,0)</f>
        <v>0</v>
      </c>
      <c r="J1950" s="1">
        <f>_xlfn.XLOOKUP('Customer Info'!A768,'Customer Info'!A768:A867,'Customer Info'!M768:M867)</f>
        <v>0</v>
      </c>
    </row>
    <row r="1951" spans="1:10" ht="14" x14ac:dyDescent="0.2">
      <c r="A1951" s="2" t="s">
        <v>38</v>
      </c>
      <c r="B1951" s="2">
        <v>21</v>
      </c>
      <c r="C1951" s="2">
        <v>5</v>
      </c>
      <c r="D1951" s="2">
        <v>2021</v>
      </c>
      <c r="E1951" s="2">
        <v>36.89</v>
      </c>
      <c r="F1951" s="2">
        <v>75.33</v>
      </c>
      <c r="H1951" s="1">
        <f>_xlfn.XLOOKUP('Customer Info'!A1974,'Customer Info'!A1974:A2073,'Customer Info'!E1974:E2073,0,0)</f>
        <v>0</v>
      </c>
      <c r="J1951" s="1">
        <f>_xlfn.XLOOKUP('Customer Info'!A1974,'Customer Info'!A1974:A2073,'Customer Info'!M1974:M2073)</f>
        <v>0</v>
      </c>
    </row>
    <row r="1952" spans="1:10" ht="14" x14ac:dyDescent="0.2">
      <c r="A1952" s="2" t="s">
        <v>47</v>
      </c>
      <c r="B1952" s="2">
        <v>19</v>
      </c>
      <c r="C1952" s="2">
        <v>8</v>
      </c>
      <c r="D1952" s="2">
        <v>2021</v>
      </c>
      <c r="E1952" s="2">
        <v>34.1</v>
      </c>
      <c r="F1952" s="2">
        <v>75.33</v>
      </c>
      <c r="H1952" s="1">
        <f>_xlfn.XLOOKUP('Customer Info'!A1995,'Customer Info'!A1995:A2094,'Customer Info'!E1995:E2094,0,0)</f>
        <v>0</v>
      </c>
      <c r="J1952" s="1">
        <f>_xlfn.XLOOKUP('Customer Info'!A1995,'Customer Info'!A1995:A2094,'Customer Info'!M1995:M2094)</f>
        <v>0</v>
      </c>
    </row>
    <row r="1953" spans="1:10" ht="14" hidden="1" x14ac:dyDescent="0.2">
      <c r="A1953" s="2" t="s">
        <v>37</v>
      </c>
      <c r="B1953" s="2">
        <v>12</v>
      </c>
      <c r="C1953" s="2">
        <v>8</v>
      </c>
      <c r="D1953" s="2">
        <v>2020</v>
      </c>
      <c r="E1953" s="2">
        <v>31.93</v>
      </c>
      <c r="F1953" s="2">
        <v>75.33</v>
      </c>
      <c r="H1953" s="1">
        <f>_xlfn.XLOOKUP('Customer Info'!A805,'Customer Info'!A805:A904,'Customer Info'!E805:E904,0,0)</f>
        <v>0</v>
      </c>
      <c r="J1953" s="1">
        <f>_xlfn.XLOOKUP('Customer Info'!A805,'Customer Info'!A805:A904,'Customer Info'!M805:M904)</f>
        <v>0</v>
      </c>
    </row>
    <row r="1954" spans="1:10" ht="14" x14ac:dyDescent="0.2">
      <c r="A1954" s="2" t="s">
        <v>37</v>
      </c>
      <c r="B1954" s="2">
        <v>12</v>
      </c>
      <c r="C1954" s="2">
        <v>7</v>
      </c>
      <c r="D1954" s="2">
        <v>2021</v>
      </c>
      <c r="E1954" s="2">
        <v>29.76</v>
      </c>
      <c r="F1954" s="2">
        <v>75.33</v>
      </c>
      <c r="H1954" s="1">
        <f>_xlfn.XLOOKUP('Customer Info'!A2021,'Customer Info'!A2021:A2120,'Customer Info'!E2021:E2120,0,0)</f>
        <v>0</v>
      </c>
      <c r="J1954" s="1">
        <f>_xlfn.XLOOKUP('Customer Info'!A2021,'Customer Info'!A2021:A2120,'Customer Info'!M2021:M2120)</f>
        <v>0</v>
      </c>
    </row>
    <row r="1955" spans="1:10" ht="14" hidden="1" x14ac:dyDescent="0.2">
      <c r="A1955" s="2" t="s">
        <v>45</v>
      </c>
      <c r="B1955" s="2">
        <v>18</v>
      </c>
      <c r="C1955" s="2">
        <v>8</v>
      </c>
      <c r="D1955" s="2">
        <v>2020</v>
      </c>
      <c r="E1955" s="2">
        <v>27.9</v>
      </c>
      <c r="F1955" s="2">
        <v>75.33</v>
      </c>
      <c r="H1955" s="1">
        <f>_xlfn.XLOOKUP('Customer Info'!A833,'Customer Info'!A833:A932,'Customer Info'!E833:E932,0,0)</f>
        <v>0</v>
      </c>
      <c r="J1955" s="1">
        <f>_xlfn.XLOOKUP('Customer Info'!A833,'Customer Info'!A833:A932,'Customer Info'!M833:M932)</f>
        <v>0</v>
      </c>
    </row>
    <row r="1956" spans="1:10" ht="14" x14ac:dyDescent="0.2">
      <c r="A1956" s="2" t="s">
        <v>37</v>
      </c>
      <c r="B1956" s="2">
        <v>12</v>
      </c>
      <c r="C1956" s="2">
        <v>8</v>
      </c>
      <c r="D1956" s="2">
        <v>2021</v>
      </c>
      <c r="E1956" s="2">
        <v>20.149999999999999</v>
      </c>
      <c r="F1956" s="2">
        <v>75.33</v>
      </c>
      <c r="H1956" s="1">
        <f>_xlfn.XLOOKUP('Customer Info'!A2064,'Customer Info'!A2064:A2163,'Customer Info'!E2064:E2163,0,0)</f>
        <v>0</v>
      </c>
      <c r="J1956" s="1">
        <f>_xlfn.XLOOKUP('Customer Info'!A2064,'Customer Info'!A2064:A2163,'Customer Info'!M2064:M2163)</f>
        <v>0</v>
      </c>
    </row>
    <row r="1957" spans="1:10" ht="14" x14ac:dyDescent="0.2">
      <c r="A1957" s="2" t="s">
        <v>33</v>
      </c>
      <c r="B1957" s="2">
        <v>21</v>
      </c>
      <c r="C1957" s="2">
        <v>5</v>
      </c>
      <c r="D1957" s="2">
        <v>2021</v>
      </c>
      <c r="E1957" s="2">
        <v>19.22</v>
      </c>
      <c r="F1957" s="2">
        <v>75.33</v>
      </c>
      <c r="H1957" s="1">
        <f>_xlfn.XLOOKUP('Customer Info'!A2065,'Customer Info'!A2065:A2164,'Customer Info'!E2065:E2164,0,0)</f>
        <v>0</v>
      </c>
      <c r="J1957" s="1">
        <f>_xlfn.XLOOKUP('Customer Info'!A2065,'Customer Info'!A2065:A2164,'Customer Info'!M2065:M2164)</f>
        <v>0</v>
      </c>
    </row>
    <row r="1958" spans="1:10" ht="14" x14ac:dyDescent="0.2">
      <c r="A1958" s="2" t="s">
        <v>56</v>
      </c>
      <c r="B1958" s="2">
        <v>14</v>
      </c>
      <c r="C1958" s="2">
        <v>2</v>
      </c>
      <c r="D1958" s="2">
        <v>2021</v>
      </c>
      <c r="E1958" s="2">
        <v>119.84</v>
      </c>
      <c r="F1958" s="2">
        <v>75.319999999999993</v>
      </c>
      <c r="H1958" s="1">
        <f>_xlfn.XLOOKUP('Customer Info'!A1443,'Customer Info'!A1443:A1542,'Customer Info'!E1443:E1542,0,0)</f>
        <v>0</v>
      </c>
      <c r="J1958" s="1">
        <f>_xlfn.XLOOKUP('Customer Info'!A1443,'Customer Info'!A1443:A1542,'Customer Info'!M1443:M1542)</f>
        <v>0</v>
      </c>
    </row>
    <row r="1959" spans="1:10" ht="14" hidden="1" x14ac:dyDescent="0.2">
      <c r="A1959" s="2" t="s">
        <v>73</v>
      </c>
      <c r="B1959" s="2">
        <v>5</v>
      </c>
      <c r="C1959" s="2">
        <v>2</v>
      </c>
      <c r="D1959" s="2">
        <v>2020</v>
      </c>
      <c r="E1959" s="2">
        <v>89.32</v>
      </c>
      <c r="F1959" s="2">
        <v>75.319999999999993</v>
      </c>
      <c r="H1959" s="1">
        <f>_xlfn.XLOOKUP('Customer Info'!A399,'Customer Info'!A399:A498,'Customer Info'!E399:E498,0,0)</f>
        <v>0</v>
      </c>
      <c r="J1959" s="1">
        <f>_xlfn.XLOOKUP('Customer Info'!A399,'Customer Info'!A399:A498,'Customer Info'!M399:M498)</f>
        <v>0</v>
      </c>
    </row>
    <row r="1960" spans="1:10" ht="14" x14ac:dyDescent="0.2">
      <c r="A1960" s="2" t="s">
        <v>55</v>
      </c>
      <c r="B1960" s="2">
        <v>18</v>
      </c>
      <c r="C1960" s="2">
        <v>11</v>
      </c>
      <c r="D1960" s="2">
        <v>2021</v>
      </c>
      <c r="E1960" s="2">
        <v>133.19999999999999</v>
      </c>
      <c r="F1960" s="2">
        <v>75.3</v>
      </c>
      <c r="H1960" s="1">
        <f>_xlfn.XLOOKUP('Customer Info'!A1389,'Customer Info'!A1389:A1488,'Customer Info'!E1389:E1488,0,0)</f>
        <v>0</v>
      </c>
      <c r="J1960" s="1">
        <f>_xlfn.XLOOKUP('Customer Info'!A1389,'Customer Info'!A1389:A1488,'Customer Info'!M1389:M1488)</f>
        <v>0</v>
      </c>
    </row>
    <row r="1961" spans="1:10" ht="14" hidden="1" x14ac:dyDescent="0.2">
      <c r="A1961" s="2" t="s">
        <v>84</v>
      </c>
      <c r="B1961" s="2">
        <v>20</v>
      </c>
      <c r="C1961" s="2">
        <v>4</v>
      </c>
      <c r="D1961" s="2">
        <v>2020</v>
      </c>
      <c r="E1961" s="2">
        <v>96</v>
      </c>
      <c r="F1961" s="2">
        <v>75.3</v>
      </c>
      <c r="H1961" s="1">
        <f>_xlfn.XLOOKUP('Customer Info'!A356,'Customer Info'!A356:A455,'Customer Info'!E356:E455,0,0)</f>
        <v>0</v>
      </c>
      <c r="J1961" s="1">
        <f>_xlfn.XLOOKUP('Customer Info'!A356,'Customer Info'!A356:A455,'Customer Info'!M356:M455)</f>
        <v>0</v>
      </c>
    </row>
    <row r="1962" spans="1:10" ht="14" x14ac:dyDescent="0.2">
      <c r="A1962" s="2" t="s">
        <v>36</v>
      </c>
      <c r="B1962" s="2">
        <v>12</v>
      </c>
      <c r="C1962" s="2">
        <v>11</v>
      </c>
      <c r="D1962" s="2">
        <v>2021</v>
      </c>
      <c r="E1962" s="2">
        <v>93.9</v>
      </c>
      <c r="F1962" s="2">
        <v>75.3</v>
      </c>
      <c r="H1962" s="1">
        <f>_xlfn.XLOOKUP('Customer Info'!A1594,'Customer Info'!A1594:A1693,'Customer Info'!E1594:E1693,0,0)</f>
        <v>0</v>
      </c>
      <c r="J1962" s="1">
        <f>_xlfn.XLOOKUP('Customer Info'!A1594,'Customer Info'!A1594:A1693,'Customer Info'!M1594:M1693)</f>
        <v>0</v>
      </c>
    </row>
    <row r="1963" spans="1:10" ht="14" x14ac:dyDescent="0.2">
      <c r="A1963" s="2" t="s">
        <v>51</v>
      </c>
      <c r="B1963" s="2">
        <v>16</v>
      </c>
      <c r="C1963" s="2">
        <v>4</v>
      </c>
      <c r="D1963" s="2">
        <v>2021</v>
      </c>
      <c r="E1963" s="2">
        <v>70.8</v>
      </c>
      <c r="F1963" s="2">
        <v>75.3</v>
      </c>
      <c r="H1963" s="1">
        <f>_xlfn.XLOOKUP('Customer Info'!A1731,'Customer Info'!A1731:A1830,'Customer Info'!E1731:E1830,0,0)</f>
        <v>0</v>
      </c>
      <c r="J1963" s="1">
        <f>_xlfn.XLOOKUP('Customer Info'!A1731,'Customer Info'!A1731:A1830,'Customer Info'!M1731:M1830)</f>
        <v>0</v>
      </c>
    </row>
    <row r="1964" spans="1:10" ht="14" hidden="1" x14ac:dyDescent="0.2">
      <c r="A1964" s="2" t="s">
        <v>55</v>
      </c>
      <c r="B1964" s="2">
        <v>18</v>
      </c>
      <c r="C1964" s="2">
        <v>6</v>
      </c>
      <c r="D1964" s="2">
        <v>2020</v>
      </c>
      <c r="E1964" s="2">
        <v>29.4</v>
      </c>
      <c r="F1964" s="2">
        <v>75.3</v>
      </c>
      <c r="H1964" s="1">
        <f>_xlfn.XLOOKUP('Customer Info'!A824,'Customer Info'!A824:A923,'Customer Info'!E824:E923,0,0)</f>
        <v>0</v>
      </c>
      <c r="J1964" s="1">
        <f>_xlfn.XLOOKUP('Customer Info'!A824,'Customer Info'!A824:A923,'Customer Info'!M824:M923)</f>
        <v>0</v>
      </c>
    </row>
    <row r="1965" spans="1:10" ht="14" x14ac:dyDescent="0.2">
      <c r="A1965" s="2" t="s">
        <v>53</v>
      </c>
      <c r="B1965" s="2">
        <v>18</v>
      </c>
      <c r="C1965" s="2">
        <v>6</v>
      </c>
      <c r="D1965" s="2">
        <v>2021</v>
      </c>
      <c r="E1965" s="2">
        <v>27.6</v>
      </c>
      <c r="F1965" s="2">
        <v>75.3</v>
      </c>
      <c r="H1965" s="1">
        <f>_xlfn.XLOOKUP('Customer Info'!A2038,'Customer Info'!A2038:A2137,'Customer Info'!E2038:E2137,0,0)</f>
        <v>0</v>
      </c>
      <c r="J1965" s="1">
        <f>_xlfn.XLOOKUP('Customer Info'!A2038,'Customer Info'!A2038:A2137,'Customer Info'!M2038:M2137)</f>
        <v>0</v>
      </c>
    </row>
    <row r="1966" spans="1:10" ht="14" hidden="1" x14ac:dyDescent="0.2">
      <c r="A1966" s="2" t="s">
        <v>42</v>
      </c>
      <c r="B1966" s="2">
        <v>12</v>
      </c>
      <c r="C1966" s="2">
        <v>6</v>
      </c>
      <c r="D1966" s="2">
        <v>2020</v>
      </c>
      <c r="E1966" s="2">
        <v>26.7</v>
      </c>
      <c r="F1966" s="2">
        <v>75.3</v>
      </c>
      <c r="H1966" s="1">
        <f>_xlfn.XLOOKUP('Customer Info'!A843,'Customer Info'!A843:A942,'Customer Info'!E843:E942,0,0)</f>
        <v>0</v>
      </c>
      <c r="J1966" s="1">
        <f>_xlfn.XLOOKUP('Customer Info'!A843,'Customer Info'!A843:A942,'Customer Info'!M843:M942)</f>
        <v>0</v>
      </c>
    </row>
    <row r="1967" spans="1:10" ht="14" hidden="1" x14ac:dyDescent="0.2">
      <c r="A1967" s="2" t="s">
        <v>40</v>
      </c>
      <c r="B1967" s="2">
        <v>15</v>
      </c>
      <c r="C1967" s="2">
        <v>6</v>
      </c>
      <c r="D1967" s="2">
        <v>2020</v>
      </c>
      <c r="E1967" s="2">
        <v>21.9</v>
      </c>
      <c r="F1967" s="2">
        <v>75.3</v>
      </c>
      <c r="H1967" s="1">
        <f>_xlfn.XLOOKUP('Customer Info'!A864,'Customer Info'!A864:A963,'Customer Info'!E864:E963,0,0)</f>
        <v>0</v>
      </c>
      <c r="J1967" s="1">
        <f>_xlfn.XLOOKUP('Customer Info'!A864,'Customer Info'!A864:A963,'Customer Info'!M864:M963)</f>
        <v>0</v>
      </c>
    </row>
    <row r="1968" spans="1:10" ht="14" x14ac:dyDescent="0.2">
      <c r="A1968" s="2" t="s">
        <v>66</v>
      </c>
      <c r="B1968" s="2">
        <v>23</v>
      </c>
      <c r="C1968" s="2">
        <v>10</v>
      </c>
      <c r="D1968" s="2">
        <v>2021</v>
      </c>
      <c r="E1968" s="2">
        <v>87.11</v>
      </c>
      <c r="F1968" s="2">
        <v>75.02</v>
      </c>
      <c r="H1968" s="1">
        <f>_xlfn.XLOOKUP('Customer Info'!A1627,'Customer Info'!A1627:A1726,'Customer Info'!E1627:E1726,0,0)</f>
        <v>0</v>
      </c>
      <c r="J1968" s="1">
        <f>_xlfn.XLOOKUP('Customer Info'!A1627,'Customer Info'!A1627:A1726,'Customer Info'!M1627:M1726)</f>
        <v>0</v>
      </c>
    </row>
    <row r="1969" spans="1:10" ht="14" hidden="1" x14ac:dyDescent="0.2">
      <c r="A1969" s="2" t="s">
        <v>63</v>
      </c>
      <c r="B1969" s="2">
        <v>25</v>
      </c>
      <c r="C1969" s="2">
        <v>5</v>
      </c>
      <c r="D1969" s="2">
        <v>2020</v>
      </c>
      <c r="E1969" s="2">
        <v>43.71</v>
      </c>
      <c r="F1969" s="2">
        <v>75.02</v>
      </c>
      <c r="H1969" s="1">
        <f>_xlfn.XLOOKUP('Customer Info'!A702,'Customer Info'!A702:A801,'Customer Info'!E702:E801,0,0)</f>
        <v>0</v>
      </c>
      <c r="J1969" s="1">
        <f>_xlfn.XLOOKUP('Customer Info'!A702,'Customer Info'!A702:A801,'Customer Info'!M702:M801)</f>
        <v>0</v>
      </c>
    </row>
    <row r="1970" spans="1:10" ht="14" hidden="1" x14ac:dyDescent="0.2">
      <c r="A1970" s="2" t="s">
        <v>57</v>
      </c>
      <c r="B1970" s="2">
        <v>17</v>
      </c>
      <c r="C1970" s="2">
        <v>7</v>
      </c>
      <c r="D1970" s="2">
        <v>2020</v>
      </c>
      <c r="E1970" s="2">
        <v>32.24</v>
      </c>
      <c r="F1970" s="2">
        <v>75.02</v>
      </c>
      <c r="H1970" s="1">
        <f>_xlfn.XLOOKUP('Customer Info'!A802,'Customer Info'!A802:A901,'Customer Info'!E802:E901,0,0)</f>
        <v>0</v>
      </c>
      <c r="J1970" s="1">
        <f>_xlfn.XLOOKUP('Customer Info'!A802,'Customer Info'!A802:A901,'Customer Info'!M802:M901)</f>
        <v>0</v>
      </c>
    </row>
    <row r="1971" spans="1:10" ht="14" x14ac:dyDescent="0.2">
      <c r="A1971" s="2" t="s">
        <v>50</v>
      </c>
      <c r="B1971" s="2">
        <v>24</v>
      </c>
      <c r="C1971" s="2">
        <v>7</v>
      </c>
      <c r="D1971" s="2">
        <v>2021</v>
      </c>
      <c r="E1971" s="2">
        <v>28.21</v>
      </c>
      <c r="F1971" s="2">
        <v>75.02</v>
      </c>
      <c r="H1971" s="1">
        <f>_xlfn.XLOOKUP('Customer Info'!A2033,'Customer Info'!A2033:A2132,'Customer Info'!E2033:E2132,0,0)</f>
        <v>0</v>
      </c>
      <c r="J1971" s="1">
        <f>_xlfn.XLOOKUP('Customer Info'!A2033,'Customer Info'!A2033:A2132,'Customer Info'!M2033:M2132)</f>
        <v>0</v>
      </c>
    </row>
    <row r="1972" spans="1:10" ht="14" x14ac:dyDescent="0.2">
      <c r="A1972" s="2" t="s">
        <v>33</v>
      </c>
      <c r="B1972" s="2">
        <v>21</v>
      </c>
      <c r="C1972" s="2">
        <v>8</v>
      </c>
      <c r="D1972" s="2">
        <v>2021</v>
      </c>
      <c r="E1972" s="2">
        <v>20.46</v>
      </c>
      <c r="F1972" s="2">
        <v>75.02</v>
      </c>
      <c r="H1972" s="1">
        <f>_xlfn.XLOOKUP('Customer Info'!A2063,'Customer Info'!A2063:A2162,'Customer Info'!E2063:E2162,0,0)</f>
        <v>0</v>
      </c>
      <c r="J1972" s="1">
        <f>_xlfn.XLOOKUP('Customer Info'!A2063,'Customer Info'!A2063:A2162,'Customer Info'!M2063:M2162)</f>
        <v>0</v>
      </c>
    </row>
    <row r="1973" spans="1:10" ht="14" x14ac:dyDescent="0.2">
      <c r="A1973" s="2" t="s">
        <v>81</v>
      </c>
      <c r="B1973" s="2">
        <v>19</v>
      </c>
      <c r="C1973" s="2">
        <v>11</v>
      </c>
      <c r="D1973" s="2">
        <v>2021</v>
      </c>
      <c r="E1973" s="2">
        <v>120.6</v>
      </c>
      <c r="F1973" s="2">
        <v>75</v>
      </c>
      <c r="H1973" s="1">
        <f>_xlfn.XLOOKUP('Customer Info'!A1436,'Customer Info'!A1436:A1535,'Customer Info'!E1436:E1535,0,0)</f>
        <v>0</v>
      </c>
      <c r="J1973" s="1">
        <f>_xlfn.XLOOKUP('Customer Info'!A1436,'Customer Info'!A1436:A1535,'Customer Info'!M1436:M1535)</f>
        <v>0</v>
      </c>
    </row>
    <row r="1974" spans="1:10" ht="14" hidden="1" x14ac:dyDescent="0.2">
      <c r="A1974" s="2" t="s">
        <v>59</v>
      </c>
      <c r="B1974" s="2">
        <v>11</v>
      </c>
      <c r="C1974" s="2">
        <v>4</v>
      </c>
      <c r="D1974" s="2">
        <v>2020</v>
      </c>
      <c r="E1974" s="2">
        <v>62.1</v>
      </c>
      <c r="F1974" s="2">
        <v>75</v>
      </c>
      <c r="H1974" s="1">
        <f>_xlfn.XLOOKUP('Customer Info'!A570,'Customer Info'!A570:A669,'Customer Info'!E570:E669,0,0)</f>
        <v>0</v>
      </c>
      <c r="J1974" s="1">
        <f>_xlfn.XLOOKUP('Customer Info'!A570,'Customer Info'!A570:A669,'Customer Info'!M570:M669)</f>
        <v>0</v>
      </c>
    </row>
    <row r="1975" spans="1:10" ht="14" x14ac:dyDescent="0.2">
      <c r="A1975" s="2" t="s">
        <v>75</v>
      </c>
      <c r="B1975" s="2">
        <v>2</v>
      </c>
      <c r="C1975" s="2">
        <v>6</v>
      </c>
      <c r="D1975" s="2">
        <v>2021</v>
      </c>
      <c r="E1975" s="2">
        <v>40.200000000000003</v>
      </c>
      <c r="F1975" s="2">
        <v>75</v>
      </c>
      <c r="H1975" s="1">
        <f>_xlfn.XLOOKUP('Customer Info'!A1940,'Customer Info'!A1940:A2039,'Customer Info'!E1940:E2039,0,0)</f>
        <v>0</v>
      </c>
      <c r="J1975" s="1">
        <f>_xlfn.XLOOKUP('Customer Info'!A1940,'Customer Info'!A1940:A2039,'Customer Info'!M1940:M2039)</f>
        <v>0</v>
      </c>
    </row>
    <row r="1976" spans="1:10" ht="14" x14ac:dyDescent="0.2">
      <c r="A1976" s="2" t="s">
        <v>48</v>
      </c>
      <c r="B1976" s="2">
        <v>24</v>
      </c>
      <c r="C1976" s="2">
        <v>6</v>
      </c>
      <c r="D1976" s="2">
        <v>2021</v>
      </c>
      <c r="E1976" s="2">
        <v>36.9</v>
      </c>
      <c r="F1976" s="2">
        <v>75</v>
      </c>
      <c r="H1976" s="1">
        <f>_xlfn.XLOOKUP('Customer Info'!A1973,'Customer Info'!A1973:A2072,'Customer Info'!E1973:E2072,0,0)</f>
        <v>0</v>
      </c>
      <c r="J1976" s="1">
        <f>_xlfn.XLOOKUP('Customer Info'!A1973,'Customer Info'!A1973:A2072,'Customer Info'!M1973:M2072)</f>
        <v>0</v>
      </c>
    </row>
    <row r="1977" spans="1:10" ht="14" x14ac:dyDescent="0.2">
      <c r="A1977" s="2" t="s">
        <v>67</v>
      </c>
      <c r="B1977" s="2">
        <v>13</v>
      </c>
      <c r="C1977" s="2">
        <v>2</v>
      </c>
      <c r="D1977" s="2">
        <v>2021</v>
      </c>
      <c r="E1977" s="2">
        <v>113.68</v>
      </c>
      <c r="F1977" s="2">
        <v>74.760000000000005</v>
      </c>
      <c r="H1977" s="1">
        <f>_xlfn.XLOOKUP('Customer Info'!A1475,'Customer Info'!A1475:A1574,'Customer Info'!E1475:E1574,0,0)</f>
        <v>0</v>
      </c>
      <c r="J1977" s="1">
        <f>_xlfn.XLOOKUP('Customer Info'!A1475,'Customer Info'!A1475:A1574,'Customer Info'!M1475:M1574)</f>
        <v>0</v>
      </c>
    </row>
    <row r="1978" spans="1:10" ht="14" x14ac:dyDescent="0.2">
      <c r="A1978" s="2" t="s">
        <v>59</v>
      </c>
      <c r="B1978" s="2">
        <v>11</v>
      </c>
      <c r="C1978" s="2">
        <v>2</v>
      </c>
      <c r="D1978" s="2">
        <v>2021</v>
      </c>
      <c r="E1978" s="2">
        <v>106.4</v>
      </c>
      <c r="F1978" s="2">
        <v>74.760000000000005</v>
      </c>
      <c r="H1978" s="1">
        <f>_xlfn.XLOOKUP('Customer Info'!A1519,'Customer Info'!A1519:A1618,'Customer Info'!E1519:E1618,0,0)</f>
        <v>0</v>
      </c>
      <c r="J1978" s="1">
        <f>_xlfn.XLOOKUP('Customer Info'!A1519,'Customer Info'!A1519:A1618,'Customer Info'!M1519:M1618)</f>
        <v>0</v>
      </c>
    </row>
    <row r="1979" spans="1:10" ht="14" x14ac:dyDescent="0.2">
      <c r="A1979" s="2" t="s">
        <v>85</v>
      </c>
      <c r="B1979" s="2">
        <v>3</v>
      </c>
      <c r="C1979" s="2">
        <v>12</v>
      </c>
      <c r="D1979" s="2">
        <v>2021</v>
      </c>
      <c r="E1979" s="2">
        <v>137.02000000000001</v>
      </c>
      <c r="F1979" s="2">
        <v>74.709999999999994</v>
      </c>
      <c r="H1979" s="1">
        <f>_xlfn.XLOOKUP('Customer Info'!A1372,'Customer Info'!A1372:A1471,'Customer Info'!E1372:E1471,0,0)</f>
        <v>0</v>
      </c>
      <c r="J1979" s="1">
        <f>_xlfn.XLOOKUP('Customer Info'!A1372,'Customer Info'!A1372:A1471,'Customer Info'!M1372:M1471)</f>
        <v>0</v>
      </c>
    </row>
    <row r="1980" spans="1:10" ht="14" hidden="1" x14ac:dyDescent="0.2">
      <c r="A1980" s="2" t="s">
        <v>74</v>
      </c>
      <c r="B1980" s="2">
        <v>5</v>
      </c>
      <c r="C1980" s="2">
        <v>1</v>
      </c>
      <c r="D1980" s="2">
        <v>2020</v>
      </c>
      <c r="E1980" s="2">
        <v>123.07</v>
      </c>
      <c r="F1980" s="2">
        <v>74.709999999999994</v>
      </c>
      <c r="H1980" s="1">
        <f>_xlfn.XLOOKUP('Customer Info'!A195,'Customer Info'!A195:A294,'Customer Info'!E195:E294,0,0)</f>
        <v>0</v>
      </c>
      <c r="J1980" s="1">
        <f>_xlfn.XLOOKUP('Customer Info'!A195,'Customer Info'!A195:A294,'Customer Info'!M195:M294)</f>
        <v>0</v>
      </c>
    </row>
    <row r="1981" spans="1:10" ht="14" x14ac:dyDescent="0.2">
      <c r="A1981" s="2" t="s">
        <v>53</v>
      </c>
      <c r="B1981" s="2">
        <v>18</v>
      </c>
      <c r="C1981" s="2">
        <v>12</v>
      </c>
      <c r="D1981" s="2">
        <v>2021</v>
      </c>
      <c r="E1981" s="2">
        <v>116.56</v>
      </c>
      <c r="F1981" s="2">
        <v>74.709999999999994</v>
      </c>
      <c r="H1981" s="1">
        <f>_xlfn.XLOOKUP('Customer Info'!A1458,'Customer Info'!A1458:A1557,'Customer Info'!E1458:E1557,0,0)</f>
        <v>0</v>
      </c>
      <c r="J1981" s="1">
        <f>_xlfn.XLOOKUP('Customer Info'!A1458,'Customer Info'!A1458:A1557,'Customer Info'!M1458:M1557)</f>
        <v>0</v>
      </c>
    </row>
    <row r="1982" spans="1:10" ht="14" hidden="1" x14ac:dyDescent="0.2">
      <c r="A1982" s="2" t="s">
        <v>89</v>
      </c>
      <c r="B1982" s="2">
        <v>2</v>
      </c>
      <c r="C1982" s="2">
        <v>3</v>
      </c>
      <c r="D1982" s="2">
        <v>2020</v>
      </c>
      <c r="E1982" s="2">
        <v>103.23</v>
      </c>
      <c r="F1982" s="2">
        <v>74.709999999999994</v>
      </c>
      <c r="H1982" s="1">
        <f>_xlfn.XLOOKUP('Customer Info'!A310,'Customer Info'!A310:A409,'Customer Info'!E310:E409,0,0)</f>
        <v>0</v>
      </c>
      <c r="J1982" s="1">
        <f>_xlfn.XLOOKUP('Customer Info'!A310,'Customer Info'!A310:A409,'Customer Info'!M310:M409)</f>
        <v>0</v>
      </c>
    </row>
    <row r="1983" spans="1:10" ht="14" x14ac:dyDescent="0.2">
      <c r="A1983" s="2" t="s">
        <v>51</v>
      </c>
      <c r="B1983" s="2">
        <v>16</v>
      </c>
      <c r="C1983" s="2">
        <v>10</v>
      </c>
      <c r="D1983" s="2">
        <v>2021</v>
      </c>
      <c r="E1983" s="2">
        <v>74.400000000000006</v>
      </c>
      <c r="F1983" s="2">
        <v>74.709999999999994</v>
      </c>
      <c r="H1983" s="1">
        <f>_xlfn.XLOOKUP('Customer Info'!A1700,'Customer Info'!A1700:A1799,'Customer Info'!E1700:E1799,0,0)</f>
        <v>0</v>
      </c>
      <c r="J1983" s="1">
        <f>_xlfn.XLOOKUP('Customer Info'!A1700,'Customer Info'!A1700:A1799,'Customer Info'!M1700:M1799)</f>
        <v>0</v>
      </c>
    </row>
    <row r="1984" spans="1:10" ht="14" x14ac:dyDescent="0.2">
      <c r="A1984" s="2" t="s">
        <v>92</v>
      </c>
      <c r="B1984" s="2">
        <v>7</v>
      </c>
      <c r="C1984" s="2">
        <v>5</v>
      </c>
      <c r="D1984" s="2">
        <v>2021</v>
      </c>
      <c r="E1984" s="2">
        <v>69.75</v>
      </c>
      <c r="F1984" s="2">
        <v>74.709999999999994</v>
      </c>
      <c r="H1984" s="1">
        <f>_xlfn.XLOOKUP('Customer Info'!A1738,'Customer Info'!A1738:A1837,'Customer Info'!E1738:E1837,0,0)</f>
        <v>0</v>
      </c>
      <c r="J1984" s="1">
        <f>_xlfn.XLOOKUP('Customer Info'!A1738,'Customer Info'!A1738:A1837,'Customer Info'!M1738:M1837)</f>
        <v>0</v>
      </c>
    </row>
    <row r="1985" spans="1:10" ht="14" x14ac:dyDescent="0.2">
      <c r="A1985" s="2" t="s">
        <v>49</v>
      </c>
      <c r="B1985" s="2">
        <v>3</v>
      </c>
      <c r="C1985" s="2">
        <v>10</v>
      </c>
      <c r="D1985" s="2">
        <v>2021</v>
      </c>
      <c r="E1985" s="2">
        <v>65.72</v>
      </c>
      <c r="F1985" s="2">
        <v>74.709999999999994</v>
      </c>
      <c r="H1985" s="1">
        <f>_xlfn.XLOOKUP('Customer Info'!A1766,'Customer Info'!A1766:A1865,'Customer Info'!E1766:E1865,0,0)</f>
        <v>0</v>
      </c>
      <c r="J1985" s="1">
        <f>_xlfn.XLOOKUP('Customer Info'!A1766,'Customer Info'!A1766:A1865,'Customer Info'!M1766:M1865)</f>
        <v>0</v>
      </c>
    </row>
    <row r="1986" spans="1:10" ht="14" hidden="1" x14ac:dyDescent="0.2">
      <c r="A1986" s="2" t="s">
        <v>60</v>
      </c>
      <c r="B1986" s="2">
        <v>20</v>
      </c>
      <c r="C1986" s="2">
        <v>11</v>
      </c>
      <c r="D1986" s="2">
        <v>2020</v>
      </c>
      <c r="E1986" s="2">
        <v>113.7</v>
      </c>
      <c r="F1986" s="2">
        <v>74.7</v>
      </c>
      <c r="H1986" s="1">
        <f>_xlfn.XLOOKUP('Customer Info'!A246,'Customer Info'!A246:A345,'Customer Info'!E246:E345,0,0)</f>
        <v>0</v>
      </c>
      <c r="J1986" s="1">
        <f>_xlfn.XLOOKUP('Customer Info'!A246,'Customer Info'!A246:A345,'Customer Info'!M246:M345)</f>
        <v>0</v>
      </c>
    </row>
    <row r="1987" spans="1:10" ht="14" x14ac:dyDescent="0.2">
      <c r="A1987" s="2" t="s">
        <v>35</v>
      </c>
      <c r="B1987" s="2">
        <v>9</v>
      </c>
      <c r="C1987" s="2">
        <v>11</v>
      </c>
      <c r="D1987" s="2">
        <v>2021</v>
      </c>
      <c r="E1987" s="2">
        <v>90.3</v>
      </c>
      <c r="F1987" s="2">
        <v>74.7</v>
      </c>
      <c r="H1987" s="1">
        <f>_xlfn.XLOOKUP('Customer Info'!A1613,'Customer Info'!A1613:A1712,'Customer Info'!E1613:E1712,0,0)</f>
        <v>0</v>
      </c>
      <c r="J1987" s="1">
        <f>_xlfn.XLOOKUP('Customer Info'!A1613,'Customer Info'!A1613:A1712,'Customer Info'!M1613:M1712)</f>
        <v>0</v>
      </c>
    </row>
    <row r="1988" spans="1:10" ht="14" hidden="1" x14ac:dyDescent="0.2">
      <c r="A1988" s="2" t="s">
        <v>73</v>
      </c>
      <c r="B1988" s="2">
        <v>5</v>
      </c>
      <c r="C1988" s="2">
        <v>4</v>
      </c>
      <c r="D1988" s="2">
        <v>2020</v>
      </c>
      <c r="E1988" s="2">
        <v>68.400000000000006</v>
      </c>
      <c r="F1988" s="2">
        <v>74.7</v>
      </c>
      <c r="H1988" s="1">
        <f>_xlfn.XLOOKUP('Customer Info'!A519,'Customer Info'!A519:A618,'Customer Info'!E519:E618,0,0)</f>
        <v>0</v>
      </c>
      <c r="J1988" s="1">
        <f>_xlfn.XLOOKUP('Customer Info'!A519,'Customer Info'!A519:A618,'Customer Info'!M519:M618)</f>
        <v>0</v>
      </c>
    </row>
    <row r="1989" spans="1:10" ht="14" x14ac:dyDescent="0.2">
      <c r="A1989" s="2" t="s">
        <v>36</v>
      </c>
      <c r="B1989" s="2">
        <v>12</v>
      </c>
      <c r="C1989" s="2">
        <v>4</v>
      </c>
      <c r="D1989" s="2">
        <v>2021</v>
      </c>
      <c r="E1989" s="2">
        <v>58.5</v>
      </c>
      <c r="F1989" s="2">
        <v>74.7</v>
      </c>
      <c r="H1989" s="1">
        <f>_xlfn.XLOOKUP('Customer Info'!A1817,'Customer Info'!A1817:A1916,'Customer Info'!E1817:E1916,0,0)</f>
        <v>0</v>
      </c>
      <c r="J1989" s="1">
        <f>_xlfn.XLOOKUP('Customer Info'!A1817,'Customer Info'!A1817:A1916,'Customer Info'!M1817:M1916)</f>
        <v>0</v>
      </c>
    </row>
    <row r="1990" spans="1:10" ht="14" hidden="1" x14ac:dyDescent="0.2">
      <c r="A1990" s="2" t="s">
        <v>85</v>
      </c>
      <c r="B1990" s="2">
        <v>3</v>
      </c>
      <c r="C1990" s="2">
        <v>9</v>
      </c>
      <c r="D1990" s="2">
        <v>2020</v>
      </c>
      <c r="E1990" s="2">
        <v>56.4</v>
      </c>
      <c r="F1990" s="2">
        <v>74.7</v>
      </c>
      <c r="H1990" s="1">
        <f>_xlfn.XLOOKUP('Customer Info'!A605,'Customer Info'!A605:A704,'Customer Info'!E605:E704,0,0)</f>
        <v>0</v>
      </c>
      <c r="J1990" s="1">
        <f>_xlfn.XLOOKUP('Customer Info'!A605,'Customer Info'!A605:A704,'Customer Info'!M605:M704)</f>
        <v>0</v>
      </c>
    </row>
    <row r="1991" spans="1:10" ht="14" x14ac:dyDescent="0.2">
      <c r="A1991" s="2" t="s">
        <v>33</v>
      </c>
      <c r="B1991" s="2">
        <v>21</v>
      </c>
      <c r="C1991" s="2">
        <v>9</v>
      </c>
      <c r="D1991" s="2">
        <v>2021</v>
      </c>
      <c r="E1991" s="2">
        <v>24.6</v>
      </c>
      <c r="F1991" s="2">
        <v>74.7</v>
      </c>
      <c r="H1991" s="1">
        <f>_xlfn.XLOOKUP('Customer Info'!A2055,'Customer Info'!A2055:A2154,'Customer Info'!E2055:E2154,0,0)</f>
        <v>0</v>
      </c>
      <c r="J1991" s="1">
        <f>_xlfn.XLOOKUP('Customer Info'!A2055,'Customer Info'!A2055:A2154,'Customer Info'!M2055:M2154)</f>
        <v>0</v>
      </c>
    </row>
    <row r="1992" spans="1:10" ht="14" hidden="1" x14ac:dyDescent="0.2">
      <c r="A1992" s="2" t="s">
        <v>84</v>
      </c>
      <c r="B1992" s="2">
        <v>20</v>
      </c>
      <c r="C1992" s="2">
        <v>2</v>
      </c>
      <c r="D1992" s="2">
        <v>2020</v>
      </c>
      <c r="E1992" s="2">
        <v>141.4</v>
      </c>
      <c r="F1992" s="2">
        <v>74.48</v>
      </c>
      <c r="H1992" s="1">
        <f>_xlfn.XLOOKUP('Customer Info'!A161,'Customer Info'!A161:A260,'Customer Info'!E161:E260,0,0)</f>
        <v>0</v>
      </c>
      <c r="J1992" s="1">
        <f>_xlfn.XLOOKUP('Customer Info'!A161,'Customer Info'!A161:A260,'Customer Info'!M161:M260)</f>
        <v>0</v>
      </c>
    </row>
    <row r="1993" spans="1:10" ht="14" hidden="1" x14ac:dyDescent="0.2">
      <c r="A1993" s="2" t="s">
        <v>67</v>
      </c>
      <c r="B1993" s="2">
        <v>13</v>
      </c>
      <c r="C1993" s="2">
        <v>2</v>
      </c>
      <c r="D1993" s="2">
        <v>2020</v>
      </c>
      <c r="E1993" s="2">
        <v>79.239999999999995</v>
      </c>
      <c r="F1993" s="2">
        <v>74.48</v>
      </c>
      <c r="H1993" s="1">
        <f>_xlfn.XLOOKUP('Customer Info'!A444,'Customer Info'!A444:A543,'Customer Info'!E444:E543,0,0)</f>
        <v>0</v>
      </c>
      <c r="J1993" s="1">
        <f>_xlfn.XLOOKUP('Customer Info'!A444,'Customer Info'!A444:A543,'Customer Info'!M444:M543)</f>
        <v>0</v>
      </c>
    </row>
    <row r="1994" spans="1:10" ht="14" hidden="1" x14ac:dyDescent="0.2">
      <c r="A1994" s="2" t="s">
        <v>96</v>
      </c>
      <c r="B1994" s="2">
        <v>3</v>
      </c>
      <c r="C1994" s="2">
        <v>1</v>
      </c>
      <c r="D1994" s="2">
        <v>2020</v>
      </c>
      <c r="E1994" s="1" t="s">
        <v>94</v>
      </c>
      <c r="F1994" s="2">
        <v>74.400000000000006</v>
      </c>
      <c r="H1994" s="1">
        <f>_xlfn.XLOOKUP('Customer Info'!A129,'Customer Info'!A129:A228,'Customer Info'!E129:E228,0,0)</f>
        <v>0</v>
      </c>
      <c r="J1994" s="1">
        <f>_xlfn.XLOOKUP('Customer Info'!A129,'Customer Info'!A129:A228,'Customer Info'!M129:M228)</f>
        <v>0</v>
      </c>
    </row>
    <row r="1995" spans="1:10" ht="14" x14ac:dyDescent="0.2">
      <c r="A1995" s="2" t="s">
        <v>96</v>
      </c>
      <c r="B1995" s="2">
        <v>3</v>
      </c>
      <c r="C1995" s="2">
        <v>9</v>
      </c>
      <c r="D1995" s="2">
        <v>2021</v>
      </c>
      <c r="E1995" s="1" t="s">
        <v>94</v>
      </c>
      <c r="F1995" s="2">
        <v>74.400000000000006</v>
      </c>
      <c r="H1995" s="1">
        <f>_xlfn.XLOOKUP('Customer Info'!A1316,'Customer Info'!A1316:A1415,'Customer Info'!E1316:E1415,0,0)</f>
        <v>0</v>
      </c>
      <c r="J1995" s="1">
        <f>_xlfn.XLOOKUP('Customer Info'!A1316,'Customer Info'!A1316:A1415,'Customer Info'!M1316:M1415)</f>
        <v>0</v>
      </c>
    </row>
    <row r="1996" spans="1:10" ht="14" x14ac:dyDescent="0.2">
      <c r="A1996" s="2" t="s">
        <v>85</v>
      </c>
      <c r="B1996" s="2">
        <v>3</v>
      </c>
      <c r="C1996" s="2">
        <v>3</v>
      </c>
      <c r="D1996" s="2">
        <v>2021</v>
      </c>
      <c r="E1996" s="2">
        <v>100.75</v>
      </c>
      <c r="F1996" s="2">
        <v>74.400000000000006</v>
      </c>
      <c r="H1996" s="1">
        <f>_xlfn.XLOOKUP('Customer Info'!A1550,'Customer Info'!A1550:A1649,'Customer Info'!E1550:E1649,0,0)</f>
        <v>0</v>
      </c>
      <c r="J1996" s="1">
        <f>_xlfn.XLOOKUP('Customer Info'!A1550,'Customer Info'!A1550:A1649,'Customer Info'!M1550:M1649)</f>
        <v>0</v>
      </c>
    </row>
    <row r="1997" spans="1:10" ht="14" hidden="1" x14ac:dyDescent="0.2">
      <c r="A1997" s="2" t="s">
        <v>91</v>
      </c>
      <c r="B1997" s="2">
        <v>5</v>
      </c>
      <c r="C1997" s="2">
        <v>7</v>
      </c>
      <c r="D1997" s="2">
        <v>2020</v>
      </c>
      <c r="E1997" s="2">
        <v>66.650000000000006</v>
      </c>
      <c r="F1997" s="2">
        <v>74.400000000000006</v>
      </c>
      <c r="H1997" s="1">
        <f>_xlfn.XLOOKUP('Customer Info'!A530,'Customer Info'!A530:A629,'Customer Info'!E530:E629,0,0)</f>
        <v>0</v>
      </c>
      <c r="J1997" s="1">
        <f>_xlfn.XLOOKUP('Customer Info'!A530,'Customer Info'!A530:A629,'Customer Info'!M530:M629)</f>
        <v>0</v>
      </c>
    </row>
    <row r="1998" spans="1:10" ht="14" x14ac:dyDescent="0.2">
      <c r="A1998" s="2" t="s">
        <v>85</v>
      </c>
      <c r="B1998" s="2">
        <v>3</v>
      </c>
      <c r="C1998" s="2">
        <v>8</v>
      </c>
      <c r="D1998" s="2">
        <v>2021</v>
      </c>
      <c r="E1998" s="2">
        <v>58.59</v>
      </c>
      <c r="F1998" s="2">
        <v>74.400000000000006</v>
      </c>
      <c r="H1998" s="1">
        <f>_xlfn.XLOOKUP('Customer Info'!A1816,'Customer Info'!A1816:A1915,'Customer Info'!E1816:E1915,0,0)</f>
        <v>0</v>
      </c>
      <c r="J1998" s="1">
        <f>_xlfn.XLOOKUP('Customer Info'!A1816,'Customer Info'!A1816:A1915,'Customer Info'!M1816:M1915)</f>
        <v>0</v>
      </c>
    </row>
    <row r="1999" spans="1:10" ht="14" hidden="1" x14ac:dyDescent="0.2">
      <c r="A1999" s="2" t="s">
        <v>81</v>
      </c>
      <c r="B1999" s="2">
        <v>19</v>
      </c>
      <c r="C1999" s="2">
        <v>8</v>
      </c>
      <c r="D1999" s="2">
        <v>2020</v>
      </c>
      <c r="E1999" s="2">
        <v>53.94</v>
      </c>
      <c r="F1999" s="2">
        <v>74.400000000000006</v>
      </c>
      <c r="H1999" s="1">
        <f>_xlfn.XLOOKUP('Customer Info'!A621,'Customer Info'!A621:A720,'Customer Info'!E621:E720,0,0)</f>
        <v>0</v>
      </c>
      <c r="J1999" s="1">
        <f>_xlfn.XLOOKUP('Customer Info'!A621,'Customer Info'!A621:A720,'Customer Info'!M621:M720)</f>
        <v>0</v>
      </c>
    </row>
    <row r="2000" spans="1:10" ht="14" hidden="1" x14ac:dyDescent="0.2">
      <c r="A2000" s="2" t="s">
        <v>38</v>
      </c>
      <c r="B2000" s="2">
        <v>21</v>
      </c>
      <c r="C2000" s="2">
        <v>5</v>
      </c>
      <c r="D2000" s="2">
        <v>2020</v>
      </c>
      <c r="E2000" s="2">
        <v>34.1</v>
      </c>
      <c r="F2000" s="2">
        <v>74.400000000000006</v>
      </c>
      <c r="H2000" s="1">
        <f>_xlfn.XLOOKUP('Customer Info'!A792,'Customer Info'!A792:A891,'Customer Info'!E792:E891,0,0)</f>
        <v>0</v>
      </c>
      <c r="J2000" s="1">
        <f>_xlfn.XLOOKUP('Customer Info'!A792,'Customer Info'!A792:A891,'Customer Info'!M792:M891)</f>
        <v>0</v>
      </c>
    </row>
    <row r="2001" spans="1:10" ht="14" hidden="1" x14ac:dyDescent="0.2">
      <c r="A2001" s="2" t="s">
        <v>63</v>
      </c>
      <c r="B2001" s="2">
        <v>25</v>
      </c>
      <c r="C2001" s="2">
        <v>7</v>
      </c>
      <c r="D2001" s="2">
        <v>2020</v>
      </c>
      <c r="E2001" s="2">
        <v>34.1</v>
      </c>
      <c r="F2001" s="2">
        <v>74.400000000000006</v>
      </c>
      <c r="H2001" s="1">
        <f>_xlfn.XLOOKUP('Customer Info'!A793,'Customer Info'!A793:A892,'Customer Info'!E793:E892,0,0)</f>
        <v>0</v>
      </c>
      <c r="J2001" s="1">
        <f>_xlfn.XLOOKUP('Customer Info'!A793,'Customer Info'!A793:A892,'Customer Info'!M793:M892)</f>
        <v>0</v>
      </c>
    </row>
    <row r="2002" spans="1:10" ht="14" hidden="1" x14ac:dyDescent="0.2">
      <c r="A2002" s="2" t="s">
        <v>43</v>
      </c>
      <c r="B2002" s="2">
        <v>15</v>
      </c>
      <c r="C2002" s="2">
        <v>5</v>
      </c>
      <c r="D2002" s="2">
        <v>2020</v>
      </c>
      <c r="E2002" s="2">
        <v>29.76</v>
      </c>
      <c r="F2002" s="2">
        <v>74.400000000000006</v>
      </c>
      <c r="H2002" s="1">
        <f>_xlfn.XLOOKUP('Customer Info'!A822,'Customer Info'!A822:A921,'Customer Info'!E822:E921,0,0)</f>
        <v>0</v>
      </c>
      <c r="J2002" s="1">
        <f>_xlfn.XLOOKUP('Customer Info'!A822,'Customer Info'!A822:A921,'Customer Info'!M822:M921)</f>
        <v>0</v>
      </c>
    </row>
    <row r="2003" spans="1:10" ht="14" hidden="1" x14ac:dyDescent="0.2">
      <c r="A2003" s="2" t="s">
        <v>39</v>
      </c>
      <c r="B2003" s="2">
        <v>22</v>
      </c>
      <c r="C2003" s="2">
        <v>8</v>
      </c>
      <c r="D2003" s="2">
        <v>2020</v>
      </c>
      <c r="E2003" s="2">
        <v>20.46</v>
      </c>
      <c r="F2003" s="2">
        <v>74.400000000000006</v>
      </c>
      <c r="H2003" s="1">
        <f>_xlfn.XLOOKUP('Customer Info'!A866,'Customer Info'!A866:A965,'Customer Info'!E866:E965,0,0)</f>
        <v>0</v>
      </c>
      <c r="J2003" s="1">
        <f>_xlfn.XLOOKUP('Customer Info'!A866,'Customer Info'!A866:A965,'Customer Info'!M866:M965)</f>
        <v>0</v>
      </c>
    </row>
    <row r="2004" spans="1:10" ht="14" x14ac:dyDescent="0.2">
      <c r="A2004" s="2" t="s">
        <v>35</v>
      </c>
      <c r="B2004" s="2">
        <v>9</v>
      </c>
      <c r="C2004" s="2">
        <v>7</v>
      </c>
      <c r="D2004" s="2">
        <v>2021</v>
      </c>
      <c r="E2004" s="2">
        <v>17.98</v>
      </c>
      <c r="F2004" s="2">
        <v>74.400000000000006</v>
      </c>
      <c r="H2004" s="1">
        <f>_xlfn.XLOOKUP('Customer Info'!A2067,'Customer Info'!A2067:A2166,'Customer Info'!E2067:E2166,0,0)</f>
        <v>0</v>
      </c>
      <c r="J2004" s="1">
        <f>_xlfn.XLOOKUP('Customer Info'!A2067,'Customer Info'!A2067:A2166,'Customer Info'!M2067:M2166)</f>
        <v>0</v>
      </c>
    </row>
    <row r="2005" spans="1:10" ht="14" x14ac:dyDescent="0.2">
      <c r="A2005" s="2" t="s">
        <v>35</v>
      </c>
      <c r="B2005" s="2">
        <v>9</v>
      </c>
      <c r="C2005" s="2">
        <v>2</v>
      </c>
      <c r="D2005" s="2">
        <v>2021</v>
      </c>
      <c r="E2005" s="2">
        <v>101.08</v>
      </c>
      <c r="F2005" s="2">
        <v>74.2</v>
      </c>
      <c r="H2005" s="1">
        <f>_xlfn.XLOOKUP('Customer Info'!A1548,'Customer Info'!A1548:A1647,'Customer Info'!E1548:E1647,0,0)</f>
        <v>0</v>
      </c>
      <c r="J2005" s="1">
        <f>_xlfn.XLOOKUP('Customer Info'!A1548,'Customer Info'!A1548:A1647,'Customer Info'!M1548:M1647)</f>
        <v>0</v>
      </c>
    </row>
    <row r="2006" spans="1:10" ht="14" hidden="1" x14ac:dyDescent="0.2">
      <c r="A2006" s="2" t="s">
        <v>44</v>
      </c>
      <c r="B2006" s="2">
        <v>1</v>
      </c>
      <c r="C2006" s="2">
        <v>2</v>
      </c>
      <c r="D2006" s="2">
        <v>2020</v>
      </c>
      <c r="E2006" s="2">
        <v>93.24</v>
      </c>
      <c r="F2006" s="2">
        <v>74.2</v>
      </c>
      <c r="H2006" s="1">
        <f>_xlfn.XLOOKUP('Customer Info'!A376,'Customer Info'!A376:A475,'Customer Info'!E376:E475,0,0)</f>
        <v>0</v>
      </c>
      <c r="J2006" s="1">
        <f>_xlfn.XLOOKUP('Customer Info'!A376,'Customer Info'!A376:A475,'Customer Info'!M376:M475)</f>
        <v>0</v>
      </c>
    </row>
    <row r="2007" spans="1:10" ht="14" x14ac:dyDescent="0.2">
      <c r="A2007" s="2" t="s">
        <v>81</v>
      </c>
      <c r="B2007" s="2">
        <v>19</v>
      </c>
      <c r="C2007" s="2">
        <v>4</v>
      </c>
      <c r="D2007" s="2">
        <v>2021</v>
      </c>
      <c r="E2007" s="2">
        <v>83.7</v>
      </c>
      <c r="F2007" s="2">
        <v>74.099999999999994</v>
      </c>
      <c r="H2007" s="1">
        <f>_xlfn.XLOOKUP('Customer Info'!A1642,'Customer Info'!A1642:A1741,'Customer Info'!E1642:E1741,0,0)</f>
        <v>0</v>
      </c>
      <c r="J2007" s="1">
        <f>_xlfn.XLOOKUP('Customer Info'!A1642,'Customer Info'!A1642:A1741,'Customer Info'!M1642:M1741)</f>
        <v>0</v>
      </c>
    </row>
    <row r="2008" spans="1:10" ht="14" hidden="1" x14ac:dyDescent="0.2">
      <c r="A2008" s="2" t="s">
        <v>64</v>
      </c>
      <c r="B2008" s="2">
        <v>21</v>
      </c>
      <c r="C2008" s="2">
        <v>4</v>
      </c>
      <c r="D2008" s="2">
        <v>2020</v>
      </c>
      <c r="E2008" s="2">
        <v>71.099999999999994</v>
      </c>
      <c r="F2008" s="2">
        <v>74.099999999999994</v>
      </c>
      <c r="H2008" s="1">
        <f>_xlfn.XLOOKUP('Customer Info'!A495,'Customer Info'!A495:A594,'Customer Info'!E495:E594,0,0)</f>
        <v>0</v>
      </c>
      <c r="J2008" s="1">
        <f>_xlfn.XLOOKUP('Customer Info'!A495,'Customer Info'!A495:A594,'Customer Info'!M495:M594)</f>
        <v>0</v>
      </c>
    </row>
    <row r="2009" spans="1:10" ht="14" hidden="1" x14ac:dyDescent="0.2">
      <c r="A2009" s="2" t="s">
        <v>45</v>
      </c>
      <c r="B2009" s="2">
        <v>18</v>
      </c>
      <c r="C2009" s="2">
        <v>4</v>
      </c>
      <c r="D2009" s="2">
        <v>2020</v>
      </c>
      <c r="E2009" s="2">
        <v>59.4</v>
      </c>
      <c r="F2009" s="2">
        <v>74.099999999999994</v>
      </c>
      <c r="H2009" s="1">
        <f>_xlfn.XLOOKUP('Customer Info'!A589,'Customer Info'!A589:A688,'Customer Info'!E589:E688,0,0)</f>
        <v>0</v>
      </c>
      <c r="J2009" s="1">
        <f>_xlfn.XLOOKUP('Customer Info'!A589,'Customer Info'!A589:A688,'Customer Info'!M589:M688)</f>
        <v>0</v>
      </c>
    </row>
    <row r="2010" spans="1:10" ht="14" hidden="1" x14ac:dyDescent="0.2">
      <c r="A2010" s="2" t="s">
        <v>87</v>
      </c>
      <c r="B2010" s="2">
        <v>1</v>
      </c>
      <c r="C2010" s="2">
        <v>6</v>
      </c>
      <c r="D2010" s="2">
        <v>2020</v>
      </c>
      <c r="E2010" s="2">
        <v>51.3</v>
      </c>
      <c r="F2010" s="2">
        <v>74.099999999999994</v>
      </c>
      <c r="H2010" s="1">
        <f>_xlfn.XLOOKUP('Customer Info'!A634,'Customer Info'!A634:A733,'Customer Info'!E634:E733,0,0)</f>
        <v>0</v>
      </c>
      <c r="J2010" s="1">
        <f>_xlfn.XLOOKUP('Customer Info'!A634,'Customer Info'!A634:A733,'Customer Info'!M634:M733)</f>
        <v>0</v>
      </c>
    </row>
    <row r="2011" spans="1:10" ht="14" x14ac:dyDescent="0.2">
      <c r="A2011" s="2" t="s">
        <v>53</v>
      </c>
      <c r="B2011" s="2">
        <v>18</v>
      </c>
      <c r="C2011" s="2">
        <v>9</v>
      </c>
      <c r="D2011" s="2">
        <v>2021</v>
      </c>
      <c r="E2011" s="2">
        <v>35.1</v>
      </c>
      <c r="F2011" s="2">
        <v>74.099999999999994</v>
      </c>
      <c r="H2011" s="1">
        <f>_xlfn.XLOOKUP('Customer Info'!A1989,'Customer Info'!A1989:A2088,'Customer Info'!E1989:E2088,0,0)</f>
        <v>0</v>
      </c>
      <c r="J2011" s="1">
        <f>_xlfn.XLOOKUP('Customer Info'!A1989,'Customer Info'!A1989:A2088,'Customer Info'!M1989:M2088)</f>
        <v>0</v>
      </c>
    </row>
    <row r="2012" spans="1:10" ht="14" x14ac:dyDescent="0.2">
      <c r="A2012" s="2" t="s">
        <v>33</v>
      </c>
      <c r="B2012" s="2">
        <v>21</v>
      </c>
      <c r="C2012" s="2">
        <v>6</v>
      </c>
      <c r="D2012" s="2">
        <v>2021</v>
      </c>
      <c r="E2012" s="2">
        <v>12</v>
      </c>
      <c r="F2012" s="2">
        <v>74.099999999999994</v>
      </c>
      <c r="H2012" s="1">
        <f>_xlfn.XLOOKUP('Customer Info'!A2069,'Customer Info'!A2069:A2168,'Customer Info'!E2069:E2168,0,0)</f>
        <v>0</v>
      </c>
      <c r="J2012" s="1">
        <f>_xlfn.XLOOKUP('Customer Info'!A2069,'Customer Info'!A2069:A2168,'Customer Info'!M2069:M2168)</f>
        <v>0</v>
      </c>
    </row>
    <row r="2013" spans="1:10" ht="14" hidden="1" x14ac:dyDescent="0.2">
      <c r="A2013" s="2" t="s">
        <v>38</v>
      </c>
      <c r="B2013" s="2">
        <v>21</v>
      </c>
      <c r="C2013" s="2">
        <v>1</v>
      </c>
      <c r="D2013" s="2">
        <v>2020</v>
      </c>
      <c r="E2013" s="2">
        <v>77.5</v>
      </c>
      <c r="F2013" s="2">
        <v>74.09</v>
      </c>
      <c r="H2013" s="1">
        <f>_xlfn.XLOOKUP('Customer Info'!A452,'Customer Info'!A452:A551,'Customer Info'!E452:E551,0,0)</f>
        <v>0</v>
      </c>
      <c r="J2013" s="1">
        <f>_xlfn.XLOOKUP('Customer Info'!A452,'Customer Info'!A452:A551,'Customer Info'!M452:M551)</f>
        <v>0</v>
      </c>
    </row>
    <row r="2014" spans="1:10" ht="14" hidden="1" x14ac:dyDescent="0.2">
      <c r="A2014" s="2" t="s">
        <v>45</v>
      </c>
      <c r="B2014" s="2">
        <v>18</v>
      </c>
      <c r="C2014" s="2">
        <v>3</v>
      </c>
      <c r="D2014" s="2">
        <v>2020</v>
      </c>
      <c r="E2014" s="2">
        <v>62</v>
      </c>
      <c r="F2014" s="2">
        <v>74.09</v>
      </c>
      <c r="H2014" s="1">
        <f>_xlfn.XLOOKUP('Customer Info'!A573,'Customer Info'!A573:A672,'Customer Info'!E573:E672,0,0)</f>
        <v>0</v>
      </c>
      <c r="J2014" s="1">
        <f>_xlfn.XLOOKUP('Customer Info'!A573,'Customer Info'!A573:A672,'Customer Info'!M573:M672)</f>
        <v>0</v>
      </c>
    </row>
    <row r="2015" spans="1:10" ht="14" hidden="1" x14ac:dyDescent="0.2">
      <c r="A2015" s="2" t="s">
        <v>85</v>
      </c>
      <c r="B2015" s="2">
        <v>3</v>
      </c>
      <c r="C2015" s="2">
        <v>8</v>
      </c>
      <c r="D2015" s="2">
        <v>2020</v>
      </c>
      <c r="E2015" s="2">
        <v>49.91</v>
      </c>
      <c r="F2015" s="2">
        <v>74.09</v>
      </c>
      <c r="H2015" s="1">
        <f>_xlfn.XLOOKUP('Customer Info'!A644,'Customer Info'!A644:A743,'Customer Info'!E644:E743,0,0)</f>
        <v>0</v>
      </c>
      <c r="J2015" s="1">
        <f>_xlfn.XLOOKUP('Customer Info'!A644,'Customer Info'!A644:A743,'Customer Info'!M644:M743)</f>
        <v>0</v>
      </c>
    </row>
    <row r="2016" spans="1:10" ht="14" hidden="1" x14ac:dyDescent="0.2">
      <c r="A2016" s="2" t="s">
        <v>38</v>
      </c>
      <c r="B2016" s="2">
        <v>21</v>
      </c>
      <c r="C2016" s="2">
        <v>8</v>
      </c>
      <c r="D2016" s="2">
        <v>2020</v>
      </c>
      <c r="E2016" s="2">
        <v>30.38</v>
      </c>
      <c r="F2016" s="2">
        <v>74.09</v>
      </c>
      <c r="H2016" s="1">
        <f>_xlfn.XLOOKUP('Customer Info'!A818,'Customer Info'!A818:A917,'Customer Info'!E818:E917,0,0)</f>
        <v>0</v>
      </c>
      <c r="J2016" s="1">
        <f>_xlfn.XLOOKUP('Customer Info'!A818,'Customer Info'!A818:A917,'Customer Info'!M818:M917)</f>
        <v>0</v>
      </c>
    </row>
    <row r="2017" spans="1:10" ht="14" hidden="1" x14ac:dyDescent="0.2">
      <c r="A2017" s="2" t="s">
        <v>34</v>
      </c>
      <c r="B2017" s="2">
        <v>4</v>
      </c>
      <c r="C2017" s="2">
        <v>5</v>
      </c>
      <c r="D2017" s="2">
        <v>2020</v>
      </c>
      <c r="E2017" s="2">
        <v>24.49</v>
      </c>
      <c r="F2017" s="2">
        <v>74.09</v>
      </c>
      <c r="H2017" s="1">
        <f>_xlfn.XLOOKUP('Customer Info'!A856,'Customer Info'!A856:A955,'Customer Info'!E856:E955,0,0)</f>
        <v>0</v>
      </c>
      <c r="J2017" s="1">
        <f>_xlfn.XLOOKUP('Customer Info'!A856,'Customer Info'!A856:A955,'Customer Info'!M856:M955)</f>
        <v>0</v>
      </c>
    </row>
    <row r="2018" spans="1:10" ht="14" hidden="1" x14ac:dyDescent="0.2">
      <c r="A2018" s="2" t="s">
        <v>40</v>
      </c>
      <c r="B2018" s="2">
        <v>15</v>
      </c>
      <c r="C2018" s="2">
        <v>7</v>
      </c>
      <c r="D2018" s="2">
        <v>2020</v>
      </c>
      <c r="E2018" s="2">
        <v>20.77</v>
      </c>
      <c r="F2018" s="2">
        <v>74.09</v>
      </c>
      <c r="H2018" s="1">
        <f>_xlfn.XLOOKUP('Customer Info'!A865,'Customer Info'!A865:A964,'Customer Info'!E865:E964,0,0)</f>
        <v>0</v>
      </c>
      <c r="J2018" s="1">
        <f>_xlfn.XLOOKUP('Customer Info'!A865,'Customer Info'!A865:A964,'Customer Info'!M865:M964)</f>
        <v>0</v>
      </c>
    </row>
    <row r="2019" spans="1:10" ht="14" hidden="1" x14ac:dyDescent="0.2">
      <c r="A2019" s="2" t="s">
        <v>42</v>
      </c>
      <c r="B2019" s="2">
        <v>12</v>
      </c>
      <c r="C2019" s="2">
        <v>2</v>
      </c>
      <c r="D2019" s="2">
        <v>2020</v>
      </c>
      <c r="E2019" s="2">
        <v>91.84</v>
      </c>
      <c r="F2019" s="2">
        <v>73.92</v>
      </c>
      <c r="H2019" s="1">
        <f>_xlfn.XLOOKUP('Customer Info'!A380,'Customer Info'!A380:A479,'Customer Info'!E380:E479,0,0)</f>
        <v>0</v>
      </c>
      <c r="J2019" s="1">
        <f>_xlfn.XLOOKUP('Customer Info'!A380,'Customer Info'!A380:A479,'Customer Info'!M380:M479)</f>
        <v>0</v>
      </c>
    </row>
    <row r="2020" spans="1:10" ht="14" x14ac:dyDescent="0.2">
      <c r="A2020" s="2" t="s">
        <v>0</v>
      </c>
      <c r="B2020" s="2">
        <v>25</v>
      </c>
      <c r="C2020" s="2">
        <v>6</v>
      </c>
      <c r="D2020" s="2">
        <v>2021</v>
      </c>
      <c r="E2020" s="1" t="s">
        <v>94</v>
      </c>
      <c r="F2020" s="2">
        <v>73.8</v>
      </c>
      <c r="H2020" s="1">
        <f>_xlfn.XLOOKUP('Customer Info'!A1317,'Customer Info'!A1317:A1416,'Customer Info'!E1317:E1416,0,0)</f>
        <v>0</v>
      </c>
      <c r="J2020" s="1">
        <f>_xlfn.XLOOKUP('Customer Info'!A1317,'Customer Info'!A1317:A1416,'Customer Info'!M1317:M1416)</f>
        <v>0</v>
      </c>
    </row>
    <row r="2021" spans="1:10" ht="14" x14ac:dyDescent="0.2">
      <c r="A2021" s="2" t="s">
        <v>0</v>
      </c>
      <c r="B2021" s="2">
        <v>25</v>
      </c>
      <c r="C2021" s="2">
        <v>11</v>
      </c>
      <c r="D2021" s="2">
        <v>2021</v>
      </c>
      <c r="E2021" s="1" t="s">
        <v>94</v>
      </c>
      <c r="F2021" s="2">
        <v>73.8</v>
      </c>
      <c r="H2021" s="1">
        <f>_xlfn.XLOOKUP('Customer Info'!A1318,'Customer Info'!A1318:A1417,'Customer Info'!E1318:E1417,0,0)</f>
        <v>0</v>
      </c>
      <c r="J2021" s="1">
        <f>_xlfn.XLOOKUP('Customer Info'!A1318,'Customer Info'!A1318:A1417,'Customer Info'!M1318:M1417)</f>
        <v>0</v>
      </c>
    </row>
    <row r="2022" spans="1:10" ht="14" x14ac:dyDescent="0.2">
      <c r="A2022" s="2" t="s">
        <v>82</v>
      </c>
      <c r="B2022" s="2">
        <v>8</v>
      </c>
      <c r="C2022" s="2">
        <v>11</v>
      </c>
      <c r="D2022" s="2">
        <v>2021</v>
      </c>
      <c r="E2022" s="2">
        <v>103.5</v>
      </c>
      <c r="F2022" s="2">
        <v>73.8</v>
      </c>
      <c r="H2022" s="1">
        <f>_xlfn.XLOOKUP('Customer Info'!A1535,'Customer Info'!A1535:A1634,'Customer Info'!E1535:E1634,0,0)</f>
        <v>0</v>
      </c>
      <c r="J2022" s="1">
        <f>_xlfn.XLOOKUP('Customer Info'!A1535,'Customer Info'!A1535:A1634,'Customer Info'!M1535:M1634)</f>
        <v>0</v>
      </c>
    </row>
    <row r="2023" spans="1:10" ht="14" hidden="1" x14ac:dyDescent="0.2">
      <c r="A2023" s="2" t="s">
        <v>75</v>
      </c>
      <c r="B2023" s="2">
        <v>2</v>
      </c>
      <c r="C2023" s="2">
        <v>11</v>
      </c>
      <c r="D2023" s="2">
        <v>2020</v>
      </c>
      <c r="E2023" s="2">
        <v>95.7</v>
      </c>
      <c r="F2023" s="2">
        <v>73.8</v>
      </c>
      <c r="H2023" s="1">
        <f>_xlfn.XLOOKUP('Customer Info'!A360,'Customer Info'!A360:A459,'Customer Info'!E360:E459,0,0)</f>
        <v>0</v>
      </c>
      <c r="J2023" s="1">
        <f>_xlfn.XLOOKUP('Customer Info'!A360,'Customer Info'!A360:A459,'Customer Info'!M360:M459)</f>
        <v>0</v>
      </c>
    </row>
    <row r="2024" spans="1:10" ht="14" x14ac:dyDescent="0.2">
      <c r="A2024" s="2" t="s">
        <v>49</v>
      </c>
      <c r="B2024" s="2">
        <v>3</v>
      </c>
      <c r="C2024" s="2">
        <v>9</v>
      </c>
      <c r="D2024" s="2">
        <v>2021</v>
      </c>
      <c r="E2024" s="2">
        <v>36.299999999999997</v>
      </c>
      <c r="F2024" s="2">
        <v>73.8</v>
      </c>
      <c r="H2024" s="1">
        <f>_xlfn.XLOOKUP('Customer Info'!A1978,'Customer Info'!A1978:A2077,'Customer Info'!E1978:E2077,0,0)</f>
        <v>0</v>
      </c>
      <c r="J2024" s="1">
        <f>_xlfn.XLOOKUP('Customer Info'!A1978,'Customer Info'!A1978:A2077,'Customer Info'!M1978:M2077)</f>
        <v>0</v>
      </c>
    </row>
    <row r="2025" spans="1:10" ht="14" hidden="1" x14ac:dyDescent="0.2">
      <c r="A2025" s="2" t="s">
        <v>46</v>
      </c>
      <c r="B2025" s="2">
        <v>9</v>
      </c>
      <c r="C2025" s="2">
        <v>12</v>
      </c>
      <c r="D2025" s="2">
        <v>2020</v>
      </c>
      <c r="E2025" s="2">
        <v>99.51</v>
      </c>
      <c r="F2025" s="2">
        <v>73.78</v>
      </c>
      <c r="H2025" s="1">
        <f>_xlfn.XLOOKUP('Customer Info'!A333,'Customer Info'!A333:A432,'Customer Info'!E333:E432,0,0)</f>
        <v>0</v>
      </c>
      <c r="J2025" s="1">
        <f>_xlfn.XLOOKUP('Customer Info'!A333,'Customer Info'!A333:A432,'Customer Info'!M333:M432)</f>
        <v>0</v>
      </c>
    </row>
    <row r="2026" spans="1:10" ht="14" hidden="1" x14ac:dyDescent="0.2">
      <c r="A2026" s="2" t="s">
        <v>89</v>
      </c>
      <c r="B2026" s="2">
        <v>2</v>
      </c>
      <c r="C2026" s="2">
        <v>5</v>
      </c>
      <c r="D2026" s="2">
        <v>2020</v>
      </c>
      <c r="E2026" s="2">
        <v>62</v>
      </c>
      <c r="F2026" s="2">
        <v>73.78</v>
      </c>
      <c r="H2026" s="1">
        <f>_xlfn.XLOOKUP('Customer Info'!A574,'Customer Info'!A574:A673,'Customer Info'!E574:E673,0,0)</f>
        <v>0</v>
      </c>
      <c r="J2026" s="1">
        <f>_xlfn.XLOOKUP('Customer Info'!A574,'Customer Info'!A574:A673,'Customer Info'!M574:M673)</f>
        <v>0</v>
      </c>
    </row>
    <row r="2027" spans="1:10" ht="14" hidden="1" x14ac:dyDescent="0.2">
      <c r="A2027" s="2" t="s">
        <v>78</v>
      </c>
      <c r="B2027" s="2">
        <v>18</v>
      </c>
      <c r="C2027" s="2">
        <v>5</v>
      </c>
      <c r="D2027" s="2">
        <v>2020</v>
      </c>
      <c r="E2027" s="2">
        <v>52.39</v>
      </c>
      <c r="F2027" s="2">
        <v>73.78</v>
      </c>
      <c r="H2027" s="1">
        <f>_xlfn.XLOOKUP('Customer Info'!A626,'Customer Info'!A626:A725,'Customer Info'!E626:E725,0,0)</f>
        <v>0</v>
      </c>
      <c r="J2027" s="1">
        <f>_xlfn.XLOOKUP('Customer Info'!A626,'Customer Info'!A626:A725,'Customer Info'!M626:M725)</f>
        <v>0</v>
      </c>
    </row>
    <row r="2028" spans="1:10" ht="14" x14ac:dyDescent="0.2">
      <c r="A2028" s="2" t="s">
        <v>49</v>
      </c>
      <c r="B2028" s="2">
        <v>3</v>
      </c>
      <c r="C2028" s="2">
        <v>8</v>
      </c>
      <c r="D2028" s="2">
        <v>2021</v>
      </c>
      <c r="E2028" s="2">
        <v>38.130000000000003</v>
      </c>
      <c r="F2028" s="2">
        <v>73.78</v>
      </c>
      <c r="H2028" s="1">
        <f>_xlfn.XLOOKUP('Customer Info'!A1959,'Customer Info'!A1959:A2058,'Customer Info'!E1959:E2058,0,0)</f>
        <v>0</v>
      </c>
      <c r="J2028" s="1">
        <f>_xlfn.XLOOKUP('Customer Info'!A1959,'Customer Info'!A1959:A2058,'Customer Info'!M1959:M2058)</f>
        <v>0</v>
      </c>
    </row>
    <row r="2029" spans="1:10" ht="14" hidden="1" x14ac:dyDescent="0.2">
      <c r="A2029" s="2" t="s">
        <v>39</v>
      </c>
      <c r="B2029" s="2">
        <v>22</v>
      </c>
      <c r="C2029" s="2">
        <v>5</v>
      </c>
      <c r="D2029" s="2">
        <v>2020</v>
      </c>
      <c r="E2029" s="2">
        <v>34.1</v>
      </c>
      <c r="F2029" s="2">
        <v>73.78</v>
      </c>
      <c r="H2029" s="1">
        <f>_xlfn.XLOOKUP('Customer Info'!A794,'Customer Info'!A794:A893,'Customer Info'!E794:E893,0,0)</f>
        <v>0</v>
      </c>
      <c r="J2029" s="1">
        <f>_xlfn.XLOOKUP('Customer Info'!A794,'Customer Info'!A794:A893,'Customer Info'!M794:M893)</f>
        <v>0</v>
      </c>
    </row>
    <row r="2030" spans="1:10" ht="14" hidden="1" x14ac:dyDescent="0.2">
      <c r="A2030" s="2" t="s">
        <v>48</v>
      </c>
      <c r="B2030" s="2">
        <v>24</v>
      </c>
      <c r="C2030" s="2">
        <v>5</v>
      </c>
      <c r="D2030" s="2">
        <v>2020</v>
      </c>
      <c r="E2030" s="2">
        <v>31.93</v>
      </c>
      <c r="F2030" s="2">
        <v>73.78</v>
      </c>
      <c r="H2030" s="1">
        <f>_xlfn.XLOOKUP('Customer Info'!A806,'Customer Info'!A806:A905,'Customer Info'!E806:E905,0,0)</f>
        <v>0</v>
      </c>
      <c r="J2030" s="1">
        <f>_xlfn.XLOOKUP('Customer Info'!A806,'Customer Info'!A806:A905,'Customer Info'!M806:M905)</f>
        <v>0</v>
      </c>
    </row>
    <row r="2031" spans="1:10" ht="14" hidden="1" x14ac:dyDescent="0.2">
      <c r="A2031" s="2" t="s">
        <v>40</v>
      </c>
      <c r="B2031" s="2">
        <v>15</v>
      </c>
      <c r="C2031" s="2">
        <v>5</v>
      </c>
      <c r="D2031" s="2">
        <v>2020</v>
      </c>
      <c r="E2031" s="2">
        <v>28.21</v>
      </c>
      <c r="F2031" s="2">
        <v>73.78</v>
      </c>
      <c r="H2031" s="1">
        <f>_xlfn.XLOOKUP('Customer Info'!A831,'Customer Info'!A831:A930,'Customer Info'!E831:E930,0,0)</f>
        <v>0</v>
      </c>
      <c r="J2031" s="1">
        <f>_xlfn.XLOOKUP('Customer Info'!A831,'Customer Info'!A831:A930,'Customer Info'!M831:M930)</f>
        <v>0</v>
      </c>
    </row>
    <row r="2032" spans="1:10" ht="14" x14ac:dyDescent="0.2">
      <c r="A2032" s="2" t="s">
        <v>62</v>
      </c>
      <c r="B2032" s="2">
        <v>1</v>
      </c>
      <c r="C2032" s="2">
        <v>2</v>
      </c>
      <c r="D2032" s="2">
        <v>2021</v>
      </c>
      <c r="E2032" s="2">
        <v>105.56</v>
      </c>
      <c r="F2032" s="2">
        <v>73.64</v>
      </c>
      <c r="H2032" s="1">
        <f>_xlfn.XLOOKUP('Customer Info'!A1525,'Customer Info'!A1525:A1624,'Customer Info'!E1525:E1624,0,0)</f>
        <v>0</v>
      </c>
      <c r="J2032" s="1">
        <f>_xlfn.XLOOKUP('Customer Info'!A1525,'Customer Info'!A1525:A1624,'Customer Info'!M1525:M1624)</f>
        <v>0</v>
      </c>
    </row>
    <row r="2033" spans="1:10" ht="14" hidden="1" x14ac:dyDescent="0.2">
      <c r="A2033" s="2" t="s">
        <v>55</v>
      </c>
      <c r="B2033" s="2">
        <v>18</v>
      </c>
      <c r="C2033" s="2">
        <v>2</v>
      </c>
      <c r="D2033" s="2">
        <v>2020</v>
      </c>
      <c r="E2033" s="2">
        <v>99.12</v>
      </c>
      <c r="F2033" s="2">
        <v>73.64</v>
      </c>
      <c r="H2033" s="1">
        <f>_xlfn.XLOOKUP('Customer Info'!A339,'Customer Info'!A339:A438,'Customer Info'!E339:E438,0,0)</f>
        <v>0</v>
      </c>
      <c r="J2033" s="1">
        <f>_xlfn.XLOOKUP('Customer Info'!A339,'Customer Info'!A339:A438,'Customer Info'!M339:M438)</f>
        <v>0</v>
      </c>
    </row>
    <row r="2034" spans="1:10" ht="14" hidden="1" x14ac:dyDescent="0.2">
      <c r="A2034" s="2" t="s">
        <v>38</v>
      </c>
      <c r="B2034" s="2">
        <v>21</v>
      </c>
      <c r="C2034" s="2">
        <v>2</v>
      </c>
      <c r="D2034" s="2">
        <v>2020</v>
      </c>
      <c r="E2034" s="2">
        <v>82.32</v>
      </c>
      <c r="F2034" s="2">
        <v>73.64</v>
      </c>
      <c r="H2034" s="1">
        <f>_xlfn.XLOOKUP('Customer Info'!A431,'Customer Info'!A431:A530,'Customer Info'!E431:E530,0,0)</f>
        <v>0</v>
      </c>
      <c r="J2034" s="1">
        <f>_xlfn.XLOOKUP('Customer Info'!A431,'Customer Info'!A431:A530,'Customer Info'!M431:M530)</f>
        <v>0</v>
      </c>
    </row>
    <row r="2035" spans="1:10" ht="14" x14ac:dyDescent="0.2">
      <c r="A2035" s="2" t="s">
        <v>95</v>
      </c>
      <c r="B2035" s="2">
        <v>24</v>
      </c>
      <c r="C2035" s="2">
        <v>11</v>
      </c>
      <c r="D2035" s="2">
        <v>2021</v>
      </c>
      <c r="E2035" s="1" t="s">
        <v>94</v>
      </c>
      <c r="F2035" s="2">
        <v>73.5</v>
      </c>
      <c r="H2035" s="1">
        <f>_xlfn.XLOOKUP('Customer Info'!A1319,'Customer Info'!A1319:A1418,'Customer Info'!E1319:E1418,0,0)</f>
        <v>0</v>
      </c>
      <c r="J2035" s="1">
        <f>_xlfn.XLOOKUP('Customer Info'!A1319,'Customer Info'!A1319:A1418,'Customer Info'!M1319:M1418)</f>
        <v>0</v>
      </c>
    </row>
    <row r="2036" spans="1:10" ht="14" x14ac:dyDescent="0.2">
      <c r="A2036" s="2" t="s">
        <v>58</v>
      </c>
      <c r="B2036" s="2">
        <v>16</v>
      </c>
      <c r="C2036" s="2">
        <v>4</v>
      </c>
      <c r="D2036" s="2">
        <v>2021</v>
      </c>
      <c r="E2036" s="2">
        <v>71.099999999999994</v>
      </c>
      <c r="F2036" s="2">
        <v>73.5</v>
      </c>
      <c r="H2036" s="1">
        <f>_xlfn.XLOOKUP('Customer Info'!A1727,'Customer Info'!A1727:A1826,'Customer Info'!E1727:E1826,0,0)</f>
        <v>0</v>
      </c>
      <c r="J2036" s="1">
        <f>_xlfn.XLOOKUP('Customer Info'!A1727,'Customer Info'!A1727:A1826,'Customer Info'!M1727:M1826)</f>
        <v>0</v>
      </c>
    </row>
    <row r="2037" spans="1:10" ht="14" x14ac:dyDescent="0.2">
      <c r="A2037" s="2" t="s">
        <v>42</v>
      </c>
      <c r="B2037" s="2">
        <v>12</v>
      </c>
      <c r="C2037" s="2">
        <v>4</v>
      </c>
      <c r="D2037" s="2">
        <v>2021</v>
      </c>
      <c r="E2037" s="2">
        <v>63.3</v>
      </c>
      <c r="F2037" s="2">
        <v>73.5</v>
      </c>
      <c r="H2037" s="1">
        <f>_xlfn.XLOOKUP('Customer Info'!A1784,'Customer Info'!A1784:A1883,'Customer Info'!E1784:E1883,0,0)</f>
        <v>0</v>
      </c>
      <c r="J2037" s="1">
        <f>_xlfn.XLOOKUP('Customer Info'!A1784,'Customer Info'!A1784:A1883,'Customer Info'!M1784:M1883)</f>
        <v>0</v>
      </c>
    </row>
    <row r="2038" spans="1:10" ht="14" x14ac:dyDescent="0.2">
      <c r="A2038" s="2" t="s">
        <v>38</v>
      </c>
      <c r="B2038" s="2">
        <v>21</v>
      </c>
      <c r="C2038" s="2">
        <v>9</v>
      </c>
      <c r="D2038" s="2">
        <v>2021</v>
      </c>
      <c r="E2038" s="2">
        <v>30</v>
      </c>
      <c r="F2038" s="2">
        <v>73.5</v>
      </c>
      <c r="H2038" s="1">
        <f>_xlfn.XLOOKUP('Customer Info'!A2020,'Customer Info'!A2020:A2119,'Customer Info'!E2020:E2119,0,0)</f>
        <v>0</v>
      </c>
      <c r="J2038" s="1">
        <f>_xlfn.XLOOKUP('Customer Info'!A2020,'Customer Info'!A2020:A2119,'Customer Info'!M2020:M2119)</f>
        <v>0</v>
      </c>
    </row>
    <row r="2039" spans="1:10" ht="14" hidden="1" x14ac:dyDescent="0.2">
      <c r="A2039" s="2" t="s">
        <v>60</v>
      </c>
      <c r="B2039" s="2">
        <v>20</v>
      </c>
      <c r="C2039" s="2">
        <v>1</v>
      </c>
      <c r="D2039" s="2">
        <v>2020</v>
      </c>
      <c r="E2039" s="2">
        <v>114.08</v>
      </c>
      <c r="F2039" s="2">
        <v>73.47</v>
      </c>
      <c r="H2039" s="1">
        <f>_xlfn.XLOOKUP('Customer Info'!A241,'Customer Info'!A241:A340,'Customer Info'!E241:E340,0,0)</f>
        <v>0</v>
      </c>
      <c r="J2039" s="1">
        <f>_xlfn.XLOOKUP('Customer Info'!A241,'Customer Info'!A241:A340,'Customer Info'!M241:M340)</f>
        <v>0</v>
      </c>
    </row>
    <row r="2040" spans="1:10" ht="14" x14ac:dyDescent="0.2">
      <c r="A2040" s="2" t="s">
        <v>93</v>
      </c>
      <c r="B2040" s="2">
        <v>3</v>
      </c>
      <c r="C2040" s="2">
        <v>8</v>
      </c>
      <c r="D2040" s="2">
        <v>2021</v>
      </c>
      <c r="E2040" s="2">
        <v>74.09</v>
      </c>
      <c r="F2040" s="2">
        <v>73.47</v>
      </c>
      <c r="H2040" s="1">
        <f>_xlfn.XLOOKUP('Customer Info'!A1705,'Customer Info'!A1705:A1804,'Customer Info'!E1705:E1804,0,0)</f>
        <v>0</v>
      </c>
      <c r="J2040" s="1">
        <f>_xlfn.XLOOKUP('Customer Info'!A1705,'Customer Info'!A1705:A1804,'Customer Info'!M1705:M1804)</f>
        <v>0</v>
      </c>
    </row>
    <row r="2041" spans="1:10" ht="14" x14ac:dyDescent="0.2">
      <c r="A2041" s="2" t="s">
        <v>82</v>
      </c>
      <c r="B2041" s="2">
        <v>8</v>
      </c>
      <c r="C2041" s="2">
        <v>7</v>
      </c>
      <c r="D2041" s="2">
        <v>2021</v>
      </c>
      <c r="E2041" s="2">
        <v>46.5</v>
      </c>
      <c r="F2041" s="2">
        <v>73.47</v>
      </c>
      <c r="H2041" s="1">
        <f>_xlfn.XLOOKUP('Customer Info'!A1896,'Customer Info'!A1896:A1995,'Customer Info'!E1896:E1995,0,0)</f>
        <v>0</v>
      </c>
      <c r="J2041" s="1">
        <f>_xlfn.XLOOKUP('Customer Info'!A1896,'Customer Info'!A1896:A1995,'Customer Info'!M1896:M1995)</f>
        <v>0</v>
      </c>
    </row>
    <row r="2042" spans="1:10" ht="14" x14ac:dyDescent="0.2">
      <c r="A2042" s="2" t="s">
        <v>55</v>
      </c>
      <c r="B2042" s="2">
        <v>18</v>
      </c>
      <c r="C2042" s="2">
        <v>7</v>
      </c>
      <c r="D2042" s="2">
        <v>2021</v>
      </c>
      <c r="E2042" s="2">
        <v>33.79</v>
      </c>
      <c r="F2042" s="2">
        <v>73.47</v>
      </c>
      <c r="H2042" s="1">
        <f>_xlfn.XLOOKUP('Customer Info'!A1997,'Customer Info'!A1997:A2096,'Customer Info'!E1997:E2096,0,0)</f>
        <v>0</v>
      </c>
      <c r="J2042" s="1">
        <f>_xlfn.XLOOKUP('Customer Info'!A1997,'Customer Info'!A1997:A2096,'Customer Info'!M1997:M2096)</f>
        <v>0</v>
      </c>
    </row>
    <row r="2043" spans="1:10" ht="14" x14ac:dyDescent="0.2">
      <c r="A2043" s="2" t="s">
        <v>74</v>
      </c>
      <c r="B2043" s="2">
        <v>5</v>
      </c>
      <c r="C2043" s="2">
        <v>2</v>
      </c>
      <c r="D2043" s="2">
        <v>2021</v>
      </c>
      <c r="E2043" s="2">
        <v>99.96</v>
      </c>
      <c r="F2043" s="2">
        <v>73.36</v>
      </c>
      <c r="H2043" s="1">
        <f>_xlfn.XLOOKUP('Customer Info'!A1556,'Customer Info'!A1556:A1655,'Customer Info'!E1556:E1655,0,0)</f>
        <v>0</v>
      </c>
      <c r="J2043" s="1">
        <f>_xlfn.XLOOKUP('Customer Info'!A1556,'Customer Info'!A1556:A1655,'Customer Info'!M1556:M1655)</f>
        <v>0</v>
      </c>
    </row>
    <row r="2044" spans="1:10" ht="14" hidden="1" x14ac:dyDescent="0.2">
      <c r="A2044" s="2" t="s">
        <v>0</v>
      </c>
      <c r="B2044" s="2">
        <v>25</v>
      </c>
      <c r="C2044" s="2">
        <v>6</v>
      </c>
      <c r="D2044" s="2">
        <v>2020</v>
      </c>
      <c r="E2044" s="1" t="s">
        <v>94</v>
      </c>
      <c r="F2044" s="2">
        <v>73.2</v>
      </c>
      <c r="H2044" s="1">
        <f>_xlfn.XLOOKUP('Customer Info'!A130,'Customer Info'!A130:A229,'Customer Info'!E130:E229,0,0)</f>
        <v>0</v>
      </c>
      <c r="J2044" s="1">
        <f>_xlfn.XLOOKUP('Customer Info'!A130,'Customer Info'!A130:A229,'Customer Info'!M130:M229)</f>
        <v>0</v>
      </c>
    </row>
    <row r="2045" spans="1:10" ht="14" hidden="1" x14ac:dyDescent="0.2">
      <c r="A2045" s="2" t="s">
        <v>33</v>
      </c>
      <c r="B2045" s="2">
        <v>21</v>
      </c>
      <c r="C2045" s="2">
        <v>11</v>
      </c>
      <c r="D2045" s="2">
        <v>2020</v>
      </c>
      <c r="E2045" s="2">
        <v>95.4</v>
      </c>
      <c r="F2045" s="2">
        <v>73.2</v>
      </c>
      <c r="H2045" s="1">
        <f>_xlfn.XLOOKUP('Customer Info'!A364,'Customer Info'!A364:A463,'Customer Info'!E364:E463,0,0)</f>
        <v>0</v>
      </c>
      <c r="J2045" s="1">
        <f>_xlfn.XLOOKUP('Customer Info'!A364,'Customer Info'!A364:A463,'Customer Info'!M364:M463)</f>
        <v>0</v>
      </c>
    </row>
    <row r="2046" spans="1:10" ht="14" hidden="1" x14ac:dyDescent="0.2">
      <c r="A2046" s="2" t="s">
        <v>95</v>
      </c>
      <c r="B2046" s="2">
        <v>24</v>
      </c>
      <c r="C2046" s="2">
        <v>1</v>
      </c>
      <c r="D2046" s="2">
        <v>2020</v>
      </c>
      <c r="E2046" s="1" t="s">
        <v>94</v>
      </c>
      <c r="F2046" s="2">
        <v>73.16</v>
      </c>
      <c r="H2046" s="1">
        <f>_xlfn.XLOOKUP('Customer Info'!A131,'Customer Info'!A131:A230,'Customer Info'!E131:E230,0,0)</f>
        <v>0</v>
      </c>
      <c r="J2046" s="1">
        <f>_xlfn.XLOOKUP('Customer Info'!A131,'Customer Info'!A131:A230,'Customer Info'!M131:M230)</f>
        <v>0</v>
      </c>
    </row>
    <row r="2047" spans="1:10" ht="14" hidden="1" x14ac:dyDescent="0.2">
      <c r="A2047" s="2" t="s">
        <v>39</v>
      </c>
      <c r="B2047" s="2">
        <v>22</v>
      </c>
      <c r="C2047" s="2">
        <v>10</v>
      </c>
      <c r="D2047" s="2">
        <v>2020</v>
      </c>
      <c r="E2047" s="2">
        <v>55.49</v>
      </c>
      <c r="F2047" s="2">
        <v>73.16</v>
      </c>
      <c r="H2047" s="1">
        <f>_xlfn.XLOOKUP('Customer Info'!A609,'Customer Info'!A609:A708,'Customer Info'!E609:E708,0,0)</f>
        <v>0</v>
      </c>
      <c r="J2047" s="1">
        <f>_xlfn.XLOOKUP('Customer Info'!A609,'Customer Info'!A609:A708,'Customer Info'!M609:M708)</f>
        <v>0</v>
      </c>
    </row>
    <row r="2048" spans="1:10" ht="14" hidden="1" x14ac:dyDescent="0.2">
      <c r="A2048" s="2" t="s">
        <v>48</v>
      </c>
      <c r="B2048" s="2">
        <v>24</v>
      </c>
      <c r="C2048" s="2">
        <v>7</v>
      </c>
      <c r="D2048" s="2">
        <v>2020</v>
      </c>
      <c r="E2048" s="2">
        <v>35.03</v>
      </c>
      <c r="F2048" s="2">
        <v>73.16</v>
      </c>
      <c r="H2048" s="1">
        <f>_xlfn.XLOOKUP('Customer Info'!A786,'Customer Info'!A786:A885,'Customer Info'!E786:E885,0,0)</f>
        <v>0</v>
      </c>
      <c r="J2048" s="1">
        <f>_xlfn.XLOOKUP('Customer Info'!A786,'Customer Info'!A786:A885,'Customer Info'!M786:M885)</f>
        <v>0</v>
      </c>
    </row>
    <row r="2049" spans="1:10" ht="14" x14ac:dyDescent="0.2">
      <c r="A2049" s="2" t="s">
        <v>36</v>
      </c>
      <c r="B2049" s="2">
        <v>12</v>
      </c>
      <c r="C2049" s="2">
        <v>8</v>
      </c>
      <c r="D2049" s="2">
        <v>2021</v>
      </c>
      <c r="E2049" s="2">
        <v>18.91</v>
      </c>
      <c r="F2049" s="2">
        <v>73.16</v>
      </c>
      <c r="H2049" s="1">
        <f>_xlfn.XLOOKUP('Customer Info'!A2066,'Customer Info'!A2066:A2165,'Customer Info'!E2066:E2165,0,0)</f>
        <v>0</v>
      </c>
      <c r="J2049" s="1">
        <f>_xlfn.XLOOKUP('Customer Info'!A2066,'Customer Info'!A2066:A2165,'Customer Info'!M2066:M2165)</f>
        <v>0</v>
      </c>
    </row>
    <row r="2050" spans="1:10" ht="14" x14ac:dyDescent="0.2">
      <c r="A2050" s="2" t="s">
        <v>93</v>
      </c>
      <c r="B2050" s="2">
        <v>3</v>
      </c>
      <c r="C2050" s="2">
        <v>6</v>
      </c>
      <c r="D2050" s="2">
        <v>2021</v>
      </c>
      <c r="E2050" s="2">
        <v>72.3</v>
      </c>
      <c r="F2050" s="2">
        <v>72.900000000000006</v>
      </c>
      <c r="H2050" s="1">
        <f>_xlfn.XLOOKUP('Customer Info'!A1716,'Customer Info'!A1716:A1815,'Customer Info'!E1716:E1815,0,0)</f>
        <v>0</v>
      </c>
      <c r="J2050" s="1">
        <f>_xlfn.XLOOKUP('Customer Info'!A1716,'Customer Info'!A1716:A1815,'Customer Info'!M1716:M1815)</f>
        <v>0</v>
      </c>
    </row>
    <row r="2051" spans="1:10" ht="14" hidden="1" x14ac:dyDescent="0.2">
      <c r="A2051" s="2" t="s">
        <v>56</v>
      </c>
      <c r="B2051" s="2">
        <v>14</v>
      </c>
      <c r="C2051" s="2">
        <v>4</v>
      </c>
      <c r="D2051" s="2">
        <v>2020</v>
      </c>
      <c r="E2051" s="2">
        <v>60.3</v>
      </c>
      <c r="F2051" s="2">
        <v>72.900000000000006</v>
      </c>
      <c r="H2051" s="1">
        <f>_xlfn.XLOOKUP('Customer Info'!A583,'Customer Info'!A583:A682,'Customer Info'!E583:E682,0,0)</f>
        <v>0</v>
      </c>
      <c r="J2051" s="1">
        <f>_xlfn.XLOOKUP('Customer Info'!A583,'Customer Info'!A583:A682,'Customer Info'!M583:M682)</f>
        <v>0</v>
      </c>
    </row>
    <row r="2052" spans="1:10" ht="14" x14ac:dyDescent="0.2">
      <c r="A2052" s="2" t="s">
        <v>89</v>
      </c>
      <c r="B2052" s="2">
        <v>2</v>
      </c>
      <c r="C2052" s="2">
        <v>9</v>
      </c>
      <c r="D2052" s="2">
        <v>2021</v>
      </c>
      <c r="E2052" s="2">
        <v>58.2</v>
      </c>
      <c r="F2052" s="2">
        <v>72.900000000000006</v>
      </c>
      <c r="H2052" s="1">
        <f>_xlfn.XLOOKUP('Customer Info'!A1819,'Customer Info'!A1819:A1918,'Customer Info'!E1819:E1918,0,0)</f>
        <v>0</v>
      </c>
      <c r="J2052" s="1">
        <f>_xlfn.XLOOKUP('Customer Info'!A1819,'Customer Info'!A1819:A1918,'Customer Info'!M1819:M1918)</f>
        <v>0</v>
      </c>
    </row>
    <row r="2053" spans="1:10" ht="14" hidden="1" x14ac:dyDescent="0.2">
      <c r="A2053" s="2" t="s">
        <v>82</v>
      </c>
      <c r="B2053" s="2">
        <v>8</v>
      </c>
      <c r="C2053" s="2">
        <v>9</v>
      </c>
      <c r="D2053" s="2">
        <v>2020</v>
      </c>
      <c r="E2053" s="2">
        <v>55.5</v>
      </c>
      <c r="F2053" s="2">
        <v>72.900000000000006</v>
      </c>
      <c r="H2053" s="1">
        <f>_xlfn.XLOOKUP('Customer Info'!A608,'Customer Info'!A608:A707,'Customer Info'!E608:E707,0,0)</f>
        <v>0</v>
      </c>
      <c r="J2053" s="1">
        <f>_xlfn.XLOOKUP('Customer Info'!A608,'Customer Info'!A608:A707,'Customer Info'!M608:M707)</f>
        <v>0</v>
      </c>
    </row>
    <row r="2054" spans="1:10" ht="14" hidden="1" x14ac:dyDescent="0.2">
      <c r="A2054" s="2" t="s">
        <v>53</v>
      </c>
      <c r="B2054" s="2">
        <v>18</v>
      </c>
      <c r="C2054" s="2">
        <v>1</v>
      </c>
      <c r="D2054" s="2">
        <v>2020</v>
      </c>
      <c r="E2054" s="2">
        <v>121.83</v>
      </c>
      <c r="F2054" s="2">
        <v>72.849999999999994</v>
      </c>
      <c r="H2054" s="1">
        <f>_xlfn.XLOOKUP('Customer Info'!A200,'Customer Info'!A200:A299,'Customer Info'!E200:E299,0,0)</f>
        <v>0</v>
      </c>
      <c r="J2054" s="1">
        <f>_xlfn.XLOOKUP('Customer Info'!A200,'Customer Info'!A200:A299,'Customer Info'!M200:M299)</f>
        <v>0</v>
      </c>
    </row>
    <row r="2055" spans="1:10" ht="14" x14ac:dyDescent="0.2">
      <c r="A2055" s="2" t="s">
        <v>53</v>
      </c>
      <c r="B2055" s="2">
        <v>18</v>
      </c>
      <c r="C2055" s="2">
        <v>1</v>
      </c>
      <c r="D2055" s="2">
        <v>2021</v>
      </c>
      <c r="E2055" s="2">
        <v>103.23</v>
      </c>
      <c r="F2055" s="2">
        <v>72.849999999999994</v>
      </c>
      <c r="H2055" s="1">
        <f>_xlfn.XLOOKUP('Customer Info'!A1537,'Customer Info'!A1537:A1636,'Customer Info'!E1537:E1636,0,0)</f>
        <v>0</v>
      </c>
      <c r="J2055" s="1">
        <f>_xlfn.XLOOKUP('Customer Info'!A1537,'Customer Info'!A1537:A1636,'Customer Info'!M1537:M1636)</f>
        <v>0</v>
      </c>
    </row>
    <row r="2056" spans="1:10" ht="14" x14ac:dyDescent="0.2">
      <c r="A2056" s="2" t="s">
        <v>49</v>
      </c>
      <c r="B2056" s="2">
        <v>3</v>
      </c>
      <c r="C2056" s="2">
        <v>1</v>
      </c>
      <c r="D2056" s="2">
        <v>2021</v>
      </c>
      <c r="E2056" s="2">
        <v>97.96</v>
      </c>
      <c r="F2056" s="2">
        <v>72.849999999999994</v>
      </c>
      <c r="H2056" s="1">
        <f>_xlfn.XLOOKUP('Customer Info'!A1567,'Customer Info'!A1567:A1666,'Customer Info'!E1567:E1666,0,0)</f>
        <v>0</v>
      </c>
      <c r="J2056" s="1">
        <f>_xlfn.XLOOKUP('Customer Info'!A1567,'Customer Info'!A1567:A1666,'Customer Info'!M1567:M1666)</f>
        <v>0</v>
      </c>
    </row>
    <row r="2057" spans="1:10" ht="14" hidden="1" x14ac:dyDescent="0.2">
      <c r="A2057" s="2" t="s">
        <v>53</v>
      </c>
      <c r="B2057" s="2">
        <v>18</v>
      </c>
      <c r="C2057" s="2">
        <v>8</v>
      </c>
      <c r="D2057" s="2">
        <v>2020</v>
      </c>
      <c r="E2057" s="2">
        <v>28.83</v>
      </c>
      <c r="F2057" s="2">
        <v>72.849999999999994</v>
      </c>
      <c r="H2057" s="1">
        <f>_xlfn.XLOOKUP('Customer Info'!A827,'Customer Info'!A827:A926,'Customer Info'!E827:E926,0,0)</f>
        <v>0</v>
      </c>
      <c r="J2057" s="1">
        <f>_xlfn.XLOOKUP('Customer Info'!A827,'Customer Info'!A827:A926,'Customer Info'!M827:M926)</f>
        <v>0</v>
      </c>
    </row>
    <row r="2058" spans="1:10" ht="14" hidden="1" x14ac:dyDescent="0.2">
      <c r="A2058" s="2" t="s">
        <v>53</v>
      </c>
      <c r="B2058" s="2">
        <v>18</v>
      </c>
      <c r="C2058" s="2">
        <v>4</v>
      </c>
      <c r="D2058" s="2">
        <v>2020</v>
      </c>
      <c r="E2058" s="2">
        <v>62.4</v>
      </c>
      <c r="F2058" s="2">
        <v>72.599999999999994</v>
      </c>
      <c r="H2058" s="1">
        <f>_xlfn.XLOOKUP('Customer Info'!A567,'Customer Info'!A567:A666,'Customer Info'!E567:E666,0,0)</f>
        <v>0</v>
      </c>
      <c r="J2058" s="1">
        <f>_xlfn.XLOOKUP('Customer Info'!A567,'Customer Info'!A567:A666,'Customer Info'!M567:M666)</f>
        <v>0</v>
      </c>
    </row>
    <row r="2059" spans="1:10" ht="14" x14ac:dyDescent="0.2">
      <c r="A2059" s="2" t="s">
        <v>76</v>
      </c>
      <c r="B2059" s="2">
        <v>9</v>
      </c>
      <c r="C2059" s="2">
        <v>9</v>
      </c>
      <c r="D2059" s="2">
        <v>2021</v>
      </c>
      <c r="E2059" s="2">
        <v>51.3</v>
      </c>
      <c r="F2059" s="2">
        <v>72.599999999999994</v>
      </c>
      <c r="H2059" s="1">
        <f>_xlfn.XLOOKUP('Customer Info'!A1860,'Customer Info'!A1860:A1959,'Customer Info'!E1860:E1959,0,0)</f>
        <v>0</v>
      </c>
      <c r="J2059" s="1">
        <f>_xlfn.XLOOKUP('Customer Info'!A1860,'Customer Info'!A1860:A1959,'Customer Info'!M1860:M1959)</f>
        <v>0</v>
      </c>
    </row>
    <row r="2060" spans="1:10" ht="14" hidden="1" x14ac:dyDescent="0.2">
      <c r="A2060" s="2" t="s">
        <v>56</v>
      </c>
      <c r="B2060" s="2">
        <v>14</v>
      </c>
      <c r="C2060" s="2">
        <v>6</v>
      </c>
      <c r="D2060" s="2">
        <v>2020</v>
      </c>
      <c r="E2060" s="2">
        <v>39</v>
      </c>
      <c r="F2060" s="2">
        <v>72.599999999999994</v>
      </c>
      <c r="H2060" s="1">
        <f>_xlfn.XLOOKUP('Customer Info'!A742,'Customer Info'!A742:A841,'Customer Info'!E742:E841,0,0)</f>
        <v>0</v>
      </c>
      <c r="J2060" s="1">
        <f>_xlfn.XLOOKUP('Customer Info'!A742,'Customer Info'!A742:A841,'Customer Info'!M742:M841)</f>
        <v>0</v>
      </c>
    </row>
    <row r="2061" spans="1:10" ht="14" hidden="1" x14ac:dyDescent="0.2">
      <c r="A2061" s="2" t="s">
        <v>57</v>
      </c>
      <c r="B2061" s="2">
        <v>17</v>
      </c>
      <c r="C2061" s="2">
        <v>6</v>
      </c>
      <c r="D2061" s="2">
        <v>2020</v>
      </c>
      <c r="E2061" s="2">
        <v>30.6</v>
      </c>
      <c r="F2061" s="2">
        <v>72.599999999999994</v>
      </c>
      <c r="H2061" s="1">
        <f>_xlfn.XLOOKUP('Customer Info'!A816,'Customer Info'!A816:A915,'Customer Info'!E816:E915,0,0)</f>
        <v>0</v>
      </c>
      <c r="J2061" s="1">
        <f>_xlfn.XLOOKUP('Customer Info'!A816,'Customer Info'!A816:A915,'Customer Info'!M816:M915)</f>
        <v>0</v>
      </c>
    </row>
    <row r="2062" spans="1:10" ht="14" hidden="1" x14ac:dyDescent="0.2">
      <c r="A2062" s="2" t="s">
        <v>95</v>
      </c>
      <c r="B2062" s="2">
        <v>24</v>
      </c>
      <c r="C2062" s="2">
        <v>12</v>
      </c>
      <c r="D2062" s="2">
        <v>2020</v>
      </c>
      <c r="E2062" s="1" t="s">
        <v>94</v>
      </c>
      <c r="F2062" s="2">
        <v>72.540000000000006</v>
      </c>
      <c r="H2062" s="1">
        <f>_xlfn.XLOOKUP('Customer Info'!A132,'Customer Info'!A132:A231,'Customer Info'!E132:E231,0,0)</f>
        <v>0</v>
      </c>
      <c r="J2062" s="1">
        <f>_xlfn.XLOOKUP('Customer Info'!A132,'Customer Info'!A132:A231,'Customer Info'!M132:M231)</f>
        <v>0</v>
      </c>
    </row>
    <row r="2063" spans="1:10" ht="14" x14ac:dyDescent="0.2">
      <c r="A2063" s="2" t="s">
        <v>96</v>
      </c>
      <c r="B2063" s="2">
        <v>3</v>
      </c>
      <c r="C2063" s="2">
        <v>7</v>
      </c>
      <c r="D2063" s="2">
        <v>2021</v>
      </c>
      <c r="E2063" s="1" t="s">
        <v>94</v>
      </c>
      <c r="F2063" s="2">
        <v>72.540000000000006</v>
      </c>
      <c r="H2063" s="1">
        <f>_xlfn.XLOOKUP('Customer Info'!A1320,'Customer Info'!A1320:A1419,'Customer Info'!E1320:E1419,0,0)</f>
        <v>0</v>
      </c>
      <c r="J2063" s="1">
        <f>_xlfn.XLOOKUP('Customer Info'!A1320,'Customer Info'!A1320:A1419,'Customer Info'!M1320:M1419)</f>
        <v>0</v>
      </c>
    </row>
    <row r="2064" spans="1:10" ht="14" x14ac:dyDescent="0.2">
      <c r="A2064" s="2" t="s">
        <v>42</v>
      </c>
      <c r="B2064" s="2">
        <v>12</v>
      </c>
      <c r="C2064" s="2">
        <v>1</v>
      </c>
      <c r="D2064" s="2">
        <v>2021</v>
      </c>
      <c r="E2064" s="2">
        <v>94.86</v>
      </c>
      <c r="F2064" s="2">
        <v>72.540000000000006</v>
      </c>
      <c r="H2064" s="1">
        <f>_xlfn.XLOOKUP('Customer Info'!A1586,'Customer Info'!A1586:A1685,'Customer Info'!E1586:E1685,0,0)</f>
        <v>0</v>
      </c>
      <c r="J2064" s="1">
        <f>_xlfn.XLOOKUP('Customer Info'!A1586,'Customer Info'!A1586:A1685,'Customer Info'!M1586:M1685)</f>
        <v>0</v>
      </c>
    </row>
    <row r="2065" spans="1:10" ht="14" hidden="1" x14ac:dyDescent="0.2">
      <c r="A2065" s="2" t="s">
        <v>55</v>
      </c>
      <c r="B2065" s="2">
        <v>18</v>
      </c>
      <c r="C2065" s="2">
        <v>3</v>
      </c>
      <c r="D2065" s="2">
        <v>2020</v>
      </c>
      <c r="E2065" s="2">
        <v>70.06</v>
      </c>
      <c r="F2065" s="2">
        <v>72.540000000000006</v>
      </c>
      <c r="H2065" s="1">
        <f>_xlfn.XLOOKUP('Customer Info'!A505,'Customer Info'!A505:A604,'Customer Info'!E505:E604,0,0)</f>
        <v>0</v>
      </c>
      <c r="J2065" s="1">
        <f>_xlfn.XLOOKUP('Customer Info'!A505,'Customer Info'!A505:A604,'Customer Info'!M505:M604)</f>
        <v>0</v>
      </c>
    </row>
    <row r="2066" spans="1:10" ht="14" hidden="1" x14ac:dyDescent="0.2">
      <c r="A2066" s="2" t="s">
        <v>91</v>
      </c>
      <c r="B2066" s="2">
        <v>5</v>
      </c>
      <c r="C2066" s="2">
        <v>8</v>
      </c>
      <c r="D2066" s="2">
        <v>2020</v>
      </c>
      <c r="E2066" s="2">
        <v>60.14</v>
      </c>
      <c r="F2066" s="2">
        <v>72.540000000000006</v>
      </c>
      <c r="H2066" s="1">
        <f>_xlfn.XLOOKUP('Customer Info'!A584,'Customer Info'!A584:A683,'Customer Info'!E584:E683,0,0)</f>
        <v>0</v>
      </c>
      <c r="J2066" s="1">
        <f>_xlfn.XLOOKUP('Customer Info'!A584,'Customer Info'!A584:A683,'Customer Info'!M584:M683)</f>
        <v>0</v>
      </c>
    </row>
    <row r="2067" spans="1:10" ht="14" x14ac:dyDescent="0.2">
      <c r="A2067" s="2" t="s">
        <v>42</v>
      </c>
      <c r="B2067" s="2">
        <v>12</v>
      </c>
      <c r="C2067" s="2">
        <v>5</v>
      </c>
      <c r="D2067" s="2">
        <v>2021</v>
      </c>
      <c r="E2067" s="2">
        <v>38.130000000000003</v>
      </c>
      <c r="F2067" s="2">
        <v>72.540000000000006</v>
      </c>
      <c r="H2067" s="1">
        <f>_xlfn.XLOOKUP('Customer Info'!A1960,'Customer Info'!A1960:A2059,'Customer Info'!E1960:E2059,0,0)</f>
        <v>0</v>
      </c>
      <c r="J2067" s="1">
        <f>_xlfn.XLOOKUP('Customer Info'!A1960,'Customer Info'!A1960:A2059,'Customer Info'!M1960:M2059)</f>
        <v>0</v>
      </c>
    </row>
    <row r="2068" spans="1:10" ht="14" hidden="1" x14ac:dyDescent="0.2">
      <c r="A2068" s="2" t="s">
        <v>37</v>
      </c>
      <c r="B2068" s="2">
        <v>12</v>
      </c>
      <c r="C2068" s="2">
        <v>5</v>
      </c>
      <c r="D2068" s="2">
        <v>2020</v>
      </c>
      <c r="E2068" s="2">
        <v>36.270000000000003</v>
      </c>
      <c r="F2068" s="2">
        <v>72.540000000000006</v>
      </c>
      <c r="H2068" s="1">
        <f>_xlfn.XLOOKUP('Customer Info'!A776,'Customer Info'!A776:A875,'Customer Info'!E776:E875,0,0)</f>
        <v>0</v>
      </c>
      <c r="J2068" s="1">
        <f>_xlfn.XLOOKUP('Customer Info'!A776,'Customer Info'!A776:A875,'Customer Info'!M776:M875)</f>
        <v>0</v>
      </c>
    </row>
    <row r="2069" spans="1:10" ht="14" hidden="1" x14ac:dyDescent="0.2">
      <c r="A2069" s="2" t="s">
        <v>0</v>
      </c>
      <c r="B2069" s="2">
        <v>25</v>
      </c>
      <c r="C2069" s="2">
        <v>2</v>
      </c>
      <c r="D2069" s="2">
        <v>2020</v>
      </c>
      <c r="E2069" s="1" t="s">
        <v>94</v>
      </c>
      <c r="F2069" s="2">
        <v>72.52</v>
      </c>
      <c r="H2069" s="1">
        <f>_xlfn.XLOOKUP('Customer Info'!A133,'Customer Info'!A133:A232,'Customer Info'!E133:E232,0,0)</f>
        <v>0</v>
      </c>
      <c r="J2069" s="1">
        <f>_xlfn.XLOOKUP('Customer Info'!A133,'Customer Info'!A133:A232,'Customer Info'!M133:M232)</f>
        <v>0</v>
      </c>
    </row>
    <row r="2070" spans="1:10" ht="14" hidden="1" x14ac:dyDescent="0.2">
      <c r="A2070" s="2" t="s">
        <v>92</v>
      </c>
      <c r="B2070" s="2">
        <v>7</v>
      </c>
      <c r="C2070" s="2">
        <v>2</v>
      </c>
      <c r="D2070" s="2">
        <v>2020</v>
      </c>
      <c r="E2070" s="2">
        <v>143.63999999999999</v>
      </c>
      <c r="F2070" s="2">
        <v>72.52</v>
      </c>
      <c r="H2070" s="1">
        <f>_xlfn.XLOOKUP('Customer Info'!A157,'Customer Info'!A157:A256,'Customer Info'!E157:E256,0,0)</f>
        <v>0</v>
      </c>
      <c r="J2070" s="1">
        <f>_xlfn.XLOOKUP('Customer Info'!A157,'Customer Info'!A157:A256,'Customer Info'!M157:M256)</f>
        <v>0</v>
      </c>
    </row>
    <row r="2071" spans="1:10" ht="14" x14ac:dyDescent="0.2">
      <c r="A2071" s="2" t="s">
        <v>91</v>
      </c>
      <c r="B2071" s="2">
        <v>5</v>
      </c>
      <c r="C2071" s="2">
        <v>11</v>
      </c>
      <c r="D2071" s="2">
        <v>2021</v>
      </c>
      <c r="E2071" s="2">
        <v>142.5</v>
      </c>
      <c r="F2071" s="2">
        <v>72.3</v>
      </c>
      <c r="H2071" s="1">
        <f>_xlfn.XLOOKUP('Customer Info'!A1359,'Customer Info'!A1359:A1458,'Customer Info'!E1359:E1458,0,0)</f>
        <v>0</v>
      </c>
      <c r="J2071" s="1">
        <f>_xlfn.XLOOKUP('Customer Info'!A1359,'Customer Info'!A1359:A1458,'Customer Info'!M1359:M1458)</f>
        <v>0</v>
      </c>
    </row>
    <row r="2072" spans="1:10" ht="14" x14ac:dyDescent="0.2">
      <c r="A2072" s="2" t="s">
        <v>92</v>
      </c>
      <c r="B2072" s="2">
        <v>7</v>
      </c>
      <c r="C2072" s="2">
        <v>9</v>
      </c>
      <c r="D2072" s="2">
        <v>2021</v>
      </c>
      <c r="E2072" s="2">
        <v>77.400000000000006</v>
      </c>
      <c r="F2072" s="2">
        <v>72.3</v>
      </c>
      <c r="H2072" s="1">
        <f>_xlfn.XLOOKUP('Customer Info'!A1685,'Customer Info'!A1685:A1784,'Customer Info'!E1685:E1784,0,0)</f>
        <v>0</v>
      </c>
      <c r="J2072" s="1">
        <f>_xlfn.XLOOKUP('Customer Info'!A1685,'Customer Info'!A1685:A1784,'Customer Info'!M1685:M1784)</f>
        <v>0</v>
      </c>
    </row>
    <row r="2073" spans="1:10" ht="14" x14ac:dyDescent="0.2">
      <c r="A2073" s="2" t="s">
        <v>37</v>
      </c>
      <c r="B2073" s="2">
        <v>12</v>
      </c>
      <c r="C2073" s="2">
        <v>4</v>
      </c>
      <c r="D2073" s="2">
        <v>2021</v>
      </c>
      <c r="E2073" s="2">
        <v>51.9</v>
      </c>
      <c r="F2073" s="2">
        <v>72.3</v>
      </c>
      <c r="H2073" s="1">
        <f>_xlfn.XLOOKUP('Customer Info'!A1854,'Customer Info'!A1854:A1953,'Customer Info'!E1854:E1953,0,0)</f>
        <v>0</v>
      </c>
      <c r="J2073" s="1">
        <f>_xlfn.XLOOKUP('Customer Info'!A1854,'Customer Info'!A1854:A1953,'Customer Info'!M1854:M1953)</f>
        <v>0</v>
      </c>
    </row>
    <row r="2074" spans="1:10" ht="14" hidden="1" x14ac:dyDescent="0.2">
      <c r="A2074" s="2" t="s">
        <v>42</v>
      </c>
      <c r="B2074" s="2">
        <v>12</v>
      </c>
      <c r="C2074" s="2">
        <v>9</v>
      </c>
      <c r="D2074" s="2">
        <v>2020</v>
      </c>
      <c r="E2074" s="2">
        <v>39.6</v>
      </c>
      <c r="F2074" s="2">
        <v>72.3</v>
      </c>
      <c r="H2074" s="1">
        <f>_xlfn.XLOOKUP('Customer Info'!A737,'Customer Info'!A737:A836,'Customer Info'!E737:E836,0,0)</f>
        <v>0</v>
      </c>
      <c r="J2074" s="1">
        <f>_xlfn.XLOOKUP('Customer Info'!A737,'Customer Info'!A737:A836,'Customer Info'!M737:M836)</f>
        <v>0</v>
      </c>
    </row>
    <row r="2075" spans="1:10" ht="14" hidden="1" x14ac:dyDescent="0.2">
      <c r="A2075" s="2" t="s">
        <v>52</v>
      </c>
      <c r="B2075" s="2">
        <v>1</v>
      </c>
      <c r="C2075" s="2">
        <v>6</v>
      </c>
      <c r="D2075" s="2">
        <v>2020</v>
      </c>
      <c r="E2075" s="2">
        <v>33.6</v>
      </c>
      <c r="F2075" s="2">
        <v>72.3</v>
      </c>
      <c r="H2075" s="1">
        <f>_xlfn.XLOOKUP('Customer Info'!A796,'Customer Info'!A796:A895,'Customer Info'!E796:E895,0,0)</f>
        <v>0</v>
      </c>
      <c r="J2075" s="1">
        <f>_xlfn.XLOOKUP('Customer Info'!A796,'Customer Info'!A796:A895,'Customer Info'!M796:M895)</f>
        <v>0</v>
      </c>
    </row>
    <row r="2076" spans="1:10" ht="14" hidden="1" x14ac:dyDescent="0.2">
      <c r="A2076" s="2" t="s">
        <v>95</v>
      </c>
      <c r="B2076" s="2">
        <v>24</v>
      </c>
      <c r="C2076" s="2">
        <v>10</v>
      </c>
      <c r="D2076" s="2">
        <v>2020</v>
      </c>
      <c r="E2076" s="1" t="s">
        <v>94</v>
      </c>
      <c r="F2076" s="2">
        <v>72.23</v>
      </c>
      <c r="H2076" s="1">
        <f>_xlfn.XLOOKUP('Customer Info'!A134,'Customer Info'!A134:A233,'Customer Info'!E134:E233,0,0)</f>
        <v>0</v>
      </c>
      <c r="J2076" s="1">
        <f>_xlfn.XLOOKUP('Customer Info'!A134,'Customer Info'!A134:A233,'Customer Info'!M134:M233)</f>
        <v>0</v>
      </c>
    </row>
    <row r="2077" spans="1:10" ht="14" x14ac:dyDescent="0.2">
      <c r="A2077" s="2" t="s">
        <v>55</v>
      </c>
      <c r="B2077" s="2">
        <v>18</v>
      </c>
      <c r="C2077" s="2">
        <v>12</v>
      </c>
      <c r="D2077" s="2">
        <v>2021</v>
      </c>
      <c r="E2077" s="2">
        <v>137.63999999999999</v>
      </c>
      <c r="F2077" s="2">
        <v>72.23</v>
      </c>
      <c r="H2077" s="1">
        <f>_xlfn.XLOOKUP('Customer Info'!A1369,'Customer Info'!A1369:A1468,'Customer Info'!E1369:E1468,0,0)</f>
        <v>0</v>
      </c>
      <c r="J2077" s="1">
        <f>_xlfn.XLOOKUP('Customer Info'!A1369,'Customer Info'!A1369:A1468,'Customer Info'!M1369:M1468)</f>
        <v>0</v>
      </c>
    </row>
    <row r="2078" spans="1:10" ht="14" x14ac:dyDescent="0.2">
      <c r="A2078" s="2" t="s">
        <v>40</v>
      </c>
      <c r="B2078" s="2">
        <v>15</v>
      </c>
      <c r="C2078" s="2">
        <v>12</v>
      </c>
      <c r="D2078" s="2">
        <v>2021</v>
      </c>
      <c r="E2078" s="2">
        <v>99.2</v>
      </c>
      <c r="F2078" s="2">
        <v>72.23</v>
      </c>
      <c r="H2078" s="1">
        <f>_xlfn.XLOOKUP('Customer Info'!A1559,'Customer Info'!A1559:A1658,'Customer Info'!E1559:E1658,0,0)</f>
        <v>0</v>
      </c>
      <c r="J2078" s="1">
        <f>_xlfn.XLOOKUP('Customer Info'!A1559,'Customer Info'!A1559:A1658,'Customer Info'!M1559:M1658)</f>
        <v>0</v>
      </c>
    </row>
    <row r="2079" spans="1:10" ht="14" hidden="1" x14ac:dyDescent="0.2">
      <c r="A2079" s="2" t="s">
        <v>56</v>
      </c>
      <c r="B2079" s="2">
        <v>14</v>
      </c>
      <c r="C2079" s="2">
        <v>1</v>
      </c>
      <c r="D2079" s="2">
        <v>2020</v>
      </c>
      <c r="E2079" s="2">
        <v>95.48</v>
      </c>
      <c r="F2079" s="2">
        <v>72.23</v>
      </c>
      <c r="H2079" s="1">
        <f>_xlfn.XLOOKUP('Customer Info'!A363,'Customer Info'!A363:A462,'Customer Info'!E363:E462,0,0)</f>
        <v>0</v>
      </c>
      <c r="J2079" s="1">
        <f>_xlfn.XLOOKUP('Customer Info'!A363,'Customer Info'!A363:A462,'Customer Info'!M363:M462)</f>
        <v>0</v>
      </c>
    </row>
    <row r="2080" spans="1:10" ht="14" hidden="1" x14ac:dyDescent="0.2">
      <c r="A2080" s="2" t="s">
        <v>59</v>
      </c>
      <c r="B2080" s="2">
        <v>11</v>
      </c>
      <c r="C2080" s="2">
        <v>3</v>
      </c>
      <c r="D2080" s="2">
        <v>2020</v>
      </c>
      <c r="E2080" s="2">
        <v>64.790000000000006</v>
      </c>
      <c r="F2080" s="2">
        <v>72.23</v>
      </c>
      <c r="H2080" s="1">
        <f>_xlfn.XLOOKUP('Customer Info'!A550,'Customer Info'!A550:A649,'Customer Info'!E550:E649,0,0)</f>
        <v>0</v>
      </c>
      <c r="J2080" s="1">
        <f>_xlfn.XLOOKUP('Customer Info'!A550,'Customer Info'!A550:A649,'Customer Info'!M550:M649)</f>
        <v>0</v>
      </c>
    </row>
    <row r="2081" spans="1:10" ht="14" x14ac:dyDescent="0.2">
      <c r="A2081" s="2" t="s">
        <v>40</v>
      </c>
      <c r="B2081" s="2">
        <v>15</v>
      </c>
      <c r="C2081" s="2">
        <v>10</v>
      </c>
      <c r="D2081" s="2">
        <v>2021</v>
      </c>
      <c r="E2081" s="2">
        <v>64.48</v>
      </c>
      <c r="F2081" s="2">
        <v>72.23</v>
      </c>
      <c r="H2081" s="1">
        <f>_xlfn.XLOOKUP('Customer Info'!A1772,'Customer Info'!A1772:A1871,'Customer Info'!E1772:E1871,0,0)</f>
        <v>0</v>
      </c>
      <c r="J2081" s="1">
        <f>_xlfn.XLOOKUP('Customer Info'!A1772,'Customer Info'!A1772:A1871,'Customer Info'!M1772:M1871)</f>
        <v>0</v>
      </c>
    </row>
    <row r="2082" spans="1:10" ht="14" hidden="1" x14ac:dyDescent="0.2">
      <c r="A2082" s="2" t="s">
        <v>78</v>
      </c>
      <c r="B2082" s="2">
        <v>18</v>
      </c>
      <c r="C2082" s="2">
        <v>7</v>
      </c>
      <c r="D2082" s="2">
        <v>2020</v>
      </c>
      <c r="E2082" s="2">
        <v>44.33</v>
      </c>
      <c r="F2082" s="2">
        <v>72.23</v>
      </c>
      <c r="H2082" s="1">
        <f>_xlfn.XLOOKUP('Customer Info'!A693,'Customer Info'!A693:A792,'Customer Info'!E693:E792,0,0)</f>
        <v>0</v>
      </c>
      <c r="J2082" s="1">
        <f>_xlfn.XLOOKUP('Customer Info'!A693,'Customer Info'!A693:A792,'Customer Info'!M693:M792)</f>
        <v>0</v>
      </c>
    </row>
    <row r="2083" spans="1:10" ht="14" hidden="1" x14ac:dyDescent="0.2">
      <c r="A2083" s="2" t="s">
        <v>48</v>
      </c>
      <c r="B2083" s="2">
        <v>24</v>
      </c>
      <c r="C2083" s="2">
        <v>11</v>
      </c>
      <c r="D2083" s="2">
        <v>2020</v>
      </c>
      <c r="E2083" s="2">
        <v>104.4</v>
      </c>
      <c r="F2083" s="2">
        <v>72</v>
      </c>
      <c r="H2083" s="1">
        <f>_xlfn.XLOOKUP('Customer Info'!A299,'Customer Info'!A299:A398,'Customer Info'!E299:E398,0,0)</f>
        <v>0</v>
      </c>
      <c r="J2083" s="1">
        <f>_xlfn.XLOOKUP('Customer Info'!A299,'Customer Info'!A299:A398,'Customer Info'!M299:M398)</f>
        <v>0</v>
      </c>
    </row>
    <row r="2084" spans="1:10" ht="14" hidden="1" x14ac:dyDescent="0.2">
      <c r="A2084" s="2" t="s">
        <v>47</v>
      </c>
      <c r="B2084" s="2">
        <v>19</v>
      </c>
      <c r="C2084" s="2">
        <v>4</v>
      </c>
      <c r="D2084" s="2">
        <v>2020</v>
      </c>
      <c r="E2084" s="2">
        <v>62.1</v>
      </c>
      <c r="F2084" s="2">
        <v>72</v>
      </c>
      <c r="H2084" s="1">
        <f>_xlfn.XLOOKUP('Customer Info'!A571,'Customer Info'!A571:A670,'Customer Info'!E571:E670,0,0)</f>
        <v>0</v>
      </c>
      <c r="J2084" s="1">
        <f>_xlfn.XLOOKUP('Customer Info'!A571,'Customer Info'!A571:A670,'Customer Info'!M571:M670)</f>
        <v>0</v>
      </c>
    </row>
    <row r="2085" spans="1:10" ht="14" hidden="1" x14ac:dyDescent="0.2">
      <c r="A2085" s="2" t="s">
        <v>39</v>
      </c>
      <c r="B2085" s="2">
        <v>22</v>
      </c>
      <c r="C2085" s="2">
        <v>2</v>
      </c>
      <c r="D2085" s="2">
        <v>2020</v>
      </c>
      <c r="E2085" s="2">
        <v>80.08</v>
      </c>
      <c r="F2085" s="2">
        <v>71.959999999999994</v>
      </c>
      <c r="H2085" s="1">
        <f>_xlfn.XLOOKUP('Customer Info'!A440,'Customer Info'!A440:A539,'Customer Info'!E440:E539,0,0)</f>
        <v>0</v>
      </c>
      <c r="J2085" s="1">
        <f>_xlfn.XLOOKUP('Customer Info'!A440,'Customer Info'!A440:A539,'Customer Info'!M440:M539)</f>
        <v>0</v>
      </c>
    </row>
    <row r="2086" spans="1:10" ht="14" x14ac:dyDescent="0.2">
      <c r="A2086" s="2" t="s">
        <v>95</v>
      </c>
      <c r="B2086" s="2">
        <v>24</v>
      </c>
      <c r="C2086" s="2">
        <v>10</v>
      </c>
      <c r="D2086" s="2">
        <v>2021</v>
      </c>
      <c r="E2086" s="1" t="s">
        <v>94</v>
      </c>
      <c r="F2086" s="2">
        <v>71.92</v>
      </c>
      <c r="H2086" s="1">
        <f>_xlfn.XLOOKUP('Customer Info'!A1321,'Customer Info'!A1321:A1420,'Customer Info'!E1321:E1420,0,0)</f>
        <v>0</v>
      </c>
      <c r="J2086" s="1">
        <f>_xlfn.XLOOKUP('Customer Info'!A1321,'Customer Info'!A1321:A1420,'Customer Info'!M1321:M1420)</f>
        <v>0</v>
      </c>
    </row>
    <row r="2087" spans="1:10" ht="14" hidden="1" x14ac:dyDescent="0.2">
      <c r="A2087" s="2" t="s">
        <v>75</v>
      </c>
      <c r="B2087" s="2">
        <v>2</v>
      </c>
      <c r="C2087" s="2">
        <v>12</v>
      </c>
      <c r="D2087" s="2">
        <v>2020</v>
      </c>
      <c r="E2087" s="2">
        <v>119.97</v>
      </c>
      <c r="F2087" s="2">
        <v>71.92</v>
      </c>
      <c r="H2087" s="1">
        <f>_xlfn.XLOOKUP('Customer Info'!A208,'Customer Info'!A208:A307,'Customer Info'!E208:E307,0,0)</f>
        <v>0</v>
      </c>
      <c r="J2087" s="1">
        <f>_xlfn.XLOOKUP('Customer Info'!A208,'Customer Info'!A208:A307,'Customer Info'!M208:M307)</f>
        <v>0</v>
      </c>
    </row>
    <row r="2088" spans="1:10" ht="14" hidden="1" x14ac:dyDescent="0.2">
      <c r="A2088" s="2" t="s">
        <v>62</v>
      </c>
      <c r="B2088" s="2">
        <v>1</v>
      </c>
      <c r="C2088" s="2">
        <v>10</v>
      </c>
      <c r="D2088" s="2">
        <v>2020</v>
      </c>
      <c r="E2088" s="2">
        <v>80.290000000000006</v>
      </c>
      <c r="F2088" s="2">
        <v>71.92</v>
      </c>
      <c r="H2088" s="1">
        <f>_xlfn.XLOOKUP('Customer Info'!A438,'Customer Info'!A438:A537,'Customer Info'!E438:E537,0,0)</f>
        <v>0</v>
      </c>
      <c r="J2088" s="1">
        <f>_xlfn.XLOOKUP('Customer Info'!A438,'Customer Info'!A438:A537,'Customer Info'!M438:M537)</f>
        <v>0</v>
      </c>
    </row>
    <row r="2089" spans="1:10" ht="14" hidden="1" x14ac:dyDescent="0.2">
      <c r="A2089" s="2" t="s">
        <v>60</v>
      </c>
      <c r="B2089" s="2">
        <v>20</v>
      </c>
      <c r="C2089" s="2">
        <v>10</v>
      </c>
      <c r="D2089" s="2">
        <v>2020</v>
      </c>
      <c r="E2089" s="2">
        <v>70.37</v>
      </c>
      <c r="F2089" s="2">
        <v>71.92</v>
      </c>
      <c r="H2089" s="1">
        <f>_xlfn.XLOOKUP('Customer Info'!A504,'Customer Info'!A504:A603,'Customer Info'!E504:E603,0,0)</f>
        <v>0</v>
      </c>
      <c r="J2089" s="1">
        <f>_xlfn.XLOOKUP('Customer Info'!A504,'Customer Info'!A504:A603,'Customer Info'!M504:M603)</f>
        <v>0</v>
      </c>
    </row>
    <row r="2090" spans="1:10" ht="14" hidden="1" x14ac:dyDescent="0.2">
      <c r="A2090" s="2" t="s">
        <v>89</v>
      </c>
      <c r="B2090" s="2">
        <v>2</v>
      </c>
      <c r="C2090" s="2">
        <v>7</v>
      </c>
      <c r="D2090" s="2">
        <v>2020</v>
      </c>
      <c r="E2090" s="2">
        <v>57.35</v>
      </c>
      <c r="F2090" s="2">
        <v>71.92</v>
      </c>
      <c r="H2090" s="1">
        <f>_xlfn.XLOOKUP('Customer Info'!A602,'Customer Info'!A602:A701,'Customer Info'!E602:E701,0,0)</f>
        <v>0</v>
      </c>
      <c r="J2090" s="1">
        <f>_xlfn.XLOOKUP('Customer Info'!A602,'Customer Info'!A602:A701,'Customer Info'!M602:M701)</f>
        <v>0</v>
      </c>
    </row>
    <row r="2091" spans="1:10" ht="14" hidden="1" x14ac:dyDescent="0.2">
      <c r="A2091" s="2" t="s">
        <v>38</v>
      </c>
      <c r="B2091" s="2">
        <v>21</v>
      </c>
      <c r="C2091" s="2">
        <v>10</v>
      </c>
      <c r="D2091" s="2">
        <v>2020</v>
      </c>
      <c r="E2091" s="2">
        <v>51.77</v>
      </c>
      <c r="F2091" s="2">
        <v>71.92</v>
      </c>
      <c r="H2091" s="1">
        <f>_xlfn.XLOOKUP('Customer Info'!A632,'Customer Info'!A632:A731,'Customer Info'!E632:E731,0,0)</f>
        <v>0</v>
      </c>
      <c r="J2091" s="1">
        <f>_xlfn.XLOOKUP('Customer Info'!A632,'Customer Info'!A632:A731,'Customer Info'!M632:M731)</f>
        <v>0</v>
      </c>
    </row>
    <row r="2092" spans="1:10" ht="14" hidden="1" x14ac:dyDescent="0.2">
      <c r="A2092" s="2" t="s">
        <v>67</v>
      </c>
      <c r="B2092" s="2">
        <v>13</v>
      </c>
      <c r="C2092" s="2">
        <v>8</v>
      </c>
      <c r="D2092" s="2">
        <v>2020</v>
      </c>
      <c r="E2092" s="2">
        <v>38.130000000000003</v>
      </c>
      <c r="F2092" s="2">
        <v>71.92</v>
      </c>
      <c r="H2092" s="1">
        <f>_xlfn.XLOOKUP('Customer Info'!A751,'Customer Info'!A751:A850,'Customer Info'!E751:E850,0,0)</f>
        <v>0</v>
      </c>
      <c r="J2092" s="1">
        <f>_xlfn.XLOOKUP('Customer Info'!A751,'Customer Info'!A751:A850,'Customer Info'!M751:M850)</f>
        <v>0</v>
      </c>
    </row>
    <row r="2093" spans="1:10" ht="14" hidden="1" x14ac:dyDescent="0.2">
      <c r="A2093" s="2" t="s">
        <v>33</v>
      </c>
      <c r="B2093" s="2">
        <v>21</v>
      </c>
      <c r="C2093" s="2">
        <v>8</v>
      </c>
      <c r="D2093" s="2">
        <v>2020</v>
      </c>
      <c r="E2093" s="2">
        <v>9.92</v>
      </c>
      <c r="F2093" s="2">
        <v>71.92</v>
      </c>
      <c r="H2093" s="1">
        <f>_xlfn.XLOOKUP('Customer Info'!A876,'Customer Info'!A876:A975,'Customer Info'!E876:E975,0,0)</f>
        <v>0</v>
      </c>
      <c r="J2093" s="1">
        <f>_xlfn.XLOOKUP('Customer Info'!A876,'Customer Info'!A876:A975,'Customer Info'!M876:M975)</f>
        <v>0</v>
      </c>
    </row>
    <row r="2094" spans="1:10" ht="14" x14ac:dyDescent="0.2">
      <c r="A2094" s="2" t="s">
        <v>96</v>
      </c>
      <c r="B2094" s="2">
        <v>3</v>
      </c>
      <c r="C2094" s="2">
        <v>6</v>
      </c>
      <c r="D2094" s="2">
        <v>2021</v>
      </c>
      <c r="E2094" s="1" t="s">
        <v>94</v>
      </c>
      <c r="F2094" s="2">
        <v>71.7</v>
      </c>
      <c r="H2094" s="1">
        <f>_xlfn.XLOOKUP('Customer Info'!A1322,'Customer Info'!A1322:A1421,'Customer Info'!E1322:E1421,0,0)</f>
        <v>0</v>
      </c>
      <c r="J2094" s="1">
        <f>_xlfn.XLOOKUP('Customer Info'!A1322,'Customer Info'!A1322:A1421,'Customer Info'!M1322:M1421)</f>
        <v>0</v>
      </c>
    </row>
    <row r="2095" spans="1:10" ht="14" hidden="1" x14ac:dyDescent="0.2">
      <c r="A2095" s="2" t="s">
        <v>46</v>
      </c>
      <c r="B2095" s="2">
        <v>9</v>
      </c>
      <c r="C2095" s="2">
        <v>9</v>
      </c>
      <c r="D2095" s="2">
        <v>2020</v>
      </c>
      <c r="E2095" s="2">
        <v>39.6</v>
      </c>
      <c r="F2095" s="2">
        <v>71.7</v>
      </c>
      <c r="H2095" s="1">
        <f>_xlfn.XLOOKUP('Customer Info'!A738,'Customer Info'!A738:A837,'Customer Info'!E738:E837,0,0)</f>
        <v>0</v>
      </c>
      <c r="J2095" s="1">
        <f>_xlfn.XLOOKUP('Customer Info'!A738,'Customer Info'!A738:A837,'Customer Info'!M738:M837)</f>
        <v>0</v>
      </c>
    </row>
    <row r="2096" spans="1:10" ht="14" x14ac:dyDescent="0.2">
      <c r="A2096" s="2" t="s">
        <v>50</v>
      </c>
      <c r="B2096" s="2">
        <v>24</v>
      </c>
      <c r="C2096" s="2">
        <v>6</v>
      </c>
      <c r="D2096" s="2">
        <v>2021</v>
      </c>
      <c r="E2096" s="2">
        <v>33.6</v>
      </c>
      <c r="F2096" s="2">
        <v>71.7</v>
      </c>
      <c r="H2096" s="1">
        <f>_xlfn.XLOOKUP('Customer Info'!A1998,'Customer Info'!A1998:A2097,'Customer Info'!E1998:E2097,0,0)</f>
        <v>0</v>
      </c>
      <c r="J2096" s="1">
        <f>_xlfn.XLOOKUP('Customer Info'!A1998,'Customer Info'!A1998:A2097,'Customer Info'!M1998:M2097)</f>
        <v>0</v>
      </c>
    </row>
    <row r="2097" spans="1:10" ht="14" x14ac:dyDescent="0.2">
      <c r="A2097" s="2" t="s">
        <v>50</v>
      </c>
      <c r="B2097" s="2">
        <v>24</v>
      </c>
      <c r="C2097" s="2">
        <v>9</v>
      </c>
      <c r="D2097" s="2">
        <v>2021</v>
      </c>
      <c r="E2097" s="2">
        <v>33.299999999999997</v>
      </c>
      <c r="F2097" s="2">
        <v>71.7</v>
      </c>
      <c r="H2097" s="1">
        <f>_xlfn.XLOOKUP('Customer Info'!A2000,'Customer Info'!A2000:A2099,'Customer Info'!E2000:E2099,0,0)</f>
        <v>0</v>
      </c>
      <c r="J2097" s="1">
        <f>_xlfn.XLOOKUP('Customer Info'!A2000,'Customer Info'!A2000:A2099,'Customer Info'!M2000:M2099)</f>
        <v>0</v>
      </c>
    </row>
    <row r="2098" spans="1:10" ht="14" x14ac:dyDescent="0.2">
      <c r="A2098" s="2" t="s">
        <v>45</v>
      </c>
      <c r="B2098" s="2">
        <v>18</v>
      </c>
      <c r="C2098" s="2">
        <v>2</v>
      </c>
      <c r="D2098" s="2">
        <v>2021</v>
      </c>
      <c r="E2098" s="2">
        <v>103.6</v>
      </c>
      <c r="F2098" s="2">
        <v>71.680000000000007</v>
      </c>
      <c r="H2098" s="1">
        <f>_xlfn.XLOOKUP('Customer Info'!A1534,'Customer Info'!A1534:A1633,'Customer Info'!E1534:E1633,0,0)</f>
        <v>0</v>
      </c>
      <c r="J2098" s="1">
        <f>_xlfn.XLOOKUP('Customer Info'!A1534,'Customer Info'!A1534:A1633,'Customer Info'!M1534:M1633)</f>
        <v>0</v>
      </c>
    </row>
    <row r="2099" spans="1:10" ht="14" x14ac:dyDescent="0.2">
      <c r="A2099" s="2" t="s">
        <v>58</v>
      </c>
      <c r="B2099" s="2">
        <v>16</v>
      </c>
      <c r="C2099" s="2">
        <v>2</v>
      </c>
      <c r="D2099" s="2">
        <v>2021</v>
      </c>
      <c r="E2099" s="2">
        <v>90.44</v>
      </c>
      <c r="F2099" s="2">
        <v>71.680000000000007</v>
      </c>
      <c r="H2099" s="1">
        <f>_xlfn.XLOOKUP('Customer Info'!A1612,'Customer Info'!A1612:A1711,'Customer Info'!E1612:E1711,0,0)</f>
        <v>0</v>
      </c>
      <c r="J2099" s="1">
        <f>_xlfn.XLOOKUP('Customer Info'!A1612,'Customer Info'!A1612:A1711,'Customer Info'!M1612:M1711)</f>
        <v>0</v>
      </c>
    </row>
    <row r="2100" spans="1:10" ht="14" x14ac:dyDescent="0.2">
      <c r="A2100" s="2" t="s">
        <v>62</v>
      </c>
      <c r="B2100" s="2">
        <v>1</v>
      </c>
      <c r="C2100" s="2">
        <v>12</v>
      </c>
      <c r="D2100" s="2">
        <v>2021</v>
      </c>
      <c r="E2100" s="2">
        <v>110.36</v>
      </c>
      <c r="F2100" s="2">
        <v>71.61</v>
      </c>
      <c r="H2100" s="1">
        <f>_xlfn.XLOOKUP('Customer Info'!A1495,'Customer Info'!A1495:A1594,'Customer Info'!E1495:E1594,0,0)</f>
        <v>0</v>
      </c>
      <c r="J2100" s="1">
        <f>_xlfn.XLOOKUP('Customer Info'!A1495,'Customer Info'!A1495:A1594,'Customer Info'!M1495:M1594)</f>
        <v>0</v>
      </c>
    </row>
    <row r="2101" spans="1:10" ht="14" hidden="1" x14ac:dyDescent="0.2">
      <c r="A2101" s="2" t="s">
        <v>33</v>
      </c>
      <c r="B2101" s="2">
        <v>21</v>
      </c>
      <c r="C2101" s="2">
        <v>10</v>
      </c>
      <c r="D2101" s="2">
        <v>2020</v>
      </c>
      <c r="E2101" s="2">
        <v>50.84</v>
      </c>
      <c r="F2101" s="2">
        <v>71.61</v>
      </c>
      <c r="H2101" s="1">
        <f>_xlfn.XLOOKUP('Customer Info'!A638,'Customer Info'!A638:A737,'Customer Info'!E638:E737,0,0)</f>
        <v>0</v>
      </c>
      <c r="J2101" s="1">
        <f>_xlfn.XLOOKUP('Customer Info'!A638,'Customer Info'!A638:A737,'Customer Info'!M638:M737)</f>
        <v>0</v>
      </c>
    </row>
    <row r="2102" spans="1:10" ht="14" hidden="1" x14ac:dyDescent="0.2">
      <c r="A2102" s="2" t="s">
        <v>82</v>
      </c>
      <c r="B2102" s="2">
        <v>8</v>
      </c>
      <c r="C2102" s="2">
        <v>5</v>
      </c>
      <c r="D2102" s="2">
        <v>2020</v>
      </c>
      <c r="E2102" s="2">
        <v>50.22</v>
      </c>
      <c r="F2102" s="2">
        <v>71.61</v>
      </c>
      <c r="H2102" s="1">
        <f>_xlfn.XLOOKUP('Customer Info'!A643,'Customer Info'!A643:A742,'Customer Info'!E643:E742,0,0)</f>
        <v>0</v>
      </c>
      <c r="J2102" s="1">
        <f>_xlfn.XLOOKUP('Customer Info'!A643,'Customer Info'!A643:A742,'Customer Info'!M643:M742)</f>
        <v>0</v>
      </c>
    </row>
    <row r="2103" spans="1:10" ht="14" x14ac:dyDescent="0.2">
      <c r="A2103" s="2" t="s">
        <v>46</v>
      </c>
      <c r="B2103" s="2">
        <v>9</v>
      </c>
      <c r="C2103" s="2">
        <v>8</v>
      </c>
      <c r="D2103" s="2">
        <v>2021</v>
      </c>
      <c r="E2103" s="2">
        <v>25.42</v>
      </c>
      <c r="F2103" s="2">
        <v>71.61</v>
      </c>
      <c r="H2103" s="1">
        <f>_xlfn.XLOOKUP('Customer Info'!A2050,'Customer Info'!A2050:A2149,'Customer Info'!E2050:E2149,0,0)</f>
        <v>0</v>
      </c>
      <c r="J2103" s="1">
        <f>_xlfn.XLOOKUP('Customer Info'!A2050,'Customer Info'!A2050:A2149,'Customer Info'!M2050:M2149)</f>
        <v>0</v>
      </c>
    </row>
    <row r="2104" spans="1:10" ht="14" x14ac:dyDescent="0.2">
      <c r="A2104" s="2" t="s">
        <v>42</v>
      </c>
      <c r="B2104" s="2">
        <v>12</v>
      </c>
      <c r="C2104" s="2">
        <v>11</v>
      </c>
      <c r="D2104" s="2">
        <v>2021</v>
      </c>
      <c r="E2104" s="2">
        <v>109.2</v>
      </c>
      <c r="F2104" s="2">
        <v>71.400000000000006</v>
      </c>
      <c r="H2104" s="1">
        <f>_xlfn.XLOOKUP('Customer Info'!A1504,'Customer Info'!A1504:A1603,'Customer Info'!E1504:E1603,0,0)</f>
        <v>0</v>
      </c>
      <c r="J2104" s="1">
        <f>_xlfn.XLOOKUP('Customer Info'!A1504,'Customer Info'!A1504:A1603,'Customer Info'!M1504:M1603)</f>
        <v>0</v>
      </c>
    </row>
    <row r="2105" spans="1:10" ht="14" x14ac:dyDescent="0.2">
      <c r="A2105" s="2" t="s">
        <v>51</v>
      </c>
      <c r="B2105" s="2">
        <v>16</v>
      </c>
      <c r="C2105" s="2">
        <v>11</v>
      </c>
      <c r="D2105" s="2">
        <v>2021</v>
      </c>
      <c r="E2105" s="2">
        <v>106.5</v>
      </c>
      <c r="F2105" s="2">
        <v>71.400000000000006</v>
      </c>
      <c r="H2105" s="1">
        <f>_xlfn.XLOOKUP('Customer Info'!A1518,'Customer Info'!A1518:A1617,'Customer Info'!E1518:E1617,0,0)</f>
        <v>0</v>
      </c>
      <c r="J2105" s="1">
        <f>_xlfn.XLOOKUP('Customer Info'!A1518,'Customer Info'!A1518:A1617,'Customer Info'!M1518:M1617)</f>
        <v>0</v>
      </c>
    </row>
    <row r="2106" spans="1:10" ht="14" hidden="1" x14ac:dyDescent="0.2">
      <c r="A2106" s="2" t="s">
        <v>51</v>
      </c>
      <c r="B2106" s="2">
        <v>16</v>
      </c>
      <c r="C2106" s="2">
        <v>11</v>
      </c>
      <c r="D2106" s="2">
        <v>2020</v>
      </c>
      <c r="E2106" s="2">
        <v>95.7</v>
      </c>
      <c r="F2106" s="2">
        <v>71.400000000000006</v>
      </c>
      <c r="H2106" s="1">
        <f>_xlfn.XLOOKUP('Customer Info'!A361,'Customer Info'!A361:A460,'Customer Info'!E361:E460,0,0)</f>
        <v>0</v>
      </c>
      <c r="J2106" s="1">
        <f>_xlfn.XLOOKUP('Customer Info'!A361,'Customer Info'!A361:A460,'Customer Info'!M361:M460)</f>
        <v>0</v>
      </c>
    </row>
    <row r="2107" spans="1:10" ht="14" x14ac:dyDescent="0.2">
      <c r="A2107" s="2" t="s">
        <v>49</v>
      </c>
      <c r="B2107" s="2">
        <v>3</v>
      </c>
      <c r="C2107" s="2">
        <v>2</v>
      </c>
      <c r="D2107" s="2">
        <v>2021</v>
      </c>
      <c r="E2107" s="2">
        <v>82.04</v>
      </c>
      <c r="F2107" s="2">
        <v>71.400000000000006</v>
      </c>
      <c r="H2107" s="1">
        <f>_xlfn.XLOOKUP('Customer Info'!A1653,'Customer Info'!A1653:A1752,'Customer Info'!E1653:E1752,0,0)</f>
        <v>0</v>
      </c>
      <c r="J2107" s="1">
        <f>_xlfn.XLOOKUP('Customer Info'!A1653,'Customer Info'!A1653:A1752,'Customer Info'!M1653:M1752)</f>
        <v>0</v>
      </c>
    </row>
    <row r="2108" spans="1:10" ht="14" hidden="1" x14ac:dyDescent="0.2">
      <c r="A2108" s="2" t="s">
        <v>37</v>
      </c>
      <c r="B2108" s="2">
        <v>12</v>
      </c>
      <c r="C2108" s="2">
        <v>2</v>
      </c>
      <c r="D2108" s="2">
        <v>2020</v>
      </c>
      <c r="E2108" s="2">
        <v>78.12</v>
      </c>
      <c r="F2108" s="2">
        <v>71.400000000000006</v>
      </c>
      <c r="H2108" s="1">
        <f>_xlfn.XLOOKUP('Customer Info'!A448,'Customer Info'!A448:A547,'Customer Info'!E448:E547,0,0)</f>
        <v>0</v>
      </c>
      <c r="J2108" s="1">
        <f>_xlfn.XLOOKUP('Customer Info'!A448,'Customer Info'!A448:A547,'Customer Info'!M448:M547)</f>
        <v>0</v>
      </c>
    </row>
    <row r="2109" spans="1:10" ht="14" hidden="1" x14ac:dyDescent="0.2">
      <c r="A2109" s="2" t="s">
        <v>75</v>
      </c>
      <c r="B2109" s="2">
        <v>2</v>
      </c>
      <c r="C2109" s="2">
        <v>4</v>
      </c>
      <c r="D2109" s="2">
        <v>2020</v>
      </c>
      <c r="E2109" s="2">
        <v>77.400000000000006</v>
      </c>
      <c r="F2109" s="2">
        <v>71.400000000000006</v>
      </c>
      <c r="H2109" s="1">
        <f>_xlfn.XLOOKUP('Customer Info'!A453,'Customer Info'!A453:A552,'Customer Info'!E453:E552,0,0)</f>
        <v>0</v>
      </c>
      <c r="J2109" s="1">
        <f>_xlfn.XLOOKUP('Customer Info'!A453,'Customer Info'!A453:A552,'Customer Info'!M453:M552)</f>
        <v>0</v>
      </c>
    </row>
    <row r="2110" spans="1:10" ht="14" hidden="1" x14ac:dyDescent="0.2">
      <c r="A2110" s="2" t="s">
        <v>67</v>
      </c>
      <c r="B2110" s="2">
        <v>13</v>
      </c>
      <c r="C2110" s="2">
        <v>6</v>
      </c>
      <c r="D2110" s="2">
        <v>2020</v>
      </c>
      <c r="E2110" s="2">
        <v>35.700000000000003</v>
      </c>
      <c r="F2110" s="2">
        <v>71.400000000000006</v>
      </c>
      <c r="H2110" s="1">
        <f>_xlfn.XLOOKUP('Customer Info'!A780,'Customer Info'!A780:A879,'Customer Info'!E780:E879,0,0)</f>
        <v>0</v>
      </c>
      <c r="J2110" s="1">
        <f>_xlfn.XLOOKUP('Customer Info'!A780,'Customer Info'!A780:A879,'Customer Info'!M780:M879)</f>
        <v>0</v>
      </c>
    </row>
    <row r="2111" spans="1:10" ht="14" hidden="1" x14ac:dyDescent="0.2">
      <c r="A2111" s="2" t="s">
        <v>46</v>
      </c>
      <c r="B2111" s="2">
        <v>9</v>
      </c>
      <c r="C2111" s="2">
        <v>1</v>
      </c>
      <c r="D2111" s="2">
        <v>2020</v>
      </c>
      <c r="E2111" s="2">
        <v>112.84</v>
      </c>
      <c r="F2111" s="2">
        <v>71.3</v>
      </c>
      <c r="H2111" s="1">
        <f>_xlfn.XLOOKUP('Customer Info'!A248,'Customer Info'!A248:A347,'Customer Info'!E248:E347,0,0)</f>
        <v>0</v>
      </c>
      <c r="J2111" s="1">
        <f>_xlfn.XLOOKUP('Customer Info'!A248,'Customer Info'!A248:A347,'Customer Info'!M248:M347)</f>
        <v>0</v>
      </c>
    </row>
    <row r="2112" spans="1:10" ht="14" hidden="1" x14ac:dyDescent="0.2">
      <c r="A2112" s="2" t="s">
        <v>38</v>
      </c>
      <c r="B2112" s="2">
        <v>21</v>
      </c>
      <c r="C2112" s="2">
        <v>3</v>
      </c>
      <c r="D2112" s="2">
        <v>2020</v>
      </c>
      <c r="E2112" s="2">
        <v>60.14</v>
      </c>
      <c r="F2112" s="2">
        <v>71.3</v>
      </c>
      <c r="H2112" s="1">
        <f>_xlfn.XLOOKUP('Customer Info'!A585,'Customer Info'!A585:A684,'Customer Info'!E585:E684,0,0)</f>
        <v>0</v>
      </c>
      <c r="J2112" s="1">
        <f>_xlfn.XLOOKUP('Customer Info'!A585,'Customer Info'!A585:A684,'Customer Info'!M585:M684)</f>
        <v>0</v>
      </c>
    </row>
    <row r="2113" spans="1:10" ht="14" x14ac:dyDescent="0.2">
      <c r="A2113" s="2" t="s">
        <v>37</v>
      </c>
      <c r="B2113" s="2">
        <v>12</v>
      </c>
      <c r="C2113" s="2">
        <v>10</v>
      </c>
      <c r="D2113" s="2">
        <v>2021</v>
      </c>
      <c r="E2113" s="2">
        <v>60.14</v>
      </c>
      <c r="F2113" s="2">
        <v>71.3</v>
      </c>
      <c r="H2113" s="1">
        <f>_xlfn.XLOOKUP('Customer Info'!A1804,'Customer Info'!A1804:A1903,'Customer Info'!E1804:E1903,0,0)</f>
        <v>0</v>
      </c>
      <c r="J2113" s="1">
        <f>_xlfn.XLOOKUP('Customer Info'!A1804,'Customer Info'!A1804:A1903,'Customer Info'!M1804:M1903)</f>
        <v>0</v>
      </c>
    </row>
    <row r="2114" spans="1:10" ht="14" x14ac:dyDescent="0.2">
      <c r="A2114" s="2" t="s">
        <v>96</v>
      </c>
      <c r="B2114" s="2">
        <v>3</v>
      </c>
      <c r="C2114" s="2">
        <v>4</v>
      </c>
      <c r="D2114" s="2">
        <v>2021</v>
      </c>
      <c r="E2114" s="1" t="s">
        <v>94</v>
      </c>
      <c r="F2114" s="2">
        <v>71.099999999999994</v>
      </c>
      <c r="H2114" s="1">
        <f>_xlfn.XLOOKUP('Customer Info'!A1323,'Customer Info'!A1323:A1422,'Customer Info'!E1323:E1422,0,0)</f>
        <v>0</v>
      </c>
      <c r="J2114" s="1">
        <f>_xlfn.XLOOKUP('Customer Info'!A1323,'Customer Info'!A1323:A1422,'Customer Info'!M1323:M1422)</f>
        <v>0</v>
      </c>
    </row>
    <row r="2115" spans="1:10" ht="14" x14ac:dyDescent="0.2">
      <c r="A2115" s="2" t="s">
        <v>0</v>
      </c>
      <c r="B2115" s="2">
        <v>25</v>
      </c>
      <c r="C2115" s="2">
        <v>9</v>
      </c>
      <c r="D2115" s="2">
        <v>2021</v>
      </c>
      <c r="E2115" s="1" t="s">
        <v>94</v>
      </c>
      <c r="F2115" s="2">
        <v>71.099999999999994</v>
      </c>
      <c r="H2115" s="1">
        <f>_xlfn.XLOOKUP('Customer Info'!A1324,'Customer Info'!A1324:A1423,'Customer Info'!E1324:E1423,0,0)</f>
        <v>0</v>
      </c>
      <c r="J2115" s="1">
        <f>_xlfn.XLOOKUP('Customer Info'!A1324,'Customer Info'!A1324:A1423,'Customer Info'!M1324:M1423)</f>
        <v>0</v>
      </c>
    </row>
    <row r="2116" spans="1:10" ht="14" x14ac:dyDescent="0.2">
      <c r="A2116" s="2" t="s">
        <v>93</v>
      </c>
      <c r="B2116" s="2">
        <v>3</v>
      </c>
      <c r="C2116" s="2">
        <v>11</v>
      </c>
      <c r="D2116" s="2">
        <v>2021</v>
      </c>
      <c r="E2116" s="2">
        <v>136.5</v>
      </c>
      <c r="F2116" s="2">
        <v>71.099999999999994</v>
      </c>
      <c r="H2116" s="1">
        <f>_xlfn.XLOOKUP('Customer Info'!A1373,'Customer Info'!A1373:A1472,'Customer Info'!E1373:E1472,0,0)</f>
        <v>0</v>
      </c>
      <c r="J2116" s="1">
        <f>_xlfn.XLOOKUP('Customer Info'!A1373,'Customer Info'!A1373:A1472,'Customer Info'!M1373:M1472)</f>
        <v>0</v>
      </c>
    </row>
    <row r="2117" spans="1:10" ht="14" hidden="1" x14ac:dyDescent="0.2">
      <c r="A2117" s="2" t="s">
        <v>85</v>
      </c>
      <c r="B2117" s="2">
        <v>3</v>
      </c>
      <c r="C2117" s="2">
        <v>11</v>
      </c>
      <c r="D2117" s="2">
        <v>2020</v>
      </c>
      <c r="E2117" s="2">
        <v>114.3</v>
      </c>
      <c r="F2117" s="2">
        <v>71.099999999999994</v>
      </c>
      <c r="H2117" s="1">
        <f>_xlfn.XLOOKUP('Customer Info'!A237,'Customer Info'!A237:A336,'Customer Info'!E237:E336,0,0)</f>
        <v>0</v>
      </c>
      <c r="J2117" s="1">
        <f>_xlfn.XLOOKUP('Customer Info'!A237,'Customer Info'!A237:A336,'Customer Info'!M237:M336)</f>
        <v>0</v>
      </c>
    </row>
    <row r="2118" spans="1:10" ht="14" hidden="1" x14ac:dyDescent="0.2">
      <c r="A2118" s="2" t="s">
        <v>62</v>
      </c>
      <c r="B2118" s="2">
        <v>1</v>
      </c>
      <c r="C2118" s="2">
        <v>9</v>
      </c>
      <c r="D2118" s="2">
        <v>2020</v>
      </c>
      <c r="E2118" s="2">
        <v>46.2</v>
      </c>
      <c r="F2118" s="2">
        <v>71.099999999999994</v>
      </c>
      <c r="H2118" s="1">
        <f>_xlfn.XLOOKUP('Customer Info'!A672,'Customer Info'!A672:A771,'Customer Info'!E672:E771,0,0)</f>
        <v>0</v>
      </c>
      <c r="J2118" s="1">
        <f>_xlfn.XLOOKUP('Customer Info'!A672,'Customer Info'!A672:A771,'Customer Info'!M672:M771)</f>
        <v>0</v>
      </c>
    </row>
    <row r="2119" spans="1:10" ht="14" hidden="1" x14ac:dyDescent="0.2">
      <c r="A2119" s="2" t="s">
        <v>51</v>
      </c>
      <c r="B2119" s="2">
        <v>16</v>
      </c>
      <c r="C2119" s="2">
        <v>1</v>
      </c>
      <c r="D2119" s="2">
        <v>2020</v>
      </c>
      <c r="E2119" s="2">
        <v>103.85</v>
      </c>
      <c r="F2119" s="2">
        <v>70.989999999999995</v>
      </c>
      <c r="H2119" s="1">
        <f>_xlfn.XLOOKUP('Customer Info'!A305,'Customer Info'!A305:A404,'Customer Info'!E305:E404,0,0)</f>
        <v>0</v>
      </c>
      <c r="J2119" s="1">
        <f>_xlfn.XLOOKUP('Customer Info'!A305,'Customer Info'!A305:A404,'Customer Info'!M305:M404)</f>
        <v>0</v>
      </c>
    </row>
    <row r="2120" spans="1:10" ht="14" hidden="1" x14ac:dyDescent="0.2">
      <c r="A2120" s="2" t="s">
        <v>34</v>
      </c>
      <c r="B2120" s="2">
        <v>4</v>
      </c>
      <c r="C2120" s="2">
        <v>1</v>
      </c>
      <c r="D2120" s="2">
        <v>2020</v>
      </c>
      <c r="E2120" s="2">
        <v>91.76</v>
      </c>
      <c r="F2120" s="2">
        <v>70.989999999999995</v>
      </c>
      <c r="H2120" s="1">
        <f>_xlfn.XLOOKUP('Customer Info'!A382,'Customer Info'!A382:A481,'Customer Info'!E382:E481,0,0)</f>
        <v>0</v>
      </c>
      <c r="J2120" s="1">
        <f>_xlfn.XLOOKUP('Customer Info'!A382,'Customer Info'!A382:A481,'Customer Info'!M382:M481)</f>
        <v>0</v>
      </c>
    </row>
    <row r="2121" spans="1:10" ht="14" hidden="1" x14ac:dyDescent="0.2">
      <c r="A2121" s="2" t="s">
        <v>62</v>
      </c>
      <c r="B2121" s="2">
        <v>1</v>
      </c>
      <c r="C2121" s="2">
        <v>3</v>
      </c>
      <c r="D2121" s="2">
        <v>2020</v>
      </c>
      <c r="E2121" s="2">
        <v>83.39</v>
      </c>
      <c r="F2121" s="2">
        <v>70.989999999999995</v>
      </c>
      <c r="H2121" s="1">
        <f>_xlfn.XLOOKUP('Customer Info'!A426,'Customer Info'!A426:A525,'Customer Info'!E426:E525,0,0)</f>
        <v>0</v>
      </c>
      <c r="J2121" s="1">
        <f>_xlfn.XLOOKUP('Customer Info'!A426,'Customer Info'!A426:A525,'Customer Info'!M426:M525)</f>
        <v>0</v>
      </c>
    </row>
    <row r="2122" spans="1:10" ht="14" hidden="1" x14ac:dyDescent="0.2">
      <c r="A2122" s="2" t="s">
        <v>75</v>
      </c>
      <c r="B2122" s="2">
        <v>2</v>
      </c>
      <c r="C2122" s="2">
        <v>5</v>
      </c>
      <c r="D2122" s="2">
        <v>2020</v>
      </c>
      <c r="E2122" s="2">
        <v>46.19</v>
      </c>
      <c r="F2122" s="2">
        <v>70.989999999999995</v>
      </c>
      <c r="H2122" s="1">
        <f>_xlfn.XLOOKUP('Customer Info'!A676,'Customer Info'!A676:A775,'Customer Info'!E676:E775,0,0)</f>
        <v>0</v>
      </c>
      <c r="J2122" s="1">
        <f>_xlfn.XLOOKUP('Customer Info'!A676,'Customer Info'!A676:A775,'Customer Info'!M676:M775)</f>
        <v>0</v>
      </c>
    </row>
    <row r="2123" spans="1:10" ht="14" hidden="1" x14ac:dyDescent="0.2">
      <c r="A2123" s="2" t="s">
        <v>45</v>
      </c>
      <c r="B2123" s="2">
        <v>18</v>
      </c>
      <c r="C2123" s="2">
        <v>5</v>
      </c>
      <c r="D2123" s="2">
        <v>2020</v>
      </c>
      <c r="E2123" s="2">
        <v>40.299999999999997</v>
      </c>
      <c r="F2123" s="2">
        <v>70.989999999999995</v>
      </c>
      <c r="H2123" s="1">
        <f>_xlfn.XLOOKUP('Customer Info'!A730,'Customer Info'!A730:A829,'Customer Info'!E730:E829,0,0)</f>
        <v>0</v>
      </c>
      <c r="J2123" s="1">
        <f>_xlfn.XLOOKUP('Customer Info'!A730,'Customer Info'!A730:A829,'Customer Info'!M730:M829)</f>
        <v>0</v>
      </c>
    </row>
    <row r="2124" spans="1:10" ht="14" hidden="1" x14ac:dyDescent="0.2">
      <c r="A2124" s="2" t="s">
        <v>76</v>
      </c>
      <c r="B2124" s="2">
        <v>9</v>
      </c>
      <c r="C2124" s="2">
        <v>7</v>
      </c>
      <c r="D2124" s="2">
        <v>2020</v>
      </c>
      <c r="E2124" s="2">
        <v>40.299999999999997</v>
      </c>
      <c r="F2124" s="2">
        <v>70.989999999999995</v>
      </c>
      <c r="H2124" s="1">
        <f>_xlfn.XLOOKUP('Customer Info'!A731,'Customer Info'!A731:A830,'Customer Info'!E731:E830,0,0)</f>
        <v>0</v>
      </c>
      <c r="J2124" s="1">
        <f>_xlfn.XLOOKUP('Customer Info'!A731,'Customer Info'!A731:A830,'Customer Info'!M731:M830)</f>
        <v>0</v>
      </c>
    </row>
    <row r="2125" spans="1:10" ht="14" hidden="1" x14ac:dyDescent="0.2">
      <c r="A2125" s="2" t="s">
        <v>50</v>
      </c>
      <c r="B2125" s="2">
        <v>24</v>
      </c>
      <c r="C2125" s="2">
        <v>5</v>
      </c>
      <c r="D2125" s="2">
        <v>2020</v>
      </c>
      <c r="E2125" s="2">
        <v>35.96</v>
      </c>
      <c r="F2125" s="2">
        <v>70.989999999999995</v>
      </c>
      <c r="H2125" s="1">
        <f>_xlfn.XLOOKUP('Customer Info'!A779,'Customer Info'!A779:A878,'Customer Info'!E779:E878,0,0)</f>
        <v>0</v>
      </c>
      <c r="J2125" s="1">
        <f>_xlfn.XLOOKUP('Customer Info'!A779,'Customer Info'!A779:A878,'Customer Info'!M779:M878)</f>
        <v>0</v>
      </c>
    </row>
    <row r="2126" spans="1:10" ht="14" hidden="1" x14ac:dyDescent="0.2">
      <c r="A2126" s="2" t="s">
        <v>95</v>
      </c>
      <c r="B2126" s="2">
        <v>24</v>
      </c>
      <c r="C2126" s="2">
        <v>11</v>
      </c>
      <c r="D2126" s="2">
        <v>2020</v>
      </c>
      <c r="E2126" s="1" t="s">
        <v>94</v>
      </c>
      <c r="F2126" s="2">
        <v>70.8</v>
      </c>
      <c r="H2126" s="1">
        <f>_xlfn.XLOOKUP('Customer Info'!A135,'Customer Info'!A135:A234,'Customer Info'!E135:E234,0,0)</f>
        <v>0</v>
      </c>
      <c r="J2126" s="1">
        <f>_xlfn.XLOOKUP('Customer Info'!A135,'Customer Info'!A135:A234,'Customer Info'!M135:M234)</f>
        <v>0</v>
      </c>
    </row>
    <row r="2127" spans="1:10" ht="14" x14ac:dyDescent="0.2">
      <c r="A2127" s="2" t="s">
        <v>57</v>
      </c>
      <c r="B2127" s="2">
        <v>17</v>
      </c>
      <c r="C2127" s="2">
        <v>4</v>
      </c>
      <c r="D2127" s="2">
        <v>2021</v>
      </c>
      <c r="E2127" s="2">
        <v>78.599999999999994</v>
      </c>
      <c r="F2127" s="2">
        <v>70.8</v>
      </c>
      <c r="H2127" s="1">
        <f>_xlfn.XLOOKUP('Customer Info'!A1675,'Customer Info'!A1675:A1774,'Customer Info'!E1675:E1774,0,0)</f>
        <v>0</v>
      </c>
      <c r="J2127" s="1">
        <f>_xlfn.XLOOKUP('Customer Info'!A1675,'Customer Info'!A1675:A1774,'Customer Info'!M1675:M1774)</f>
        <v>0</v>
      </c>
    </row>
    <row r="2128" spans="1:10" ht="14" x14ac:dyDescent="0.2">
      <c r="A2128" s="2" t="s">
        <v>45</v>
      </c>
      <c r="B2128" s="2">
        <v>18</v>
      </c>
      <c r="C2128" s="2">
        <v>4</v>
      </c>
      <c r="D2128" s="2">
        <v>2021</v>
      </c>
      <c r="E2128" s="2">
        <v>62.1</v>
      </c>
      <c r="F2128" s="2">
        <v>70.8</v>
      </c>
      <c r="H2128" s="1">
        <f>_xlfn.XLOOKUP('Customer Info'!A1794,'Customer Info'!A1794:A1893,'Customer Info'!E1794:E1893,0,0)</f>
        <v>0</v>
      </c>
      <c r="J2128" s="1">
        <f>_xlfn.XLOOKUP('Customer Info'!A1794,'Customer Info'!A1794:A1893,'Customer Info'!M1794:M1893)</f>
        <v>0</v>
      </c>
    </row>
    <row r="2129" spans="1:10" ht="14" hidden="1" x14ac:dyDescent="0.2">
      <c r="A2129" s="2" t="s">
        <v>80</v>
      </c>
      <c r="B2129" s="2">
        <v>12</v>
      </c>
      <c r="C2129" s="2">
        <v>9</v>
      </c>
      <c r="D2129" s="2">
        <v>2020</v>
      </c>
      <c r="E2129" s="2">
        <v>57.9</v>
      </c>
      <c r="F2129" s="2">
        <v>70.8</v>
      </c>
      <c r="H2129" s="1">
        <f>_xlfn.XLOOKUP('Customer Info'!A600,'Customer Info'!A600:A699,'Customer Info'!E600:E699,0,0)</f>
        <v>0</v>
      </c>
      <c r="J2129" s="1">
        <f>_xlfn.XLOOKUP('Customer Info'!A600,'Customer Info'!A600:A699,'Customer Info'!M600:M699)</f>
        <v>0</v>
      </c>
    </row>
    <row r="2130" spans="1:10" ht="14" x14ac:dyDescent="0.2">
      <c r="A2130" s="2" t="s">
        <v>40</v>
      </c>
      <c r="B2130" s="2">
        <v>15</v>
      </c>
      <c r="C2130" s="2">
        <v>6</v>
      </c>
      <c r="D2130" s="2">
        <v>2021</v>
      </c>
      <c r="E2130" s="2">
        <v>31.2</v>
      </c>
      <c r="F2130" s="2">
        <v>70.8</v>
      </c>
      <c r="H2130" s="1">
        <f>_xlfn.XLOOKUP('Customer Info'!A2017,'Customer Info'!A2017:A2116,'Customer Info'!E2017:E2116,0,0)</f>
        <v>0</v>
      </c>
      <c r="J2130" s="1">
        <f>_xlfn.XLOOKUP('Customer Info'!A2017,'Customer Info'!A2017:A2116,'Customer Info'!M2017:M2116)</f>
        <v>0</v>
      </c>
    </row>
    <row r="2131" spans="1:10" ht="14" x14ac:dyDescent="0.2">
      <c r="A2131" s="2" t="s">
        <v>95</v>
      </c>
      <c r="B2131" s="2">
        <v>24</v>
      </c>
      <c r="C2131" s="2">
        <v>7</v>
      </c>
      <c r="D2131" s="2">
        <v>2021</v>
      </c>
      <c r="E2131" s="1" t="s">
        <v>94</v>
      </c>
      <c r="F2131" s="2">
        <v>70.680000000000007</v>
      </c>
      <c r="H2131" s="1">
        <f>_xlfn.XLOOKUP('Customer Info'!A1325,'Customer Info'!A1325:A1424,'Customer Info'!E1325:E1424,0,0)</f>
        <v>0</v>
      </c>
      <c r="J2131" s="1">
        <f>_xlfn.XLOOKUP('Customer Info'!A1325,'Customer Info'!A1325:A1424,'Customer Info'!M1325:M1424)</f>
        <v>0</v>
      </c>
    </row>
    <row r="2132" spans="1:10" ht="14" x14ac:dyDescent="0.2">
      <c r="A2132" s="2" t="s">
        <v>0</v>
      </c>
      <c r="B2132" s="2">
        <v>25</v>
      </c>
      <c r="C2132" s="2">
        <v>8</v>
      </c>
      <c r="D2132" s="2">
        <v>2021</v>
      </c>
      <c r="E2132" s="1" t="s">
        <v>94</v>
      </c>
      <c r="F2132" s="2">
        <v>70.680000000000007</v>
      </c>
      <c r="H2132" s="1">
        <f>_xlfn.XLOOKUP('Customer Info'!A1326,'Customer Info'!A1326:A1425,'Customer Info'!E1326:E1425,0,0)</f>
        <v>0</v>
      </c>
      <c r="J2132" s="1">
        <f>_xlfn.XLOOKUP('Customer Info'!A1326,'Customer Info'!A1326:A1425,'Customer Info'!M1326:M1425)</f>
        <v>0</v>
      </c>
    </row>
    <row r="2133" spans="1:10" ht="14" hidden="1" x14ac:dyDescent="0.2">
      <c r="A2133" s="2" t="s">
        <v>42</v>
      </c>
      <c r="B2133" s="2">
        <v>12</v>
      </c>
      <c r="C2133" s="2">
        <v>10</v>
      </c>
      <c r="D2133" s="2">
        <v>2020</v>
      </c>
      <c r="E2133" s="2">
        <v>59.52</v>
      </c>
      <c r="F2133" s="2">
        <v>70.680000000000007</v>
      </c>
      <c r="H2133" s="1">
        <f>_xlfn.XLOOKUP('Customer Info'!A588,'Customer Info'!A588:A687,'Customer Info'!E588:E687,0,0)</f>
        <v>0</v>
      </c>
      <c r="J2133" s="1">
        <f>_xlfn.XLOOKUP('Customer Info'!A588,'Customer Info'!A588:A687,'Customer Info'!M588:M687)</f>
        <v>0</v>
      </c>
    </row>
    <row r="2134" spans="1:10" ht="14" hidden="1" x14ac:dyDescent="0.2">
      <c r="A2134" s="2" t="s">
        <v>62</v>
      </c>
      <c r="B2134" s="2">
        <v>1</v>
      </c>
      <c r="C2134" s="2">
        <v>7</v>
      </c>
      <c r="D2134" s="2">
        <v>2020</v>
      </c>
      <c r="E2134" s="2">
        <v>37.51</v>
      </c>
      <c r="F2134" s="2">
        <v>70.680000000000007</v>
      </c>
      <c r="H2134" s="1">
        <f>_xlfn.XLOOKUP('Customer Info'!A758,'Customer Info'!A758:A857,'Customer Info'!E758:E857,0,0)</f>
        <v>0</v>
      </c>
      <c r="J2134" s="1">
        <f>_xlfn.XLOOKUP('Customer Info'!A758,'Customer Info'!A758:A857,'Customer Info'!M758:M857)</f>
        <v>0</v>
      </c>
    </row>
    <row r="2135" spans="1:10" ht="14" x14ac:dyDescent="0.2">
      <c r="A2135" s="2" t="s">
        <v>48</v>
      </c>
      <c r="B2135" s="2">
        <v>24</v>
      </c>
      <c r="C2135" s="2">
        <v>5</v>
      </c>
      <c r="D2135" s="2">
        <v>2021</v>
      </c>
      <c r="E2135" s="2">
        <v>35.340000000000003</v>
      </c>
      <c r="F2135" s="2">
        <v>70.680000000000007</v>
      </c>
      <c r="H2135" s="1">
        <f>_xlfn.XLOOKUP('Customer Info'!A1987,'Customer Info'!A1987:A2086,'Customer Info'!E1987:E2086,0,0)</f>
        <v>0</v>
      </c>
      <c r="J2135" s="1">
        <f>_xlfn.XLOOKUP('Customer Info'!A1987,'Customer Info'!A1987:A2086,'Customer Info'!M1987:M2086)</f>
        <v>0</v>
      </c>
    </row>
    <row r="2136" spans="1:10" ht="14" hidden="1" x14ac:dyDescent="0.2">
      <c r="A2136" s="2" t="s">
        <v>33</v>
      </c>
      <c r="B2136" s="2">
        <v>21</v>
      </c>
      <c r="C2136" s="2">
        <v>7</v>
      </c>
      <c r="D2136" s="2">
        <v>2020</v>
      </c>
      <c r="E2136" s="2">
        <v>18.600000000000001</v>
      </c>
      <c r="F2136" s="2">
        <v>70.680000000000007</v>
      </c>
      <c r="H2136" s="1">
        <f>_xlfn.XLOOKUP('Customer Info'!A872,'Customer Info'!A872:A971,'Customer Info'!E872:E971,0,0)</f>
        <v>0</v>
      </c>
      <c r="J2136" s="1">
        <f>_xlfn.XLOOKUP('Customer Info'!A872,'Customer Info'!A872:A971,'Customer Info'!M872:M971)</f>
        <v>0</v>
      </c>
    </row>
    <row r="2137" spans="1:10" ht="14" x14ac:dyDescent="0.2">
      <c r="A2137" s="2" t="s">
        <v>42</v>
      </c>
      <c r="B2137" s="2">
        <v>12</v>
      </c>
      <c r="C2137" s="2">
        <v>2</v>
      </c>
      <c r="D2137" s="2">
        <v>2021</v>
      </c>
      <c r="E2137" s="2">
        <v>105.84</v>
      </c>
      <c r="F2137" s="2">
        <v>70.56</v>
      </c>
      <c r="H2137" s="1">
        <f>_xlfn.XLOOKUP('Customer Info'!A1524,'Customer Info'!A1524:A1623,'Customer Info'!E1524:E1623,0,0)</f>
        <v>0</v>
      </c>
      <c r="J2137" s="1">
        <f>_xlfn.XLOOKUP('Customer Info'!A1524,'Customer Info'!A1524:A1623,'Customer Info'!M1524:M1623)</f>
        <v>0</v>
      </c>
    </row>
    <row r="2138" spans="1:10" ht="14" x14ac:dyDescent="0.2">
      <c r="A2138" s="2" t="s">
        <v>95</v>
      </c>
      <c r="B2138" s="2">
        <v>24</v>
      </c>
      <c r="C2138" s="2">
        <v>6</v>
      </c>
      <c r="D2138" s="2">
        <v>2021</v>
      </c>
      <c r="E2138" s="1" t="s">
        <v>94</v>
      </c>
      <c r="F2138" s="2">
        <v>70.5</v>
      </c>
      <c r="H2138" s="1">
        <f>_xlfn.XLOOKUP('Customer Info'!A1327,'Customer Info'!A1327:A1426,'Customer Info'!E1327:E1426,0,0)</f>
        <v>0</v>
      </c>
      <c r="J2138" s="1">
        <f>_xlfn.XLOOKUP('Customer Info'!A1327,'Customer Info'!A1327:A1426,'Customer Info'!M1327:M1426)</f>
        <v>0</v>
      </c>
    </row>
    <row r="2139" spans="1:10" ht="14" hidden="1" x14ac:dyDescent="0.2">
      <c r="A2139" s="2" t="s">
        <v>85</v>
      </c>
      <c r="B2139" s="2">
        <v>3</v>
      </c>
      <c r="C2139" s="2">
        <v>6</v>
      </c>
      <c r="D2139" s="2">
        <v>2020</v>
      </c>
      <c r="E2139" s="2">
        <v>48.3</v>
      </c>
      <c r="F2139" s="2">
        <v>70.5</v>
      </c>
      <c r="H2139" s="1">
        <f>_xlfn.XLOOKUP('Customer Info'!A659,'Customer Info'!A659:A758,'Customer Info'!E659:E758,0,0)</f>
        <v>0</v>
      </c>
      <c r="J2139" s="1">
        <f>_xlfn.XLOOKUP('Customer Info'!A659,'Customer Info'!A659:A758,'Customer Info'!M659:M758)</f>
        <v>0</v>
      </c>
    </row>
    <row r="2140" spans="1:10" ht="14" x14ac:dyDescent="0.2">
      <c r="A2140" s="2" t="s">
        <v>96</v>
      </c>
      <c r="B2140" s="2">
        <v>3</v>
      </c>
      <c r="C2140" s="2">
        <v>5</v>
      </c>
      <c r="D2140" s="2">
        <v>2021</v>
      </c>
      <c r="E2140" s="1" t="s">
        <v>94</v>
      </c>
      <c r="F2140" s="2">
        <v>70.37</v>
      </c>
      <c r="H2140" s="1">
        <f>_xlfn.XLOOKUP('Customer Info'!A1328,'Customer Info'!A1328:A1427,'Customer Info'!E1328:E1427,0,0)</f>
        <v>0</v>
      </c>
      <c r="J2140" s="1">
        <f>_xlfn.XLOOKUP('Customer Info'!A1328,'Customer Info'!A1328:A1427,'Customer Info'!M1328:M1427)</f>
        <v>0</v>
      </c>
    </row>
    <row r="2141" spans="1:10" ht="14" hidden="1" x14ac:dyDescent="0.2">
      <c r="A2141" s="2" t="s">
        <v>78</v>
      </c>
      <c r="B2141" s="2">
        <v>18</v>
      </c>
      <c r="C2141" s="2">
        <v>12</v>
      </c>
      <c r="D2141" s="2">
        <v>2020</v>
      </c>
      <c r="E2141" s="2">
        <v>109.43</v>
      </c>
      <c r="F2141" s="2">
        <v>70.37</v>
      </c>
      <c r="H2141" s="1">
        <f>_xlfn.XLOOKUP('Customer Info'!A265,'Customer Info'!A265:A364,'Customer Info'!E265:E364,0,0)</f>
        <v>0</v>
      </c>
      <c r="J2141" s="1">
        <f>_xlfn.XLOOKUP('Customer Info'!A265,'Customer Info'!A265:A364,'Customer Info'!M265:M364)</f>
        <v>0</v>
      </c>
    </row>
    <row r="2142" spans="1:10" ht="14" hidden="1" x14ac:dyDescent="0.2">
      <c r="A2142" s="2" t="s">
        <v>73</v>
      </c>
      <c r="B2142" s="2">
        <v>5</v>
      </c>
      <c r="C2142" s="2">
        <v>10</v>
      </c>
      <c r="D2142" s="2">
        <v>2020</v>
      </c>
      <c r="E2142" s="2">
        <v>79.05</v>
      </c>
      <c r="F2142" s="2">
        <v>70.37</v>
      </c>
      <c r="H2142" s="1">
        <f>_xlfn.XLOOKUP('Customer Info'!A445,'Customer Info'!A445:A544,'Customer Info'!E445:E544,0,0)</f>
        <v>0</v>
      </c>
      <c r="J2142" s="1">
        <f>_xlfn.XLOOKUP('Customer Info'!A445,'Customer Info'!A445:A544,'Customer Info'!M445:M544)</f>
        <v>0</v>
      </c>
    </row>
    <row r="2143" spans="1:10" ht="14" hidden="1" x14ac:dyDescent="0.2">
      <c r="A2143" s="2" t="s">
        <v>76</v>
      </c>
      <c r="B2143" s="2">
        <v>9</v>
      </c>
      <c r="C2143" s="2">
        <v>5</v>
      </c>
      <c r="D2143" s="2">
        <v>2020</v>
      </c>
      <c r="E2143" s="2">
        <v>49.91</v>
      </c>
      <c r="F2143" s="2">
        <v>70.37</v>
      </c>
      <c r="H2143" s="1">
        <f>_xlfn.XLOOKUP('Customer Info'!A645,'Customer Info'!A645:A744,'Customer Info'!E645:E744,0,0)</f>
        <v>0</v>
      </c>
      <c r="J2143" s="1">
        <f>_xlfn.XLOOKUP('Customer Info'!A645,'Customer Info'!A645:A744,'Customer Info'!M645:M744)</f>
        <v>0</v>
      </c>
    </row>
    <row r="2144" spans="1:10" ht="14" x14ac:dyDescent="0.2">
      <c r="A2144" s="2" t="s">
        <v>45</v>
      </c>
      <c r="B2144" s="2">
        <v>18</v>
      </c>
      <c r="C2144" s="2">
        <v>7</v>
      </c>
      <c r="D2144" s="2">
        <v>2021</v>
      </c>
      <c r="E2144" s="2">
        <v>33.479999999999997</v>
      </c>
      <c r="F2144" s="2">
        <v>70.37</v>
      </c>
      <c r="H2144" s="1">
        <f>_xlfn.XLOOKUP('Customer Info'!A1999,'Customer Info'!A1999:A2098,'Customer Info'!E1999:E2098,0,0)</f>
        <v>0</v>
      </c>
      <c r="J2144" s="1">
        <f>_xlfn.XLOOKUP('Customer Info'!A1999,'Customer Info'!A1999:A2098,'Customer Info'!M1999:M2098)</f>
        <v>0</v>
      </c>
    </row>
    <row r="2145" spans="1:10" ht="14" x14ac:dyDescent="0.2">
      <c r="A2145" s="2" t="s">
        <v>39</v>
      </c>
      <c r="B2145" s="2">
        <v>22</v>
      </c>
      <c r="C2145" s="2">
        <v>4</v>
      </c>
      <c r="D2145" s="2">
        <v>2021</v>
      </c>
      <c r="E2145" s="2">
        <v>55.8</v>
      </c>
      <c r="F2145" s="2">
        <v>70.2</v>
      </c>
      <c r="H2145" s="1">
        <f>_xlfn.XLOOKUP('Customer Info'!A1830,'Customer Info'!A1830:A1929,'Customer Info'!E1830:E1929,0,0)</f>
        <v>0</v>
      </c>
      <c r="J2145" s="1">
        <f>_xlfn.XLOOKUP('Customer Info'!A1830,'Customer Info'!A1830:A1929,'Customer Info'!M1830:M1929)</f>
        <v>0</v>
      </c>
    </row>
    <row r="2146" spans="1:10" ht="14" hidden="1" x14ac:dyDescent="0.2">
      <c r="A2146" s="2" t="s">
        <v>63</v>
      </c>
      <c r="B2146" s="2">
        <v>25</v>
      </c>
      <c r="C2146" s="2">
        <v>9</v>
      </c>
      <c r="D2146" s="2">
        <v>2020</v>
      </c>
      <c r="E2146" s="2">
        <v>36.299999999999997</v>
      </c>
      <c r="F2146" s="2">
        <v>70.2</v>
      </c>
      <c r="H2146" s="1">
        <f>_xlfn.XLOOKUP('Customer Info'!A773,'Customer Info'!A773:A872,'Customer Info'!E773:E872,0,0)</f>
        <v>0</v>
      </c>
      <c r="J2146" s="1">
        <f>_xlfn.XLOOKUP('Customer Info'!A773,'Customer Info'!A773:A872,'Customer Info'!M773:M872)</f>
        <v>0</v>
      </c>
    </row>
    <row r="2147" spans="1:10" ht="14" x14ac:dyDescent="0.2">
      <c r="A2147" s="2" t="s">
        <v>0</v>
      </c>
      <c r="B2147" s="2">
        <v>25</v>
      </c>
      <c r="C2147" s="2">
        <v>1</v>
      </c>
      <c r="D2147" s="2">
        <v>2021</v>
      </c>
      <c r="E2147" s="1" t="s">
        <v>94</v>
      </c>
      <c r="F2147" s="2">
        <v>70.06</v>
      </c>
      <c r="H2147" s="1">
        <f>_xlfn.XLOOKUP('Customer Info'!A1329,'Customer Info'!A1329:A1428,'Customer Info'!E1329:E1428,0,0)</f>
        <v>0</v>
      </c>
      <c r="J2147" s="1">
        <f>_xlfn.XLOOKUP('Customer Info'!A1329,'Customer Info'!A1329:A1428,'Customer Info'!M1329:M1428)</f>
        <v>0</v>
      </c>
    </row>
    <row r="2148" spans="1:10" ht="14" hidden="1" x14ac:dyDescent="0.2">
      <c r="A2148" s="2" t="s">
        <v>82</v>
      </c>
      <c r="B2148" s="2">
        <v>8</v>
      </c>
      <c r="C2148" s="2">
        <v>12</v>
      </c>
      <c r="D2148" s="2">
        <v>2020</v>
      </c>
      <c r="E2148" s="2">
        <v>144.15</v>
      </c>
      <c r="F2148" s="2">
        <v>70.06</v>
      </c>
      <c r="H2148" s="1">
        <f>_xlfn.XLOOKUP('Customer Info'!A156,'Customer Info'!A156:A255,'Customer Info'!E156:E255,0,0)</f>
        <v>0</v>
      </c>
      <c r="J2148" s="1">
        <f>_xlfn.XLOOKUP('Customer Info'!A156,'Customer Info'!A156:A255,'Customer Info'!M156:M255)</f>
        <v>0</v>
      </c>
    </row>
    <row r="2149" spans="1:10" ht="14" x14ac:dyDescent="0.2">
      <c r="A2149" s="2" t="s">
        <v>50</v>
      </c>
      <c r="B2149" s="2">
        <v>24</v>
      </c>
      <c r="C2149" s="2">
        <v>1</v>
      </c>
      <c r="D2149" s="2">
        <v>2021</v>
      </c>
      <c r="E2149" s="2">
        <v>106.33</v>
      </c>
      <c r="F2149" s="2">
        <v>70.06</v>
      </c>
      <c r="H2149" s="1">
        <f>_xlfn.XLOOKUP('Customer Info'!A1520,'Customer Info'!A1520:A1619,'Customer Info'!E1520:E1619,0,0)</f>
        <v>0</v>
      </c>
      <c r="J2149" s="1">
        <f>_xlfn.XLOOKUP('Customer Info'!A1520,'Customer Info'!A1520:A1619,'Customer Info'!M1520:M1619)</f>
        <v>0</v>
      </c>
    </row>
    <row r="2150" spans="1:10" ht="14" hidden="1" x14ac:dyDescent="0.2">
      <c r="A2150" s="2" t="s">
        <v>58</v>
      </c>
      <c r="B2150" s="2">
        <v>16</v>
      </c>
      <c r="C2150" s="2">
        <v>3</v>
      </c>
      <c r="D2150" s="2">
        <v>2020</v>
      </c>
      <c r="E2150" s="2">
        <v>75.33</v>
      </c>
      <c r="F2150" s="2">
        <v>70.06</v>
      </c>
      <c r="H2150" s="1">
        <f>_xlfn.XLOOKUP('Customer Info'!A468,'Customer Info'!A468:A567,'Customer Info'!E468:E567,0,0)</f>
        <v>0</v>
      </c>
      <c r="J2150" s="1">
        <f>_xlfn.XLOOKUP('Customer Info'!A468,'Customer Info'!A468:A567,'Customer Info'!M468:M567)</f>
        <v>0</v>
      </c>
    </row>
    <row r="2151" spans="1:10" ht="14" hidden="1" x14ac:dyDescent="0.2">
      <c r="A2151" s="2" t="s">
        <v>37</v>
      </c>
      <c r="B2151" s="2">
        <v>12</v>
      </c>
      <c r="C2151" s="2">
        <v>3</v>
      </c>
      <c r="D2151" s="2">
        <v>2020</v>
      </c>
      <c r="E2151" s="2">
        <v>62.31</v>
      </c>
      <c r="F2151" s="2">
        <v>70.06</v>
      </c>
      <c r="H2151" s="1">
        <f>_xlfn.XLOOKUP('Customer Info'!A568,'Customer Info'!A568:A667,'Customer Info'!E568:E667,0,0)</f>
        <v>0</v>
      </c>
      <c r="J2151" s="1">
        <f>_xlfn.XLOOKUP('Customer Info'!A568,'Customer Info'!A568:A667,'Customer Info'!M568:M667)</f>
        <v>0</v>
      </c>
    </row>
    <row r="2152" spans="1:10" ht="14" x14ac:dyDescent="0.2">
      <c r="A2152" s="2" t="s">
        <v>53</v>
      </c>
      <c r="B2152" s="2">
        <v>18</v>
      </c>
      <c r="C2152" s="2">
        <v>5</v>
      </c>
      <c r="D2152" s="2">
        <v>2021</v>
      </c>
      <c r="E2152" s="2">
        <v>43.09</v>
      </c>
      <c r="F2152" s="2">
        <v>70.06</v>
      </c>
      <c r="H2152" s="1">
        <f>_xlfn.XLOOKUP('Customer Info'!A1923,'Customer Info'!A1923:A2022,'Customer Info'!E1923:E2022,0,0)</f>
        <v>0</v>
      </c>
      <c r="J2152" s="1">
        <f>_xlfn.XLOOKUP('Customer Info'!A1923,'Customer Info'!A1923:A2022,'Customer Info'!M1923:M2022)</f>
        <v>0</v>
      </c>
    </row>
    <row r="2153" spans="1:10" ht="14" hidden="1" x14ac:dyDescent="0.2">
      <c r="A2153" s="2" t="s">
        <v>50</v>
      </c>
      <c r="B2153" s="2">
        <v>24</v>
      </c>
      <c r="C2153" s="2">
        <v>7</v>
      </c>
      <c r="D2153" s="2">
        <v>2020</v>
      </c>
      <c r="E2153" s="2">
        <v>31</v>
      </c>
      <c r="F2153" s="2">
        <v>70.06</v>
      </c>
      <c r="H2153" s="1">
        <f>_xlfn.XLOOKUP('Customer Info'!A811,'Customer Info'!A811:A910,'Customer Info'!E811:E910,0,0)</f>
        <v>0</v>
      </c>
      <c r="J2153" s="1">
        <f>_xlfn.XLOOKUP('Customer Info'!A811,'Customer Info'!A811:A910,'Customer Info'!M811:M910)</f>
        <v>0</v>
      </c>
    </row>
    <row r="2154" spans="1:10" ht="14" x14ac:dyDescent="0.2">
      <c r="A2154" s="2" t="s">
        <v>53</v>
      </c>
      <c r="B2154" s="2">
        <v>18</v>
      </c>
      <c r="C2154" s="2">
        <v>11</v>
      </c>
      <c r="D2154" s="2">
        <v>2021</v>
      </c>
      <c r="E2154" s="2">
        <v>111.9</v>
      </c>
      <c r="F2154" s="2">
        <v>69.900000000000006</v>
      </c>
      <c r="H2154" s="1">
        <f>_xlfn.XLOOKUP('Customer Info'!A1485,'Customer Info'!A1485:A1584,'Customer Info'!E1485:E1584,0,0)</f>
        <v>0</v>
      </c>
      <c r="J2154" s="1">
        <f>_xlfn.XLOOKUP('Customer Info'!A1485,'Customer Info'!A1485:A1584,'Customer Info'!M1485:M1584)</f>
        <v>0</v>
      </c>
    </row>
    <row r="2155" spans="1:10" ht="14" x14ac:dyDescent="0.2">
      <c r="A2155" s="2" t="s">
        <v>33</v>
      </c>
      <c r="B2155" s="2">
        <v>21</v>
      </c>
      <c r="C2155" s="2">
        <v>11</v>
      </c>
      <c r="D2155" s="2">
        <v>2021</v>
      </c>
      <c r="E2155" s="2">
        <v>96.3</v>
      </c>
      <c r="F2155" s="2">
        <v>69.900000000000006</v>
      </c>
      <c r="H2155" s="1">
        <f>_xlfn.XLOOKUP('Customer Info'!A1576,'Customer Info'!A1576:A1675,'Customer Info'!E1576:E1675,0,0)</f>
        <v>0</v>
      </c>
      <c r="J2155" s="1">
        <f>_xlfn.XLOOKUP('Customer Info'!A1576,'Customer Info'!A1576:A1675,'Customer Info'!M1576:M1675)</f>
        <v>0</v>
      </c>
    </row>
    <row r="2156" spans="1:10" ht="14" x14ac:dyDescent="0.2">
      <c r="A2156" s="2" t="s">
        <v>39</v>
      </c>
      <c r="B2156" s="2">
        <v>22</v>
      </c>
      <c r="C2156" s="2">
        <v>11</v>
      </c>
      <c r="D2156" s="2">
        <v>2021</v>
      </c>
      <c r="E2156" s="2">
        <v>76.8</v>
      </c>
      <c r="F2156" s="2">
        <v>69.900000000000006</v>
      </c>
      <c r="H2156" s="1">
        <f>_xlfn.XLOOKUP('Customer Info'!A1690,'Customer Info'!A1690:A1789,'Customer Info'!E1690:E1789,0,0)</f>
        <v>0</v>
      </c>
      <c r="J2156" s="1">
        <f>_xlfn.XLOOKUP('Customer Info'!A1690,'Customer Info'!A1690:A1789,'Customer Info'!M1690:M1789)</f>
        <v>0</v>
      </c>
    </row>
    <row r="2157" spans="1:10" ht="14" x14ac:dyDescent="0.2">
      <c r="A2157" s="2" t="s">
        <v>66</v>
      </c>
      <c r="B2157" s="2">
        <v>23</v>
      </c>
      <c r="C2157" s="2">
        <v>9</v>
      </c>
      <c r="D2157" s="2">
        <v>2021</v>
      </c>
      <c r="E2157" s="2">
        <v>52.2</v>
      </c>
      <c r="F2157" s="2">
        <v>69.900000000000006</v>
      </c>
      <c r="H2157" s="1">
        <f>_xlfn.XLOOKUP('Customer Info'!A1849,'Customer Info'!A1849:A1948,'Customer Info'!E1849:E1948,0,0)</f>
        <v>0</v>
      </c>
      <c r="J2157" s="1">
        <f>_xlfn.XLOOKUP('Customer Info'!A1849,'Customer Info'!A1849:A1948,'Customer Info'!M1849:M1948)</f>
        <v>0</v>
      </c>
    </row>
    <row r="2158" spans="1:10" ht="14" hidden="1" x14ac:dyDescent="0.2">
      <c r="A2158" s="2" t="s">
        <v>51</v>
      </c>
      <c r="B2158" s="2">
        <v>16</v>
      </c>
      <c r="C2158" s="2">
        <v>6</v>
      </c>
      <c r="D2158" s="2">
        <v>2020</v>
      </c>
      <c r="E2158" s="2">
        <v>28.5</v>
      </c>
      <c r="F2158" s="2">
        <v>69.900000000000006</v>
      </c>
      <c r="H2158" s="1">
        <f>_xlfn.XLOOKUP('Customer Info'!A830,'Customer Info'!A830:A929,'Customer Info'!E830:E929,0,0)</f>
        <v>0</v>
      </c>
      <c r="J2158" s="1">
        <f>_xlfn.XLOOKUP('Customer Info'!A830,'Customer Info'!A830:A929,'Customer Info'!M830:M929)</f>
        <v>0</v>
      </c>
    </row>
    <row r="2159" spans="1:10" ht="14" hidden="1" x14ac:dyDescent="0.2">
      <c r="A2159" s="2" t="s">
        <v>46</v>
      </c>
      <c r="B2159" s="2">
        <v>9</v>
      </c>
      <c r="C2159" s="2">
        <v>6</v>
      </c>
      <c r="D2159" s="2">
        <v>2020</v>
      </c>
      <c r="E2159" s="2">
        <v>25.8</v>
      </c>
      <c r="F2159" s="2">
        <v>69.900000000000006</v>
      </c>
      <c r="H2159" s="1">
        <f>_xlfn.XLOOKUP('Customer Info'!A845,'Customer Info'!A845:A944,'Customer Info'!E845:E944,0,0)</f>
        <v>0</v>
      </c>
      <c r="J2159" s="1">
        <f>_xlfn.XLOOKUP('Customer Info'!A845,'Customer Info'!A845:A944,'Customer Info'!M845:M944)</f>
        <v>0</v>
      </c>
    </row>
    <row r="2160" spans="1:10" ht="14" hidden="1" x14ac:dyDescent="0.2">
      <c r="A2160" s="2" t="s">
        <v>55</v>
      </c>
      <c r="B2160" s="2">
        <v>18</v>
      </c>
      <c r="C2160" s="2">
        <v>12</v>
      </c>
      <c r="D2160" s="2">
        <v>2020</v>
      </c>
      <c r="E2160" s="2">
        <v>99.51</v>
      </c>
      <c r="F2160" s="2">
        <v>69.75</v>
      </c>
      <c r="H2160" s="1">
        <f>_xlfn.XLOOKUP('Customer Info'!A334,'Customer Info'!A334:A433,'Customer Info'!E334:E433,0,0)</f>
        <v>0</v>
      </c>
      <c r="J2160" s="1">
        <f>_xlfn.XLOOKUP('Customer Info'!A334,'Customer Info'!A334:A433,'Customer Info'!M334:M433)</f>
        <v>0</v>
      </c>
    </row>
    <row r="2161" spans="1:10" ht="14" x14ac:dyDescent="0.2">
      <c r="A2161" s="2" t="s">
        <v>62</v>
      </c>
      <c r="B2161" s="2">
        <v>1</v>
      </c>
      <c r="C2161" s="2">
        <v>7</v>
      </c>
      <c r="D2161" s="2">
        <v>2021</v>
      </c>
      <c r="E2161" s="2">
        <v>49.6</v>
      </c>
      <c r="F2161" s="2">
        <v>69.75</v>
      </c>
      <c r="H2161" s="1">
        <f>_xlfn.XLOOKUP('Customer Info'!A1870,'Customer Info'!A1870:A1969,'Customer Info'!E1870:E1969,0,0)</f>
        <v>0</v>
      </c>
      <c r="J2161" s="1">
        <f>_xlfn.XLOOKUP('Customer Info'!A1870,'Customer Info'!A1870:A1969,'Customer Info'!M1870:M1969)</f>
        <v>0</v>
      </c>
    </row>
    <row r="2162" spans="1:10" ht="14" x14ac:dyDescent="0.2">
      <c r="A2162" s="2" t="s">
        <v>34</v>
      </c>
      <c r="B2162" s="2">
        <v>4</v>
      </c>
      <c r="C2162" s="2">
        <v>7</v>
      </c>
      <c r="D2162" s="2">
        <v>2021</v>
      </c>
      <c r="E2162" s="2">
        <v>28.52</v>
      </c>
      <c r="F2162" s="2">
        <v>69.75</v>
      </c>
      <c r="H2162" s="1">
        <f>_xlfn.XLOOKUP('Customer Info'!A2030,'Customer Info'!A2030:A2129,'Customer Info'!E2030:E2129,0,0)</f>
        <v>0</v>
      </c>
      <c r="J2162" s="1">
        <f>_xlfn.XLOOKUP('Customer Info'!A2030,'Customer Info'!A2030:A2129,'Customer Info'!M2030:M2129)</f>
        <v>0</v>
      </c>
    </row>
    <row r="2163" spans="1:10" ht="14" hidden="1" x14ac:dyDescent="0.2">
      <c r="A2163" s="2" t="s">
        <v>40</v>
      </c>
      <c r="B2163" s="2">
        <v>15</v>
      </c>
      <c r="C2163" s="2">
        <v>8</v>
      </c>
      <c r="D2163" s="2">
        <v>2020</v>
      </c>
      <c r="E2163" s="2">
        <v>25.73</v>
      </c>
      <c r="F2163" s="2">
        <v>69.75</v>
      </c>
      <c r="H2163" s="1">
        <f>_xlfn.XLOOKUP('Customer Info'!A847,'Customer Info'!A847:A946,'Customer Info'!E847:E946,0,0)</f>
        <v>0</v>
      </c>
      <c r="J2163" s="1">
        <f>_xlfn.XLOOKUP('Customer Info'!A847,'Customer Info'!A847:A946,'Customer Info'!M847:M946)</f>
        <v>0</v>
      </c>
    </row>
    <row r="2164" spans="1:10" ht="14" x14ac:dyDescent="0.2">
      <c r="A2164" s="2" t="s">
        <v>64</v>
      </c>
      <c r="B2164" s="2">
        <v>21</v>
      </c>
      <c r="C2164" s="2">
        <v>2</v>
      </c>
      <c r="D2164" s="2">
        <v>2021</v>
      </c>
      <c r="E2164" s="2">
        <v>86.8</v>
      </c>
      <c r="F2164" s="2">
        <v>69.72</v>
      </c>
      <c r="H2164" s="1">
        <f>_xlfn.XLOOKUP('Customer Info'!A1630,'Customer Info'!A1630:A1729,'Customer Info'!E1630:E1729,0,0)</f>
        <v>0</v>
      </c>
      <c r="J2164" s="1">
        <f>_xlfn.XLOOKUP('Customer Info'!A1630,'Customer Info'!A1630:A1729,'Customer Info'!M1630:M1729)</f>
        <v>0</v>
      </c>
    </row>
    <row r="2165" spans="1:10" ht="14" x14ac:dyDescent="0.2">
      <c r="A2165" s="2" t="s">
        <v>57</v>
      </c>
      <c r="B2165" s="2">
        <v>17</v>
      </c>
      <c r="C2165" s="2">
        <v>11</v>
      </c>
      <c r="D2165" s="2">
        <v>2021</v>
      </c>
      <c r="E2165" s="2">
        <v>117.9</v>
      </c>
      <c r="F2165" s="2">
        <v>69.599999999999994</v>
      </c>
      <c r="H2165" s="1">
        <f>_xlfn.XLOOKUP('Customer Info'!A1449,'Customer Info'!A1449:A1548,'Customer Info'!E1449:E1548,0,0)</f>
        <v>0</v>
      </c>
      <c r="J2165" s="1">
        <f>_xlfn.XLOOKUP('Customer Info'!A1449,'Customer Info'!A1449:A1548,'Customer Info'!M1449:M1548)</f>
        <v>0</v>
      </c>
    </row>
    <row r="2166" spans="1:10" ht="14" x14ac:dyDescent="0.2">
      <c r="A2166" s="2" t="s">
        <v>85</v>
      </c>
      <c r="B2166" s="2">
        <v>3</v>
      </c>
      <c r="C2166" s="2">
        <v>6</v>
      </c>
      <c r="D2166" s="2">
        <v>2021</v>
      </c>
      <c r="E2166" s="2">
        <v>67.5</v>
      </c>
      <c r="F2166" s="2">
        <v>69.599999999999994</v>
      </c>
      <c r="H2166" s="1">
        <f>_xlfn.XLOOKUP('Customer Info'!A1750,'Customer Info'!A1750:A1849,'Customer Info'!E1750:E1849,0,0)</f>
        <v>0</v>
      </c>
      <c r="J2166" s="1">
        <f>_xlfn.XLOOKUP('Customer Info'!A1750,'Customer Info'!A1750:A1849,'Customer Info'!M1750:M1849)</f>
        <v>0</v>
      </c>
    </row>
    <row r="2167" spans="1:10" ht="14" hidden="1" x14ac:dyDescent="0.2">
      <c r="A2167" s="2" t="s">
        <v>55</v>
      </c>
      <c r="B2167" s="2">
        <v>18</v>
      </c>
      <c r="C2167" s="2">
        <v>4</v>
      </c>
      <c r="D2167" s="2">
        <v>2020</v>
      </c>
      <c r="E2167" s="2">
        <v>61.2</v>
      </c>
      <c r="F2167" s="2">
        <v>69.599999999999994</v>
      </c>
      <c r="H2167" s="1">
        <f>_xlfn.XLOOKUP('Customer Info'!A579,'Customer Info'!A579:A678,'Customer Info'!E579:E678,0,0)</f>
        <v>0</v>
      </c>
      <c r="J2167" s="1">
        <f>_xlfn.XLOOKUP('Customer Info'!A579,'Customer Info'!A579:A678,'Customer Info'!M579:M678)</f>
        <v>0</v>
      </c>
    </row>
    <row r="2168" spans="1:10" ht="14" x14ac:dyDescent="0.2">
      <c r="A2168" s="2" t="s">
        <v>82</v>
      </c>
      <c r="B2168" s="2">
        <v>8</v>
      </c>
      <c r="C2168" s="2">
        <v>9</v>
      </c>
      <c r="D2168" s="2">
        <v>2021</v>
      </c>
      <c r="E2168" s="2">
        <v>51</v>
      </c>
      <c r="F2168" s="2">
        <v>69.599999999999994</v>
      </c>
      <c r="H2168" s="1">
        <f>_xlfn.XLOOKUP('Customer Info'!A1862,'Customer Info'!A1862:A1961,'Customer Info'!E1862:E1961,0,0)</f>
        <v>0</v>
      </c>
      <c r="J2168" s="1">
        <f>_xlfn.XLOOKUP('Customer Info'!A1862,'Customer Info'!A1862:A1961,'Customer Info'!M1862:M1961)</f>
        <v>0</v>
      </c>
    </row>
    <row r="2169" spans="1:10" ht="14" x14ac:dyDescent="0.2">
      <c r="A2169" s="2" t="s">
        <v>55</v>
      </c>
      <c r="B2169" s="2">
        <v>18</v>
      </c>
      <c r="C2169" s="2">
        <v>9</v>
      </c>
      <c r="D2169" s="2">
        <v>2021</v>
      </c>
      <c r="E2169" s="2">
        <v>50.4</v>
      </c>
      <c r="F2169" s="2">
        <v>69.599999999999994</v>
      </c>
      <c r="H2169" s="1">
        <f>_xlfn.XLOOKUP('Customer Info'!A1863,'Customer Info'!A1863:A1962,'Customer Info'!E1863:E1962,0,0)</f>
        <v>0</v>
      </c>
      <c r="J2169" s="1">
        <f>_xlfn.XLOOKUP('Customer Info'!A1863,'Customer Info'!A1863:A1962,'Customer Info'!M1863:M1962)</f>
        <v>0</v>
      </c>
    </row>
    <row r="2170" spans="1:10" ht="14" hidden="1" x14ac:dyDescent="0.2">
      <c r="A2170" s="2" t="s">
        <v>34</v>
      </c>
      <c r="B2170" s="2">
        <v>4</v>
      </c>
      <c r="C2170" s="2">
        <v>9</v>
      </c>
      <c r="D2170" s="2">
        <v>2020</v>
      </c>
      <c r="E2170" s="2">
        <v>30.9</v>
      </c>
      <c r="F2170" s="2">
        <v>69.599999999999994</v>
      </c>
      <c r="H2170" s="1">
        <f>_xlfn.XLOOKUP('Customer Info'!A815,'Customer Info'!A815:A914,'Customer Info'!E815:E914,0,0)</f>
        <v>0</v>
      </c>
      <c r="J2170" s="1">
        <f>_xlfn.XLOOKUP('Customer Info'!A815,'Customer Info'!A815:A914,'Customer Info'!M815:M914)</f>
        <v>0</v>
      </c>
    </row>
    <row r="2171" spans="1:10" ht="14" x14ac:dyDescent="0.2">
      <c r="A2171" s="2" t="s">
        <v>95</v>
      </c>
      <c r="B2171" s="2">
        <v>24</v>
      </c>
      <c r="C2171" s="2">
        <v>3</v>
      </c>
      <c r="D2171" s="2">
        <v>2021</v>
      </c>
      <c r="E2171" s="1" t="s">
        <v>94</v>
      </c>
      <c r="F2171" s="2">
        <v>69.44</v>
      </c>
      <c r="H2171" s="1">
        <f>_xlfn.XLOOKUP('Customer Info'!A1330,'Customer Info'!A1330:A1429,'Customer Info'!E1330:E1429,0,0)</f>
        <v>0</v>
      </c>
      <c r="J2171" s="1">
        <f>_xlfn.XLOOKUP('Customer Info'!A1330,'Customer Info'!A1330:A1429,'Customer Info'!M1330:M1429)</f>
        <v>0</v>
      </c>
    </row>
    <row r="2172" spans="1:10" ht="14" x14ac:dyDescent="0.2">
      <c r="A2172" s="2" t="s">
        <v>51</v>
      </c>
      <c r="B2172" s="2">
        <v>16</v>
      </c>
      <c r="C2172" s="2">
        <v>1</v>
      </c>
      <c r="D2172" s="2">
        <v>2021</v>
      </c>
      <c r="E2172" s="2">
        <v>119.97</v>
      </c>
      <c r="F2172" s="2">
        <v>69.44</v>
      </c>
      <c r="H2172" s="1">
        <f>_xlfn.XLOOKUP('Customer Info'!A1442,'Customer Info'!A1442:A1541,'Customer Info'!E1442:E1541,0,0)</f>
        <v>0</v>
      </c>
      <c r="J2172" s="1">
        <f>_xlfn.XLOOKUP('Customer Info'!A1442,'Customer Info'!A1442:A1541,'Customer Info'!M1442:M1541)</f>
        <v>0</v>
      </c>
    </row>
    <row r="2173" spans="1:10" ht="14" hidden="1" x14ac:dyDescent="0.2">
      <c r="A2173" s="2" t="s">
        <v>75</v>
      </c>
      <c r="B2173" s="2">
        <v>2</v>
      </c>
      <c r="C2173" s="2">
        <v>2</v>
      </c>
      <c r="D2173" s="2">
        <v>2020</v>
      </c>
      <c r="E2173" s="2">
        <v>97.72</v>
      </c>
      <c r="F2173" s="2">
        <v>69.44</v>
      </c>
      <c r="H2173" s="1">
        <f>_xlfn.XLOOKUP('Customer Info'!A347,'Customer Info'!A347:A446,'Customer Info'!E347:E446,0,0)</f>
        <v>0</v>
      </c>
      <c r="J2173" s="1">
        <f>_xlfn.XLOOKUP('Customer Info'!A347,'Customer Info'!A347:A446,'Customer Info'!M347:M446)</f>
        <v>0</v>
      </c>
    </row>
    <row r="2174" spans="1:10" ht="14" x14ac:dyDescent="0.2">
      <c r="A2174" s="2" t="s">
        <v>33</v>
      </c>
      <c r="B2174" s="2">
        <v>21</v>
      </c>
      <c r="C2174" s="2">
        <v>2</v>
      </c>
      <c r="D2174" s="2">
        <v>2021</v>
      </c>
      <c r="E2174" s="2">
        <v>95.2</v>
      </c>
      <c r="F2174" s="2">
        <v>69.44</v>
      </c>
      <c r="H2174" s="1">
        <f>_xlfn.XLOOKUP('Customer Info'!A1582,'Customer Info'!A1582:A1681,'Customer Info'!E1582:E1681,0,0)</f>
        <v>0</v>
      </c>
      <c r="J2174" s="1">
        <f>_xlfn.XLOOKUP('Customer Info'!A1582,'Customer Info'!A1582:A1681,'Customer Info'!M1582:M1681)</f>
        <v>0</v>
      </c>
    </row>
    <row r="2175" spans="1:10" ht="14" hidden="1" x14ac:dyDescent="0.2">
      <c r="A2175" s="2" t="s">
        <v>45</v>
      </c>
      <c r="B2175" s="2">
        <v>18</v>
      </c>
      <c r="C2175" s="2">
        <v>1</v>
      </c>
      <c r="D2175" s="2">
        <v>2020</v>
      </c>
      <c r="E2175" s="2">
        <v>93.93</v>
      </c>
      <c r="F2175" s="2">
        <v>69.44</v>
      </c>
      <c r="H2175" s="1">
        <f>_xlfn.XLOOKUP('Customer Info'!A371,'Customer Info'!A371:A470,'Customer Info'!E371:E470,0,0)</f>
        <v>0</v>
      </c>
      <c r="J2175" s="1">
        <f>_xlfn.XLOOKUP('Customer Info'!A371,'Customer Info'!A371:A470,'Customer Info'!M371:M470)</f>
        <v>0</v>
      </c>
    </row>
    <row r="2176" spans="1:10" ht="14" hidden="1" x14ac:dyDescent="0.2">
      <c r="A2176" s="2" t="s">
        <v>46</v>
      </c>
      <c r="B2176" s="2">
        <v>9</v>
      </c>
      <c r="C2176" s="2">
        <v>10</v>
      </c>
      <c r="D2176" s="2">
        <v>2020</v>
      </c>
      <c r="E2176" s="2">
        <v>72.23</v>
      </c>
      <c r="F2176" s="2">
        <v>69.44</v>
      </c>
      <c r="H2176" s="1">
        <f>_xlfn.XLOOKUP('Customer Info'!A484,'Customer Info'!A484:A583,'Customer Info'!E484:E583,0,0)</f>
        <v>0</v>
      </c>
      <c r="J2176" s="1">
        <f>_xlfn.XLOOKUP('Customer Info'!A484,'Customer Info'!A484:A583,'Customer Info'!M484:M583)</f>
        <v>0</v>
      </c>
    </row>
    <row r="2177" spans="1:10" ht="14" hidden="1" x14ac:dyDescent="0.2">
      <c r="A2177" s="2" t="s">
        <v>46</v>
      </c>
      <c r="B2177" s="2">
        <v>9</v>
      </c>
      <c r="C2177" s="2">
        <v>3</v>
      </c>
      <c r="D2177" s="2">
        <v>2020</v>
      </c>
      <c r="E2177" s="2">
        <v>64.17</v>
      </c>
      <c r="F2177" s="2">
        <v>69.44</v>
      </c>
      <c r="H2177" s="1">
        <f>_xlfn.XLOOKUP('Customer Info'!A557,'Customer Info'!A557:A656,'Customer Info'!E557:E656,0,0)</f>
        <v>0</v>
      </c>
      <c r="J2177" s="1">
        <f>_xlfn.XLOOKUP('Customer Info'!A557,'Customer Info'!A557:A656,'Customer Info'!M557:M656)</f>
        <v>0</v>
      </c>
    </row>
    <row r="2178" spans="1:10" ht="14" x14ac:dyDescent="0.2">
      <c r="A2178" s="2" t="s">
        <v>49</v>
      </c>
      <c r="B2178" s="2">
        <v>3</v>
      </c>
      <c r="C2178" s="2">
        <v>7</v>
      </c>
      <c r="D2178" s="2">
        <v>2021</v>
      </c>
      <c r="E2178" s="2">
        <v>35.340000000000003</v>
      </c>
      <c r="F2178" s="2">
        <v>69.44</v>
      </c>
      <c r="H2178" s="1">
        <f>_xlfn.XLOOKUP('Customer Info'!A1988,'Customer Info'!A1988:A2087,'Customer Info'!E1988:E2087,0,0)</f>
        <v>0</v>
      </c>
      <c r="J2178" s="1">
        <f>_xlfn.XLOOKUP('Customer Info'!A1988,'Customer Info'!A1988:A2087,'Customer Info'!M1988:M2087)</f>
        <v>0</v>
      </c>
    </row>
    <row r="2179" spans="1:10" ht="14" hidden="1" x14ac:dyDescent="0.2">
      <c r="A2179" s="2" t="s">
        <v>55</v>
      </c>
      <c r="B2179" s="2">
        <v>18</v>
      </c>
      <c r="C2179" s="2">
        <v>8</v>
      </c>
      <c r="D2179" s="2">
        <v>2020</v>
      </c>
      <c r="E2179" s="2">
        <v>31</v>
      </c>
      <c r="F2179" s="2">
        <v>69.44</v>
      </c>
      <c r="H2179" s="1">
        <f>_xlfn.XLOOKUP('Customer Info'!A812,'Customer Info'!A812:A911,'Customer Info'!E812:E911,0,0)</f>
        <v>0</v>
      </c>
      <c r="J2179" s="1">
        <f>_xlfn.XLOOKUP('Customer Info'!A812,'Customer Info'!A812:A911,'Customer Info'!M812:M911)</f>
        <v>0</v>
      </c>
    </row>
    <row r="2180" spans="1:10" ht="14" hidden="1" x14ac:dyDescent="0.2">
      <c r="A2180" s="2" t="s">
        <v>0</v>
      </c>
      <c r="B2180" s="2">
        <v>25</v>
      </c>
      <c r="C2180" s="2">
        <v>3</v>
      </c>
      <c r="D2180" s="2">
        <v>2020</v>
      </c>
      <c r="F2180" s="2">
        <v>69.44</v>
      </c>
      <c r="H2180" s="1">
        <f>_xlfn.XLOOKUP('Customer Info'!A1201,'Customer Info'!A1201:A1300,'Customer Info'!E1201:E1300,0,0)</f>
        <v>0</v>
      </c>
      <c r="J2180" s="1">
        <f>_xlfn.XLOOKUP('Customer Info'!A1201,'Customer Info'!A1201:A1300,'Customer Info'!M1201:M1300)</f>
        <v>0</v>
      </c>
    </row>
    <row r="2181" spans="1:10" ht="14" hidden="1" x14ac:dyDescent="0.2">
      <c r="A2181" s="2" t="s">
        <v>95</v>
      </c>
      <c r="B2181" s="2">
        <v>24</v>
      </c>
      <c r="C2181" s="2">
        <v>4</v>
      </c>
      <c r="D2181" s="2">
        <v>2020</v>
      </c>
      <c r="E2181" s="1" t="s">
        <v>94</v>
      </c>
      <c r="F2181" s="2">
        <v>69.3</v>
      </c>
      <c r="H2181" s="1">
        <f>_xlfn.XLOOKUP('Customer Info'!A136,'Customer Info'!A136:A235,'Customer Info'!E136:E235,0,0)</f>
        <v>0</v>
      </c>
      <c r="J2181" s="1">
        <f>_xlfn.XLOOKUP('Customer Info'!A136,'Customer Info'!A136:A235,'Customer Info'!M136:M235)</f>
        <v>0</v>
      </c>
    </row>
    <row r="2182" spans="1:10" ht="14" x14ac:dyDescent="0.2">
      <c r="A2182" s="2" t="s">
        <v>47</v>
      </c>
      <c r="B2182" s="2">
        <v>19</v>
      </c>
      <c r="C2182" s="2">
        <v>4</v>
      </c>
      <c r="D2182" s="2">
        <v>2021</v>
      </c>
      <c r="E2182" s="2">
        <v>66.3</v>
      </c>
      <c r="F2182" s="2">
        <v>69.3</v>
      </c>
      <c r="H2182" s="1">
        <f>_xlfn.XLOOKUP('Customer Info'!A1759,'Customer Info'!A1759:A1858,'Customer Info'!E1759:E1858,0,0)</f>
        <v>0</v>
      </c>
      <c r="J2182" s="1">
        <f>_xlfn.XLOOKUP('Customer Info'!A1759,'Customer Info'!A1759:A1858,'Customer Info'!M1759:M1858)</f>
        <v>0</v>
      </c>
    </row>
    <row r="2183" spans="1:10" ht="14" hidden="1" x14ac:dyDescent="0.2">
      <c r="A2183" s="2" t="s">
        <v>55</v>
      </c>
      <c r="B2183" s="2">
        <v>18</v>
      </c>
      <c r="C2183" s="2">
        <v>9</v>
      </c>
      <c r="D2183" s="2">
        <v>2020</v>
      </c>
      <c r="E2183" s="2">
        <v>41.1</v>
      </c>
      <c r="F2183" s="2">
        <v>69.3</v>
      </c>
      <c r="H2183" s="1">
        <f>_xlfn.XLOOKUP('Customer Info'!A723,'Customer Info'!A723:A822,'Customer Info'!E723:E822,0,0)</f>
        <v>0</v>
      </c>
      <c r="J2183" s="1">
        <f>_xlfn.XLOOKUP('Customer Info'!A723,'Customer Info'!A723:A822,'Customer Info'!M723:M822)</f>
        <v>0</v>
      </c>
    </row>
    <row r="2184" spans="1:10" ht="14" x14ac:dyDescent="0.2">
      <c r="A2184" s="2" t="s">
        <v>47</v>
      </c>
      <c r="B2184" s="2">
        <v>19</v>
      </c>
      <c r="C2184" s="2">
        <v>2</v>
      </c>
      <c r="D2184" s="2">
        <v>2021</v>
      </c>
      <c r="E2184" s="2">
        <v>94.36</v>
      </c>
      <c r="F2184" s="2">
        <v>69.16</v>
      </c>
      <c r="H2184" s="1">
        <f>_xlfn.XLOOKUP('Customer Info'!A1588,'Customer Info'!A1588:A1687,'Customer Info'!E1588:E1687,0,0)</f>
        <v>0</v>
      </c>
      <c r="J2184" s="1">
        <f>_xlfn.XLOOKUP('Customer Info'!A1588,'Customer Info'!A1588:A1687,'Customer Info'!M1588:M1687)</f>
        <v>0</v>
      </c>
    </row>
    <row r="2185" spans="1:10" ht="14" hidden="1" x14ac:dyDescent="0.2">
      <c r="A2185" s="2" t="s">
        <v>95</v>
      </c>
      <c r="B2185" s="2">
        <v>24</v>
      </c>
      <c r="C2185" s="2">
        <v>3</v>
      </c>
      <c r="D2185" s="2">
        <v>2020</v>
      </c>
      <c r="E2185" s="1" t="s">
        <v>94</v>
      </c>
      <c r="F2185" s="2">
        <v>69.13</v>
      </c>
      <c r="H2185" s="1">
        <f>_xlfn.XLOOKUP('Customer Info'!A137,'Customer Info'!A137:A236,'Customer Info'!E137:E236,0,0)</f>
        <v>0</v>
      </c>
      <c r="J2185" s="1">
        <f>_xlfn.XLOOKUP('Customer Info'!A137,'Customer Info'!A137:A236,'Customer Info'!M137:M236)</f>
        <v>0</v>
      </c>
    </row>
    <row r="2186" spans="1:10" ht="14" hidden="1" x14ac:dyDescent="0.2">
      <c r="A2186" s="2" t="s">
        <v>85</v>
      </c>
      <c r="B2186" s="2">
        <v>3</v>
      </c>
      <c r="C2186" s="2">
        <v>5</v>
      </c>
      <c r="D2186" s="2">
        <v>2020</v>
      </c>
      <c r="E2186" s="2">
        <v>65.72</v>
      </c>
      <c r="F2186" s="2">
        <v>69.13</v>
      </c>
      <c r="H2186" s="1">
        <f>_xlfn.XLOOKUP('Customer Info'!A539,'Customer Info'!A539:A638,'Customer Info'!E539:E638,0,0)</f>
        <v>0</v>
      </c>
      <c r="J2186" s="1">
        <f>_xlfn.XLOOKUP('Customer Info'!A539,'Customer Info'!A539:A638,'Customer Info'!M539:M638)</f>
        <v>0</v>
      </c>
    </row>
    <row r="2187" spans="1:10" ht="14" hidden="1" x14ac:dyDescent="0.2">
      <c r="A2187" s="2" t="s">
        <v>74</v>
      </c>
      <c r="B2187" s="2">
        <v>5</v>
      </c>
      <c r="C2187" s="2">
        <v>5</v>
      </c>
      <c r="D2187" s="2">
        <v>2020</v>
      </c>
      <c r="E2187" s="2">
        <v>48.05</v>
      </c>
      <c r="F2187" s="2">
        <v>69.13</v>
      </c>
      <c r="H2187" s="1">
        <f>_xlfn.XLOOKUP('Customer Info'!A660,'Customer Info'!A660:A759,'Customer Info'!E660:E759,0,0)</f>
        <v>0</v>
      </c>
      <c r="J2187" s="1">
        <f>_xlfn.XLOOKUP('Customer Info'!A660,'Customer Info'!A660:A759,'Customer Info'!M660:M759)</f>
        <v>0</v>
      </c>
    </row>
    <row r="2188" spans="1:10" ht="14" hidden="1" x14ac:dyDescent="0.2">
      <c r="A2188" s="2" t="s">
        <v>50</v>
      </c>
      <c r="B2188" s="2">
        <v>24</v>
      </c>
      <c r="C2188" s="2">
        <v>8</v>
      </c>
      <c r="D2188" s="2">
        <v>2020</v>
      </c>
      <c r="E2188" s="2">
        <v>36.58</v>
      </c>
      <c r="F2188" s="2">
        <v>69.13</v>
      </c>
      <c r="H2188" s="1">
        <f>_xlfn.XLOOKUP('Customer Info'!A772,'Customer Info'!A772:A871,'Customer Info'!E772:E871,0,0)</f>
        <v>0</v>
      </c>
      <c r="J2188" s="1">
        <f>_xlfn.XLOOKUP('Customer Info'!A772,'Customer Info'!A772:A871,'Customer Info'!M772:M871)</f>
        <v>0</v>
      </c>
    </row>
    <row r="2189" spans="1:10" ht="14" x14ac:dyDescent="0.2">
      <c r="A2189" s="2" t="s">
        <v>34</v>
      </c>
      <c r="B2189" s="2">
        <v>4</v>
      </c>
      <c r="C2189" s="2">
        <v>5</v>
      </c>
      <c r="D2189" s="2">
        <v>2021</v>
      </c>
      <c r="E2189" s="2">
        <v>27.9</v>
      </c>
      <c r="F2189" s="2">
        <v>69.13</v>
      </c>
      <c r="H2189" s="1">
        <f>_xlfn.XLOOKUP('Customer Info'!A2035,'Customer Info'!A2035:A2134,'Customer Info'!E2035:E2134,0,0)</f>
        <v>0</v>
      </c>
      <c r="J2189" s="1">
        <f>_xlfn.XLOOKUP('Customer Info'!A2035,'Customer Info'!A2035:A2134,'Customer Info'!M2035:M2134)</f>
        <v>0</v>
      </c>
    </row>
    <row r="2190" spans="1:10" ht="14" hidden="1" x14ac:dyDescent="0.2">
      <c r="A2190" s="2" t="s">
        <v>96</v>
      </c>
      <c r="B2190" s="2">
        <v>3</v>
      </c>
      <c r="C2190" s="2">
        <v>4</v>
      </c>
      <c r="D2190" s="2">
        <v>2020</v>
      </c>
      <c r="E2190" s="1" t="s">
        <v>94</v>
      </c>
      <c r="F2190" s="2">
        <v>69</v>
      </c>
      <c r="H2190" s="1">
        <f>_xlfn.XLOOKUP('Customer Info'!A138,'Customer Info'!A138:A237,'Customer Info'!E138:E237,0,0)</f>
        <v>0</v>
      </c>
      <c r="J2190" s="1">
        <f>_xlfn.XLOOKUP('Customer Info'!A138,'Customer Info'!A138:A237,'Customer Info'!M138:M237)</f>
        <v>0</v>
      </c>
    </row>
    <row r="2191" spans="1:10" ht="14" hidden="1" x14ac:dyDescent="0.2">
      <c r="A2191" s="2" t="s">
        <v>62</v>
      </c>
      <c r="B2191" s="2">
        <v>1</v>
      </c>
      <c r="C2191" s="2">
        <v>4</v>
      </c>
      <c r="D2191" s="2">
        <v>2020</v>
      </c>
      <c r="E2191" s="2">
        <v>87.3</v>
      </c>
      <c r="F2191" s="2">
        <v>69</v>
      </c>
      <c r="H2191" s="1">
        <f>_xlfn.XLOOKUP('Customer Info'!A408,'Customer Info'!A408:A507,'Customer Info'!E408:E507,0,0)</f>
        <v>0</v>
      </c>
      <c r="J2191" s="1">
        <f>_xlfn.XLOOKUP('Customer Info'!A408,'Customer Info'!A408:A507,'Customer Info'!M408:M507)</f>
        <v>0</v>
      </c>
    </row>
    <row r="2192" spans="1:10" ht="14" hidden="1" x14ac:dyDescent="0.2">
      <c r="A2192" s="2" t="s">
        <v>38</v>
      </c>
      <c r="B2192" s="2">
        <v>21</v>
      </c>
      <c r="C2192" s="2">
        <v>4</v>
      </c>
      <c r="D2192" s="2">
        <v>2020</v>
      </c>
      <c r="E2192" s="2">
        <v>57.3</v>
      </c>
      <c r="F2192" s="2">
        <v>69</v>
      </c>
      <c r="H2192" s="1">
        <f>_xlfn.XLOOKUP('Customer Info'!A603,'Customer Info'!A603:A702,'Customer Info'!E603:E702,0,0)</f>
        <v>0</v>
      </c>
      <c r="J2192" s="1">
        <f>_xlfn.XLOOKUP('Customer Info'!A603,'Customer Info'!A603:A702,'Customer Info'!M603:M702)</f>
        <v>0</v>
      </c>
    </row>
    <row r="2193" spans="1:10" ht="14" hidden="1" x14ac:dyDescent="0.2">
      <c r="A2193" s="2" t="s">
        <v>38</v>
      </c>
      <c r="B2193" s="2">
        <v>21</v>
      </c>
      <c r="C2193" s="2">
        <v>9</v>
      </c>
      <c r="D2193" s="2">
        <v>2020</v>
      </c>
      <c r="E2193" s="2">
        <v>27.3</v>
      </c>
      <c r="F2193" s="2">
        <v>69</v>
      </c>
      <c r="H2193" s="1">
        <f>_xlfn.XLOOKUP('Customer Info'!A837,'Customer Info'!A837:A936,'Customer Info'!E837:E936,0,0)</f>
        <v>0</v>
      </c>
      <c r="J2193" s="1">
        <f>_xlfn.XLOOKUP('Customer Info'!A837,'Customer Info'!A837:A936,'Customer Info'!M837:M936)</f>
        <v>0</v>
      </c>
    </row>
    <row r="2194" spans="1:10" ht="14" x14ac:dyDescent="0.2">
      <c r="A2194" s="2" t="s">
        <v>57</v>
      </c>
      <c r="B2194" s="2">
        <v>17</v>
      </c>
      <c r="C2194" s="2">
        <v>2</v>
      </c>
      <c r="D2194" s="2">
        <v>2021</v>
      </c>
      <c r="E2194" s="2">
        <v>96.32</v>
      </c>
      <c r="F2194" s="2">
        <v>68.88</v>
      </c>
      <c r="H2194" s="1">
        <f>_xlfn.XLOOKUP('Customer Info'!A1573,'Customer Info'!A1573:A1672,'Customer Info'!E1573:E1672,0,0)</f>
        <v>0</v>
      </c>
      <c r="J2194" s="1">
        <f>_xlfn.XLOOKUP('Customer Info'!A1573,'Customer Info'!A1573:A1672,'Customer Info'!M1573:M1672)</f>
        <v>0</v>
      </c>
    </row>
    <row r="2195" spans="1:10" ht="14" hidden="1" x14ac:dyDescent="0.2">
      <c r="A2195" s="2" t="s">
        <v>64</v>
      </c>
      <c r="B2195" s="2">
        <v>21</v>
      </c>
      <c r="C2195" s="2">
        <v>2</v>
      </c>
      <c r="D2195" s="2">
        <v>2020</v>
      </c>
      <c r="E2195" s="2">
        <v>87.92</v>
      </c>
      <c r="F2195" s="2">
        <v>68.88</v>
      </c>
      <c r="H2195" s="1">
        <f>_xlfn.XLOOKUP('Customer Info'!A407,'Customer Info'!A407:A506,'Customer Info'!E407:E506,0,0)</f>
        <v>0</v>
      </c>
      <c r="J2195" s="1">
        <f>_xlfn.XLOOKUP('Customer Info'!A407,'Customer Info'!A407:A506,'Customer Info'!M407:M506)</f>
        <v>0</v>
      </c>
    </row>
    <row r="2196" spans="1:10" ht="14" x14ac:dyDescent="0.2">
      <c r="A2196" s="2" t="s">
        <v>96</v>
      </c>
      <c r="B2196" s="2">
        <v>3</v>
      </c>
      <c r="C2196" s="2">
        <v>8</v>
      </c>
      <c r="D2196" s="2">
        <v>2021</v>
      </c>
      <c r="E2196" s="1" t="s">
        <v>94</v>
      </c>
      <c r="F2196" s="2">
        <v>68.819999999999993</v>
      </c>
      <c r="H2196" s="1">
        <f>_xlfn.XLOOKUP('Customer Info'!A1331,'Customer Info'!A1331:A1430,'Customer Info'!E1331:E1430,0,0)</f>
        <v>0</v>
      </c>
      <c r="J2196" s="1">
        <f>_xlfn.XLOOKUP('Customer Info'!A1331,'Customer Info'!A1331:A1430,'Customer Info'!M1331:M1430)</f>
        <v>0</v>
      </c>
    </row>
    <row r="2197" spans="1:10" ht="14" hidden="1" x14ac:dyDescent="0.2">
      <c r="A2197" s="2" t="s">
        <v>42</v>
      </c>
      <c r="B2197" s="2">
        <v>12</v>
      </c>
      <c r="C2197" s="2">
        <v>1</v>
      </c>
      <c r="D2197" s="2">
        <v>2020</v>
      </c>
      <c r="E2197" s="2">
        <v>93.62</v>
      </c>
      <c r="F2197" s="2">
        <v>68.819999999999993</v>
      </c>
      <c r="H2197" s="1">
        <f>_xlfn.XLOOKUP('Customer Info'!A375,'Customer Info'!A375:A474,'Customer Info'!E375:E474,0,0)</f>
        <v>0</v>
      </c>
      <c r="J2197" s="1">
        <f>_xlfn.XLOOKUP('Customer Info'!A375,'Customer Info'!A375:A474,'Customer Info'!M375:M474)</f>
        <v>0</v>
      </c>
    </row>
    <row r="2198" spans="1:10" ht="14" x14ac:dyDescent="0.2">
      <c r="A2198" s="2" t="s">
        <v>45</v>
      </c>
      <c r="B2198" s="2">
        <v>18</v>
      </c>
      <c r="C2198" s="2">
        <v>1</v>
      </c>
      <c r="D2198" s="2">
        <v>2021</v>
      </c>
      <c r="E2198" s="2">
        <v>92.69</v>
      </c>
      <c r="F2198" s="2">
        <v>68.819999999999993</v>
      </c>
      <c r="H2198" s="1">
        <f>_xlfn.XLOOKUP('Customer Info'!A1598,'Customer Info'!A1598:A1697,'Customer Info'!E1598:E1697,0,0)</f>
        <v>0</v>
      </c>
      <c r="J2198" s="1">
        <f>_xlfn.XLOOKUP('Customer Info'!A1598,'Customer Info'!A1598:A1697,'Customer Info'!M1598:M1697)</f>
        <v>0</v>
      </c>
    </row>
    <row r="2199" spans="1:10" ht="14" x14ac:dyDescent="0.2">
      <c r="A2199" s="2" t="s">
        <v>45</v>
      </c>
      <c r="B2199" s="2">
        <v>18</v>
      </c>
      <c r="C2199" s="2">
        <v>12</v>
      </c>
      <c r="D2199" s="2">
        <v>2021</v>
      </c>
      <c r="E2199" s="2">
        <v>87.73</v>
      </c>
      <c r="F2199" s="2">
        <v>68.819999999999993</v>
      </c>
      <c r="H2199" s="1">
        <f>_xlfn.XLOOKUP('Customer Info'!A1623,'Customer Info'!A1623:A1722,'Customer Info'!E1623:E1722,0,0)</f>
        <v>0</v>
      </c>
      <c r="J2199" s="1">
        <f>_xlfn.XLOOKUP('Customer Info'!A1623,'Customer Info'!A1623:A1722,'Customer Info'!M1623:M1722)</f>
        <v>0</v>
      </c>
    </row>
    <row r="2200" spans="1:10" ht="14" x14ac:dyDescent="0.2">
      <c r="A2200" s="2" t="s">
        <v>58</v>
      </c>
      <c r="B2200" s="2">
        <v>16</v>
      </c>
      <c r="C2200" s="2">
        <v>3</v>
      </c>
      <c r="D2200" s="2">
        <v>2021</v>
      </c>
      <c r="E2200" s="2">
        <v>67.58</v>
      </c>
      <c r="F2200" s="2">
        <v>68.819999999999993</v>
      </c>
      <c r="H2200" s="1">
        <f>_xlfn.XLOOKUP('Customer Info'!A1749,'Customer Info'!A1749:A1848,'Customer Info'!E1749:E1848,0,0)</f>
        <v>0</v>
      </c>
      <c r="J2200" s="1">
        <f>_xlfn.XLOOKUP('Customer Info'!A1749,'Customer Info'!A1749:A1848,'Customer Info'!M1749:M1848)</f>
        <v>0</v>
      </c>
    </row>
    <row r="2201" spans="1:10" ht="14" hidden="1" x14ac:dyDescent="0.2">
      <c r="A2201" s="2" t="s">
        <v>47</v>
      </c>
      <c r="B2201" s="2">
        <v>19</v>
      </c>
      <c r="C2201" s="2">
        <v>10</v>
      </c>
      <c r="D2201" s="2">
        <v>2020</v>
      </c>
      <c r="E2201" s="2">
        <v>58.28</v>
      </c>
      <c r="F2201" s="2">
        <v>68.819999999999993</v>
      </c>
      <c r="H2201" s="1">
        <f>_xlfn.XLOOKUP('Customer Info'!A595,'Customer Info'!A595:A694,'Customer Info'!E595:E694,0,0)</f>
        <v>0</v>
      </c>
      <c r="J2201" s="1">
        <f>_xlfn.XLOOKUP('Customer Info'!A595,'Customer Info'!A595:A694,'Customer Info'!M595:M694)</f>
        <v>0</v>
      </c>
    </row>
    <row r="2202" spans="1:10" ht="14" x14ac:dyDescent="0.2">
      <c r="A2202" s="2" t="s">
        <v>58</v>
      </c>
      <c r="B2202" s="2">
        <v>16</v>
      </c>
      <c r="C2202" s="2">
        <v>8</v>
      </c>
      <c r="D2202" s="2">
        <v>2021</v>
      </c>
      <c r="E2202" s="2">
        <v>37.82</v>
      </c>
      <c r="F2202" s="2">
        <v>68.819999999999993</v>
      </c>
      <c r="H2202" s="1">
        <f>_xlfn.XLOOKUP('Customer Info'!A1963,'Customer Info'!A1963:A2062,'Customer Info'!E1963:E2062,0,0)</f>
        <v>0</v>
      </c>
      <c r="J2202" s="1">
        <f>_xlfn.XLOOKUP('Customer Info'!A1963,'Customer Info'!A1963:A2062,'Customer Info'!M1963:M2062)</f>
        <v>0</v>
      </c>
    </row>
    <row r="2203" spans="1:10" ht="14" hidden="1" x14ac:dyDescent="0.2">
      <c r="A2203" s="2" t="s">
        <v>51</v>
      </c>
      <c r="B2203" s="2">
        <v>16</v>
      </c>
      <c r="C2203" s="2">
        <v>4</v>
      </c>
      <c r="D2203" s="2">
        <v>2020</v>
      </c>
      <c r="E2203" s="2">
        <v>70.8</v>
      </c>
      <c r="F2203" s="2">
        <v>68.7</v>
      </c>
      <c r="H2203" s="1">
        <f>_xlfn.XLOOKUP('Customer Info'!A499,'Customer Info'!A499:A598,'Customer Info'!E499:E598,0,0)</f>
        <v>0</v>
      </c>
      <c r="J2203" s="1">
        <f>_xlfn.XLOOKUP('Customer Info'!A499,'Customer Info'!A499:A598,'Customer Info'!M499:M598)</f>
        <v>0</v>
      </c>
    </row>
    <row r="2204" spans="1:10" ht="14" hidden="1" x14ac:dyDescent="0.2">
      <c r="A2204" s="2" t="s">
        <v>67</v>
      </c>
      <c r="B2204" s="2">
        <v>13</v>
      </c>
      <c r="C2204" s="2">
        <v>9</v>
      </c>
      <c r="D2204" s="2">
        <v>2020</v>
      </c>
      <c r="E2204" s="2">
        <v>43.5</v>
      </c>
      <c r="F2204" s="2">
        <v>68.7</v>
      </c>
      <c r="H2204" s="1">
        <f>_xlfn.XLOOKUP('Customer Info'!A704,'Customer Info'!A704:A803,'Customer Info'!E704:E803,0,0)</f>
        <v>0</v>
      </c>
      <c r="J2204" s="1">
        <f>_xlfn.XLOOKUP('Customer Info'!A704,'Customer Info'!A704:A803,'Customer Info'!M704:M803)</f>
        <v>0</v>
      </c>
    </row>
    <row r="2205" spans="1:10" ht="14" x14ac:dyDescent="0.2">
      <c r="A2205" s="2" t="s">
        <v>0</v>
      </c>
      <c r="B2205" s="2">
        <v>25</v>
      </c>
      <c r="C2205" s="2">
        <v>10</v>
      </c>
      <c r="D2205" s="2">
        <v>2021</v>
      </c>
      <c r="E2205" s="1" t="s">
        <v>94</v>
      </c>
      <c r="F2205" s="2">
        <v>68.510000000000005</v>
      </c>
      <c r="H2205" s="1">
        <f>_xlfn.XLOOKUP('Customer Info'!A1332,'Customer Info'!A1332:A1431,'Customer Info'!E1332:E1431,0,0)</f>
        <v>0</v>
      </c>
      <c r="J2205" s="1">
        <f>_xlfn.XLOOKUP('Customer Info'!A1332,'Customer Info'!A1332:A1431,'Customer Info'!M1332:M1431)</f>
        <v>0</v>
      </c>
    </row>
    <row r="2206" spans="1:10" ht="14" hidden="1" x14ac:dyDescent="0.2">
      <c r="A2206" s="2" t="s">
        <v>75</v>
      </c>
      <c r="B2206" s="2">
        <v>2</v>
      </c>
      <c r="C2206" s="2">
        <v>1</v>
      </c>
      <c r="D2206" s="2">
        <v>2020</v>
      </c>
      <c r="E2206" s="2">
        <v>114.08</v>
      </c>
      <c r="F2206" s="2">
        <v>68.510000000000005</v>
      </c>
      <c r="H2206" s="1">
        <f>_xlfn.XLOOKUP('Customer Info'!A242,'Customer Info'!A242:A341,'Customer Info'!E242:E341,0,0)</f>
        <v>0</v>
      </c>
      <c r="J2206" s="1">
        <f>_xlfn.XLOOKUP('Customer Info'!A242,'Customer Info'!A242:A341,'Customer Info'!M242:M341)</f>
        <v>0</v>
      </c>
    </row>
    <row r="2207" spans="1:10" ht="14" x14ac:dyDescent="0.2">
      <c r="A2207" s="2" t="s">
        <v>49</v>
      </c>
      <c r="B2207" s="2">
        <v>3</v>
      </c>
      <c r="C2207" s="2">
        <v>5</v>
      </c>
      <c r="D2207" s="2">
        <v>2021</v>
      </c>
      <c r="E2207" s="2">
        <v>32.24</v>
      </c>
      <c r="F2207" s="2">
        <v>68.510000000000005</v>
      </c>
      <c r="H2207" s="1">
        <f>_xlfn.XLOOKUP('Customer Info'!A2006,'Customer Info'!A2006:A2105,'Customer Info'!E2006:E2105,0,0)</f>
        <v>0</v>
      </c>
      <c r="J2207" s="1">
        <f>_xlfn.XLOOKUP('Customer Info'!A2006,'Customer Info'!A2006:A2105,'Customer Info'!M2006:M2105)</f>
        <v>0</v>
      </c>
    </row>
    <row r="2208" spans="1:10" ht="14" x14ac:dyDescent="0.2">
      <c r="A2208" s="2" t="s">
        <v>35</v>
      </c>
      <c r="B2208" s="2">
        <v>9</v>
      </c>
      <c r="C2208" s="2">
        <v>5</v>
      </c>
      <c r="D2208" s="2">
        <v>2021</v>
      </c>
      <c r="E2208" s="2">
        <v>26.35</v>
      </c>
      <c r="F2208" s="2">
        <v>68.510000000000005</v>
      </c>
      <c r="H2208" s="1">
        <f>_xlfn.XLOOKUP('Customer Info'!A2047,'Customer Info'!A2047:A2146,'Customer Info'!E2047:E2146,0,0)</f>
        <v>0</v>
      </c>
      <c r="J2208" s="1">
        <f>_xlfn.XLOOKUP('Customer Info'!A2047,'Customer Info'!A2047:A2146,'Customer Info'!M2047:M2146)</f>
        <v>0</v>
      </c>
    </row>
    <row r="2209" spans="1:10" ht="14" hidden="1" x14ac:dyDescent="0.2">
      <c r="A2209" s="2" t="s">
        <v>63</v>
      </c>
      <c r="B2209" s="2">
        <v>25</v>
      </c>
      <c r="C2209" s="2">
        <v>6</v>
      </c>
      <c r="D2209" s="2">
        <v>2020</v>
      </c>
      <c r="E2209" s="2">
        <v>36.299999999999997</v>
      </c>
      <c r="F2209" s="2">
        <v>68.400000000000006</v>
      </c>
      <c r="H2209" s="1">
        <f>_xlfn.XLOOKUP('Customer Info'!A774,'Customer Info'!A774:A873,'Customer Info'!E774:E873,0,0)</f>
        <v>0</v>
      </c>
      <c r="J2209" s="1">
        <f>_xlfn.XLOOKUP('Customer Info'!A774,'Customer Info'!A774:A873,'Customer Info'!M774:M873)</f>
        <v>0</v>
      </c>
    </row>
    <row r="2210" spans="1:10" ht="14" hidden="1" x14ac:dyDescent="0.2">
      <c r="A2210" s="2" t="s">
        <v>48</v>
      </c>
      <c r="B2210" s="2">
        <v>24</v>
      </c>
      <c r="C2210" s="2">
        <v>9</v>
      </c>
      <c r="D2210" s="2">
        <v>2020</v>
      </c>
      <c r="E2210" s="2">
        <v>30</v>
      </c>
      <c r="F2210" s="2">
        <v>68.400000000000006</v>
      </c>
      <c r="H2210" s="1">
        <f>_xlfn.XLOOKUP('Customer Info'!A820,'Customer Info'!A820:A919,'Customer Info'!E820:E919,0,0)</f>
        <v>0</v>
      </c>
      <c r="J2210" s="1">
        <f>_xlfn.XLOOKUP('Customer Info'!A820,'Customer Info'!A820:A919,'Customer Info'!M820:M919)</f>
        <v>0</v>
      </c>
    </row>
    <row r="2211" spans="1:10" ht="14" x14ac:dyDescent="0.2">
      <c r="A2211" s="2" t="s">
        <v>42</v>
      </c>
      <c r="B2211" s="2">
        <v>12</v>
      </c>
      <c r="C2211" s="2">
        <v>6</v>
      </c>
      <c r="D2211" s="2">
        <v>2021</v>
      </c>
      <c r="E2211" s="2">
        <v>22.5</v>
      </c>
      <c r="F2211" s="2">
        <v>68.400000000000006</v>
      </c>
      <c r="H2211" s="1">
        <f>_xlfn.XLOOKUP('Customer Info'!A2060,'Customer Info'!A2060:A2159,'Customer Info'!E2060:E2159,0,0)</f>
        <v>0</v>
      </c>
      <c r="J2211" s="1">
        <f>_xlfn.XLOOKUP('Customer Info'!A2060,'Customer Info'!A2060:A2159,'Customer Info'!M2060:M2159)</f>
        <v>0</v>
      </c>
    </row>
    <row r="2212" spans="1:10" ht="14" hidden="1" x14ac:dyDescent="0.2">
      <c r="A2212" s="2" t="s">
        <v>95</v>
      </c>
      <c r="B2212" s="2">
        <v>24</v>
      </c>
      <c r="C2212" s="2">
        <v>5</v>
      </c>
      <c r="D2212" s="2">
        <v>2020</v>
      </c>
      <c r="E2212" s="1" t="s">
        <v>94</v>
      </c>
      <c r="F2212" s="2">
        <v>68.2</v>
      </c>
      <c r="H2212" s="1">
        <f>_xlfn.XLOOKUP('Customer Info'!A139,'Customer Info'!A139:A238,'Customer Info'!E139:E238,0,0)</f>
        <v>0</v>
      </c>
      <c r="J2212" s="1">
        <f>_xlfn.XLOOKUP('Customer Info'!A139,'Customer Info'!A139:A238,'Customer Info'!M139:M238)</f>
        <v>0</v>
      </c>
    </row>
    <row r="2213" spans="1:10" ht="14" x14ac:dyDescent="0.2">
      <c r="A2213" s="2" t="s">
        <v>35</v>
      </c>
      <c r="B2213" s="2">
        <v>9</v>
      </c>
      <c r="C2213" s="2">
        <v>12</v>
      </c>
      <c r="D2213" s="2">
        <v>2021</v>
      </c>
      <c r="E2213" s="2">
        <v>115.32</v>
      </c>
      <c r="F2213" s="2">
        <v>68.2</v>
      </c>
      <c r="H2213" s="1">
        <f>_xlfn.XLOOKUP('Customer Info'!A1464,'Customer Info'!A1464:A1563,'Customer Info'!E1464:E1563,0,0)</f>
        <v>0</v>
      </c>
      <c r="J2213" s="1">
        <f>_xlfn.XLOOKUP('Customer Info'!A1464,'Customer Info'!A1464:A1563,'Customer Info'!M1464:M1563)</f>
        <v>0</v>
      </c>
    </row>
    <row r="2214" spans="1:10" ht="14" hidden="1" x14ac:dyDescent="0.2">
      <c r="A2214" s="2" t="s">
        <v>42</v>
      </c>
      <c r="B2214" s="2">
        <v>12</v>
      </c>
      <c r="C2214" s="2">
        <v>3</v>
      </c>
      <c r="D2214" s="2">
        <v>2020</v>
      </c>
      <c r="E2214" s="2">
        <v>67.27</v>
      </c>
      <c r="F2214" s="2">
        <v>68.2</v>
      </c>
      <c r="H2214" s="1">
        <f>_xlfn.XLOOKUP('Customer Info'!A527,'Customer Info'!A527:A626,'Customer Info'!E527:E626,0,0)</f>
        <v>0</v>
      </c>
      <c r="J2214" s="1">
        <f>_xlfn.XLOOKUP('Customer Info'!A527,'Customer Info'!A527:A626,'Customer Info'!M527:M626)</f>
        <v>0</v>
      </c>
    </row>
    <row r="2215" spans="1:10" ht="14" hidden="1" x14ac:dyDescent="0.2">
      <c r="A2215" s="2" t="s">
        <v>39</v>
      </c>
      <c r="B2215" s="2">
        <v>22</v>
      </c>
      <c r="C2215" s="2">
        <v>11</v>
      </c>
      <c r="D2215" s="2">
        <v>2020</v>
      </c>
      <c r="E2215" s="2">
        <v>104.1</v>
      </c>
      <c r="F2215" s="2">
        <v>68.099999999999994</v>
      </c>
      <c r="H2215" s="1">
        <f>_xlfn.XLOOKUP('Customer Info'!A302,'Customer Info'!A302:A401,'Customer Info'!E302:E401,0,0)</f>
        <v>0</v>
      </c>
      <c r="J2215" s="1">
        <f>_xlfn.XLOOKUP('Customer Info'!A302,'Customer Info'!A302:A401,'Customer Info'!M302:M401)</f>
        <v>0</v>
      </c>
    </row>
    <row r="2216" spans="1:10" ht="14" hidden="1" x14ac:dyDescent="0.2">
      <c r="A2216" s="2" t="s">
        <v>89</v>
      </c>
      <c r="B2216" s="2">
        <v>2</v>
      </c>
      <c r="C2216" s="2">
        <v>6</v>
      </c>
      <c r="D2216" s="2">
        <v>2020</v>
      </c>
      <c r="E2216" s="2">
        <v>60.6</v>
      </c>
      <c r="F2216" s="2">
        <v>68.099999999999994</v>
      </c>
      <c r="H2216" s="1">
        <f>_xlfn.XLOOKUP('Customer Info'!A581,'Customer Info'!A581:A680,'Customer Info'!E581:E680,0,0)</f>
        <v>0</v>
      </c>
      <c r="J2216" s="1">
        <f>_xlfn.XLOOKUP('Customer Info'!A581,'Customer Info'!A581:A680,'Customer Info'!M581:M680)</f>
        <v>0</v>
      </c>
    </row>
    <row r="2217" spans="1:10" ht="14" x14ac:dyDescent="0.2">
      <c r="A2217" s="2" t="s">
        <v>89</v>
      </c>
      <c r="B2217" s="2">
        <v>2</v>
      </c>
      <c r="C2217" s="2">
        <v>6</v>
      </c>
      <c r="D2217" s="2">
        <v>2021</v>
      </c>
      <c r="E2217" s="2">
        <v>52.8</v>
      </c>
      <c r="F2217" s="2">
        <v>68.099999999999994</v>
      </c>
      <c r="H2217" s="1">
        <f>_xlfn.XLOOKUP('Customer Info'!A1844,'Customer Info'!A1844:A1943,'Customer Info'!E1844:E1943,0,0)</f>
        <v>0</v>
      </c>
      <c r="J2217" s="1">
        <f>_xlfn.XLOOKUP('Customer Info'!A1844,'Customer Info'!A1844:A1943,'Customer Info'!M1844:M1943)</f>
        <v>0</v>
      </c>
    </row>
    <row r="2218" spans="1:10" ht="14" x14ac:dyDescent="0.2">
      <c r="A2218" s="2" t="s">
        <v>36</v>
      </c>
      <c r="B2218" s="2">
        <v>12</v>
      </c>
      <c r="C2218" s="2">
        <v>6</v>
      </c>
      <c r="D2218" s="2">
        <v>2021</v>
      </c>
      <c r="E2218" s="2">
        <v>28.8</v>
      </c>
      <c r="F2218" s="2">
        <v>68.099999999999994</v>
      </c>
      <c r="H2218" s="1">
        <f>_xlfn.XLOOKUP('Customer Info'!A2029,'Customer Info'!A2029:A2128,'Customer Info'!E2029:E2128,0,0)</f>
        <v>0</v>
      </c>
      <c r="J2218" s="1">
        <f>_xlfn.XLOOKUP('Customer Info'!A2029,'Customer Info'!A2029:A2128,'Customer Info'!M2029:M2128)</f>
        <v>0</v>
      </c>
    </row>
    <row r="2219" spans="1:10" ht="14" hidden="1" x14ac:dyDescent="0.2">
      <c r="A2219" s="2" t="s">
        <v>82</v>
      </c>
      <c r="B2219" s="2">
        <v>8</v>
      </c>
      <c r="C2219" s="2">
        <v>2</v>
      </c>
      <c r="D2219" s="2">
        <v>2020</v>
      </c>
      <c r="E2219" s="2">
        <v>114.8</v>
      </c>
      <c r="F2219" s="2">
        <v>68.040000000000006</v>
      </c>
      <c r="H2219" s="1">
        <f>_xlfn.XLOOKUP('Customer Info'!A230,'Customer Info'!A230:A329,'Customer Info'!E230:E329,0,0)</f>
        <v>0</v>
      </c>
      <c r="J2219" s="1">
        <f>_xlfn.XLOOKUP('Customer Info'!A230,'Customer Info'!A230:A329,'Customer Info'!M230:M329)</f>
        <v>0</v>
      </c>
    </row>
    <row r="2220" spans="1:10" ht="14" hidden="1" x14ac:dyDescent="0.2">
      <c r="A2220" s="2" t="s">
        <v>76</v>
      </c>
      <c r="B2220" s="2">
        <v>9</v>
      </c>
      <c r="C2220" s="2">
        <v>3</v>
      </c>
      <c r="D2220" s="2">
        <v>2020</v>
      </c>
      <c r="E2220" s="2">
        <v>76.88</v>
      </c>
      <c r="F2220" s="2">
        <v>67.89</v>
      </c>
      <c r="H2220" s="1">
        <f>_xlfn.XLOOKUP('Customer Info'!A456,'Customer Info'!A456:A555,'Customer Info'!E456:E555,0,0)</f>
        <v>0</v>
      </c>
      <c r="J2220" s="1">
        <f>_xlfn.XLOOKUP('Customer Info'!A456,'Customer Info'!A456:A555,'Customer Info'!M456:M555)</f>
        <v>0</v>
      </c>
    </row>
    <row r="2221" spans="1:10" ht="14" hidden="1" x14ac:dyDescent="0.2">
      <c r="A2221" s="2" t="s">
        <v>35</v>
      </c>
      <c r="B2221" s="2">
        <v>9</v>
      </c>
      <c r="C2221" s="2">
        <v>4</v>
      </c>
      <c r="D2221" s="2">
        <v>2020</v>
      </c>
      <c r="E2221" s="2">
        <v>53.7</v>
      </c>
      <c r="F2221" s="2">
        <v>67.8</v>
      </c>
      <c r="H2221" s="1">
        <f>_xlfn.XLOOKUP('Customer Info'!A622,'Customer Info'!A622:A721,'Customer Info'!E622:E721,0,0)</f>
        <v>0</v>
      </c>
      <c r="J2221" s="1">
        <f>_xlfn.XLOOKUP('Customer Info'!A622,'Customer Info'!A622:A721,'Customer Info'!M622:M721)</f>
        <v>0</v>
      </c>
    </row>
    <row r="2222" spans="1:10" ht="14" hidden="1" x14ac:dyDescent="0.2">
      <c r="A2222" s="2" t="s">
        <v>82</v>
      </c>
      <c r="B2222" s="2">
        <v>8</v>
      </c>
      <c r="C2222" s="2">
        <v>6</v>
      </c>
      <c r="D2222" s="2">
        <v>2020</v>
      </c>
      <c r="E2222" s="2">
        <v>48</v>
      </c>
      <c r="F2222" s="2">
        <v>67.8</v>
      </c>
      <c r="H2222" s="1">
        <f>_xlfn.XLOOKUP('Customer Info'!A661,'Customer Info'!A661:A760,'Customer Info'!E661:E760,0,0)</f>
        <v>0</v>
      </c>
      <c r="J2222" s="1">
        <f>_xlfn.XLOOKUP('Customer Info'!A661,'Customer Info'!A661:A760,'Customer Info'!M661:M760)</f>
        <v>0</v>
      </c>
    </row>
    <row r="2223" spans="1:10" ht="14" hidden="1" x14ac:dyDescent="0.2">
      <c r="A2223" s="2" t="s">
        <v>50</v>
      </c>
      <c r="B2223" s="2">
        <v>24</v>
      </c>
      <c r="C2223" s="2">
        <v>6</v>
      </c>
      <c r="D2223" s="2">
        <v>2020</v>
      </c>
      <c r="E2223" s="2">
        <v>27</v>
      </c>
      <c r="F2223" s="2">
        <v>67.8</v>
      </c>
      <c r="H2223" s="1">
        <f>_xlfn.XLOOKUP('Customer Info'!A840,'Customer Info'!A840:A939,'Customer Info'!E840:E939,0,0)</f>
        <v>0</v>
      </c>
      <c r="J2223" s="1">
        <f>_xlfn.XLOOKUP('Customer Info'!A840,'Customer Info'!A840:A939,'Customer Info'!M840:M939)</f>
        <v>0</v>
      </c>
    </row>
    <row r="2224" spans="1:10" ht="14" hidden="1" x14ac:dyDescent="0.2">
      <c r="A2224" s="2" t="s">
        <v>35</v>
      </c>
      <c r="B2224" s="2">
        <v>9</v>
      </c>
      <c r="C2224" s="2">
        <v>6</v>
      </c>
      <c r="D2224" s="2">
        <v>2020</v>
      </c>
      <c r="E2224" s="2">
        <v>20.399999999999999</v>
      </c>
      <c r="F2224" s="2">
        <v>67.8</v>
      </c>
      <c r="H2224" s="1">
        <f>_xlfn.XLOOKUP('Customer Info'!A867,'Customer Info'!A867:A966,'Customer Info'!E867:E966,0,0)</f>
        <v>0</v>
      </c>
      <c r="J2224" s="1">
        <f>_xlfn.XLOOKUP('Customer Info'!A867,'Customer Info'!A867:A966,'Customer Info'!M867:M966)</f>
        <v>0</v>
      </c>
    </row>
    <row r="2225" spans="1:10" ht="14" x14ac:dyDescent="0.2">
      <c r="A2225" s="2" t="s">
        <v>42</v>
      </c>
      <c r="B2225" s="2">
        <v>12</v>
      </c>
      <c r="C2225" s="2">
        <v>12</v>
      </c>
      <c r="D2225" s="2">
        <v>2021</v>
      </c>
      <c r="E2225" s="2">
        <v>115.63</v>
      </c>
      <c r="F2225" s="2">
        <v>67.58</v>
      </c>
      <c r="H2225" s="1">
        <f>_xlfn.XLOOKUP('Customer Info'!A1463,'Customer Info'!A1463:A1562,'Customer Info'!E1463:E1562,0,0)</f>
        <v>0</v>
      </c>
      <c r="J2225" s="1">
        <f>_xlfn.XLOOKUP('Customer Info'!A1463,'Customer Info'!A1463:A1562,'Customer Info'!M1463:M1562)</f>
        <v>0</v>
      </c>
    </row>
    <row r="2226" spans="1:10" ht="14" x14ac:dyDescent="0.2">
      <c r="A2226" s="2" t="s">
        <v>49</v>
      </c>
      <c r="B2226" s="2">
        <v>3</v>
      </c>
      <c r="C2226" s="2">
        <v>12</v>
      </c>
      <c r="D2226" s="2">
        <v>2021</v>
      </c>
      <c r="E2226" s="2">
        <v>106.02</v>
      </c>
      <c r="F2226" s="2">
        <v>67.58</v>
      </c>
      <c r="H2226" s="1">
        <f>_xlfn.XLOOKUP('Customer Info'!A1522,'Customer Info'!A1522:A1621,'Customer Info'!E1522:E1621,0,0)</f>
        <v>0</v>
      </c>
      <c r="J2226" s="1">
        <f>_xlfn.XLOOKUP('Customer Info'!A1522,'Customer Info'!A1522:A1621,'Customer Info'!M1522:M1621)</f>
        <v>0</v>
      </c>
    </row>
    <row r="2227" spans="1:10" ht="14" hidden="1" x14ac:dyDescent="0.2">
      <c r="A2227" s="2" t="s">
        <v>74</v>
      </c>
      <c r="B2227" s="2">
        <v>5</v>
      </c>
      <c r="C2227" s="2">
        <v>3</v>
      </c>
      <c r="D2227" s="2">
        <v>2020</v>
      </c>
      <c r="E2227" s="2">
        <v>77.81</v>
      </c>
      <c r="F2227" s="2">
        <v>67.58</v>
      </c>
      <c r="H2227" s="1">
        <f>_xlfn.XLOOKUP('Customer Info'!A451,'Customer Info'!A451:A550,'Customer Info'!E451:E550,0,0)</f>
        <v>0</v>
      </c>
      <c r="J2227" s="1">
        <f>_xlfn.XLOOKUP('Customer Info'!A451,'Customer Info'!A451:A550,'Customer Info'!M451:M550)</f>
        <v>0</v>
      </c>
    </row>
    <row r="2228" spans="1:10" ht="14" x14ac:dyDescent="0.2">
      <c r="A2228" s="2" t="s">
        <v>42</v>
      </c>
      <c r="B2228" s="2">
        <v>12</v>
      </c>
      <c r="C2228" s="2">
        <v>10</v>
      </c>
      <c r="D2228" s="2">
        <v>2021</v>
      </c>
      <c r="E2228" s="2">
        <v>64.790000000000006</v>
      </c>
      <c r="F2228" s="2">
        <v>67.58</v>
      </c>
      <c r="H2228" s="1">
        <f>_xlfn.XLOOKUP('Customer Info'!A1771,'Customer Info'!A1771:A1870,'Customer Info'!E1771:E1870,0,0)</f>
        <v>0</v>
      </c>
      <c r="J2228" s="1">
        <f>_xlfn.XLOOKUP('Customer Info'!A1771,'Customer Info'!A1771:A1870,'Customer Info'!M1771:M1870)</f>
        <v>0</v>
      </c>
    </row>
    <row r="2229" spans="1:10" ht="14" x14ac:dyDescent="0.2">
      <c r="A2229" s="2" t="s">
        <v>34</v>
      </c>
      <c r="B2229" s="2">
        <v>4</v>
      </c>
      <c r="C2229" s="2">
        <v>11</v>
      </c>
      <c r="D2229" s="2">
        <v>2021</v>
      </c>
      <c r="E2229" s="2">
        <v>100.2</v>
      </c>
      <c r="F2229" s="2">
        <v>67.5</v>
      </c>
      <c r="H2229" s="1">
        <f>_xlfn.XLOOKUP('Customer Info'!A1554,'Customer Info'!A1554:A1653,'Customer Info'!E1554:E1653,0,0)</f>
        <v>0</v>
      </c>
      <c r="J2229" s="1">
        <f>_xlfn.XLOOKUP('Customer Info'!A1554,'Customer Info'!A1554:A1653,'Customer Info'!M1554:M1653)</f>
        <v>0</v>
      </c>
    </row>
    <row r="2230" spans="1:10" ht="14" x14ac:dyDescent="0.2">
      <c r="A2230" s="2" t="s">
        <v>34</v>
      </c>
      <c r="B2230" s="2">
        <v>4</v>
      </c>
      <c r="C2230" s="2">
        <v>6</v>
      </c>
      <c r="D2230" s="2">
        <v>2021</v>
      </c>
      <c r="E2230" s="2">
        <v>27.9</v>
      </c>
      <c r="F2230" s="2">
        <v>67.5</v>
      </c>
      <c r="H2230" s="1">
        <f>_xlfn.XLOOKUP('Customer Info'!A2036,'Customer Info'!A2036:A2135,'Customer Info'!E2036:E2135,0,0)</f>
        <v>0</v>
      </c>
      <c r="J2230" s="1">
        <f>_xlfn.XLOOKUP('Customer Info'!A2036,'Customer Info'!A2036:A2135,'Customer Info'!M2036:M2135)</f>
        <v>0</v>
      </c>
    </row>
    <row r="2231" spans="1:10" ht="14" hidden="1" x14ac:dyDescent="0.2">
      <c r="A2231" s="2" t="s">
        <v>62</v>
      </c>
      <c r="B2231" s="2">
        <v>1</v>
      </c>
      <c r="C2231" s="2">
        <v>2</v>
      </c>
      <c r="D2231" s="2">
        <v>2020</v>
      </c>
      <c r="E2231" s="2">
        <v>107.52</v>
      </c>
      <c r="F2231" s="2">
        <v>67.48</v>
      </c>
      <c r="H2231" s="1">
        <f>_xlfn.XLOOKUP('Customer Info'!A276,'Customer Info'!A276:A375,'Customer Info'!E276:E375,0,0)</f>
        <v>0</v>
      </c>
      <c r="J2231" s="1">
        <f>_xlfn.XLOOKUP('Customer Info'!A276,'Customer Info'!A276:A375,'Customer Info'!M276:M375)</f>
        <v>0</v>
      </c>
    </row>
    <row r="2232" spans="1:10" ht="14" x14ac:dyDescent="0.2">
      <c r="A2232" s="2" t="s">
        <v>49</v>
      </c>
      <c r="B2232" s="2">
        <v>3</v>
      </c>
      <c r="C2232" s="2">
        <v>3</v>
      </c>
      <c r="D2232" s="2">
        <v>2021</v>
      </c>
      <c r="E2232" s="2">
        <v>68.2</v>
      </c>
      <c r="F2232" s="2">
        <v>67.27</v>
      </c>
      <c r="H2232" s="1">
        <f>_xlfn.XLOOKUP('Customer Info'!A1747,'Customer Info'!A1747:A1846,'Customer Info'!E1747:E1846,0,0)</f>
        <v>0</v>
      </c>
      <c r="J2232" s="1">
        <f>_xlfn.XLOOKUP('Customer Info'!A1747,'Customer Info'!A1747:A1846,'Customer Info'!M1747:M1846)</f>
        <v>0</v>
      </c>
    </row>
    <row r="2233" spans="1:10" ht="14" x14ac:dyDescent="0.2">
      <c r="A2233" s="2" t="s">
        <v>82</v>
      </c>
      <c r="B2233" s="2">
        <v>8</v>
      </c>
      <c r="C2233" s="2">
        <v>5</v>
      </c>
      <c r="D2233" s="2">
        <v>2021</v>
      </c>
      <c r="E2233" s="2">
        <v>59.52</v>
      </c>
      <c r="F2233" s="2">
        <v>67.27</v>
      </c>
      <c r="H2233" s="1">
        <f>_xlfn.XLOOKUP('Customer Info'!A1808,'Customer Info'!A1808:A1907,'Customer Info'!E1808:E1907,0,0)</f>
        <v>0</v>
      </c>
      <c r="J2233" s="1">
        <f>_xlfn.XLOOKUP('Customer Info'!A1808,'Customer Info'!A1808:A1907,'Customer Info'!M1808:M1907)</f>
        <v>0</v>
      </c>
    </row>
    <row r="2234" spans="1:10" ht="14" hidden="1" x14ac:dyDescent="0.2">
      <c r="A2234" s="2" t="s">
        <v>78</v>
      </c>
      <c r="B2234" s="2">
        <v>18</v>
      </c>
      <c r="C2234" s="2">
        <v>2</v>
      </c>
      <c r="D2234" s="2">
        <v>2020</v>
      </c>
      <c r="E2234" s="2">
        <v>133.84</v>
      </c>
      <c r="F2234" s="2">
        <v>67.2</v>
      </c>
      <c r="H2234" s="1">
        <f>_xlfn.XLOOKUP('Customer Info'!A171,'Customer Info'!A171:A270,'Customer Info'!E171:E270,0,0)</f>
        <v>0</v>
      </c>
      <c r="J2234" s="1">
        <f>_xlfn.XLOOKUP('Customer Info'!A171,'Customer Info'!A171:A270,'Customer Info'!M171:M270)</f>
        <v>0</v>
      </c>
    </row>
    <row r="2235" spans="1:10" ht="14" hidden="1" x14ac:dyDescent="0.2">
      <c r="A2235" s="2" t="s">
        <v>78</v>
      </c>
      <c r="B2235" s="2">
        <v>18</v>
      </c>
      <c r="C2235" s="2">
        <v>11</v>
      </c>
      <c r="D2235" s="2">
        <v>2020</v>
      </c>
      <c r="E2235" s="2">
        <v>122.4</v>
      </c>
      <c r="F2235" s="2">
        <v>67.2</v>
      </c>
      <c r="H2235" s="1">
        <f>_xlfn.XLOOKUP('Customer Info'!A197,'Customer Info'!A197:A296,'Customer Info'!E197:E296,0,0)</f>
        <v>0</v>
      </c>
      <c r="J2235" s="1">
        <f>_xlfn.XLOOKUP('Customer Info'!A197,'Customer Info'!A197:A296,'Customer Info'!M197:M296)</f>
        <v>0</v>
      </c>
    </row>
    <row r="2236" spans="1:10" ht="14" hidden="1" x14ac:dyDescent="0.2">
      <c r="A2236" s="2" t="s">
        <v>58</v>
      </c>
      <c r="B2236" s="2">
        <v>16</v>
      </c>
      <c r="C2236" s="2">
        <v>11</v>
      </c>
      <c r="D2236" s="2">
        <v>2020</v>
      </c>
      <c r="E2236" s="2">
        <v>95.1</v>
      </c>
      <c r="F2236" s="2">
        <v>67.2</v>
      </c>
      <c r="H2236" s="1">
        <f>_xlfn.XLOOKUP('Customer Info'!A366,'Customer Info'!A366:A465,'Customer Info'!E366:E465,0,0)</f>
        <v>0</v>
      </c>
      <c r="J2236" s="1">
        <f>_xlfn.XLOOKUP('Customer Info'!A366,'Customer Info'!A366:A465,'Customer Info'!M366:M465)</f>
        <v>0</v>
      </c>
    </row>
    <row r="2237" spans="1:10" ht="14" x14ac:dyDescent="0.2">
      <c r="A2237" s="2" t="s">
        <v>49</v>
      </c>
      <c r="B2237" s="2">
        <v>3</v>
      </c>
      <c r="C2237" s="2">
        <v>6</v>
      </c>
      <c r="D2237" s="2">
        <v>2021</v>
      </c>
      <c r="E2237" s="2">
        <v>26.4</v>
      </c>
      <c r="F2237" s="2">
        <v>67.2</v>
      </c>
      <c r="H2237" s="1">
        <f>_xlfn.XLOOKUP('Customer Info'!A2045,'Customer Info'!A2045:A2144,'Customer Info'!E2045:E2144,0,0)</f>
        <v>0</v>
      </c>
      <c r="J2237" s="1">
        <f>_xlfn.XLOOKUP('Customer Info'!A2045,'Customer Info'!A2045:A2144,'Customer Info'!M2045:M2144)</f>
        <v>0</v>
      </c>
    </row>
    <row r="2238" spans="1:10" ht="14" hidden="1" x14ac:dyDescent="0.2">
      <c r="A2238" s="2" t="s">
        <v>34</v>
      </c>
      <c r="B2238" s="2">
        <v>4</v>
      </c>
      <c r="C2238" s="2">
        <v>6</v>
      </c>
      <c r="D2238" s="2">
        <v>2020</v>
      </c>
      <c r="E2238" s="2">
        <v>16.5</v>
      </c>
      <c r="F2238" s="2">
        <v>67.2</v>
      </c>
      <c r="H2238" s="1">
        <f>_xlfn.XLOOKUP('Customer Info'!A874,'Customer Info'!A874:A973,'Customer Info'!E874:E973,0,0)</f>
        <v>0</v>
      </c>
      <c r="J2238" s="1">
        <f>_xlfn.XLOOKUP('Customer Info'!A874,'Customer Info'!A874:A973,'Customer Info'!M874:M973)</f>
        <v>0</v>
      </c>
    </row>
    <row r="2239" spans="1:10" ht="14" hidden="1" x14ac:dyDescent="0.2">
      <c r="A2239" s="2" t="s">
        <v>89</v>
      </c>
      <c r="B2239" s="2">
        <v>2</v>
      </c>
      <c r="C2239" s="2">
        <v>1</v>
      </c>
      <c r="D2239" s="2">
        <v>2020</v>
      </c>
      <c r="E2239" s="2">
        <v>153.13999999999999</v>
      </c>
      <c r="F2239" s="2">
        <v>66.959999999999994</v>
      </c>
      <c r="H2239" s="1">
        <f>_xlfn.XLOOKUP('Customer Info'!A149,'Customer Info'!A149:A248,'Customer Info'!E149:E248,0,0)</f>
        <v>0</v>
      </c>
      <c r="J2239" s="1">
        <f>_xlfn.XLOOKUP('Customer Info'!A149,'Customer Info'!A149:A248,'Customer Info'!M149:M248)</f>
        <v>0</v>
      </c>
    </row>
    <row r="2240" spans="1:10" ht="14" hidden="1" x14ac:dyDescent="0.2">
      <c r="A2240" s="2" t="s">
        <v>47</v>
      </c>
      <c r="B2240" s="2">
        <v>19</v>
      </c>
      <c r="C2240" s="2">
        <v>1</v>
      </c>
      <c r="D2240" s="2">
        <v>2020</v>
      </c>
      <c r="E2240" s="2">
        <v>105.09</v>
      </c>
      <c r="F2240" s="2">
        <v>66.959999999999994</v>
      </c>
      <c r="H2240" s="1">
        <f>_xlfn.XLOOKUP('Customer Info'!A296,'Customer Info'!A296:A395,'Customer Info'!E296:E395,0,0)</f>
        <v>0</v>
      </c>
      <c r="J2240" s="1">
        <f>_xlfn.XLOOKUP('Customer Info'!A296,'Customer Info'!A296:A395,'Customer Info'!M296:M395)</f>
        <v>0</v>
      </c>
    </row>
    <row r="2241" spans="1:10" ht="14" x14ac:dyDescent="0.2">
      <c r="A2241" s="2" t="s">
        <v>36</v>
      </c>
      <c r="B2241" s="2">
        <v>12</v>
      </c>
      <c r="C2241" s="2">
        <v>1</v>
      </c>
      <c r="D2241" s="2">
        <v>2021</v>
      </c>
      <c r="E2241" s="2">
        <v>100.13</v>
      </c>
      <c r="F2241" s="2">
        <v>66.959999999999994</v>
      </c>
      <c r="H2241" s="1">
        <f>_xlfn.XLOOKUP('Customer Info'!A1555,'Customer Info'!A1555:A1654,'Customer Info'!E1555:E1654,0,0)</f>
        <v>0</v>
      </c>
      <c r="J2241" s="1">
        <f>_xlfn.XLOOKUP('Customer Info'!A1555,'Customer Info'!A1555:A1654,'Customer Info'!M1555:M1654)</f>
        <v>0</v>
      </c>
    </row>
    <row r="2242" spans="1:10" ht="14" hidden="1" x14ac:dyDescent="0.2">
      <c r="A2242" s="2" t="s">
        <v>37</v>
      </c>
      <c r="B2242" s="2">
        <v>12</v>
      </c>
      <c r="C2242" s="2">
        <v>12</v>
      </c>
      <c r="D2242" s="2">
        <v>2020</v>
      </c>
      <c r="E2242" s="2">
        <v>99.51</v>
      </c>
      <c r="F2242" s="2">
        <v>66.959999999999994</v>
      </c>
      <c r="H2242" s="1">
        <f>_xlfn.XLOOKUP('Customer Info'!A335,'Customer Info'!A335:A434,'Customer Info'!E335:E434,0,0)</f>
        <v>0</v>
      </c>
      <c r="J2242" s="1">
        <f>_xlfn.XLOOKUP('Customer Info'!A335,'Customer Info'!A335:A434,'Customer Info'!M335:M434)</f>
        <v>0</v>
      </c>
    </row>
    <row r="2243" spans="1:10" ht="14" x14ac:dyDescent="0.2">
      <c r="A2243" s="2" t="s">
        <v>58</v>
      </c>
      <c r="B2243" s="2">
        <v>16</v>
      </c>
      <c r="C2243" s="2">
        <v>10</v>
      </c>
      <c r="D2243" s="2">
        <v>2021</v>
      </c>
      <c r="E2243" s="2">
        <v>74.09</v>
      </c>
      <c r="F2243" s="2">
        <v>66.959999999999994</v>
      </c>
      <c r="H2243" s="1">
        <f>_xlfn.XLOOKUP('Customer Info'!A1706,'Customer Info'!A1706:A1805,'Customer Info'!E1706:E1805,0,0)</f>
        <v>0</v>
      </c>
      <c r="J2243" s="1">
        <f>_xlfn.XLOOKUP('Customer Info'!A1706,'Customer Info'!A1706:A1805,'Customer Info'!M1706:M1805)</f>
        <v>0</v>
      </c>
    </row>
    <row r="2244" spans="1:10" ht="14" x14ac:dyDescent="0.2">
      <c r="A2244" s="2" t="s">
        <v>50</v>
      </c>
      <c r="B2244" s="2">
        <v>24</v>
      </c>
      <c r="C2244" s="2">
        <v>5</v>
      </c>
      <c r="D2244" s="2">
        <v>2021</v>
      </c>
      <c r="E2244" s="2">
        <v>38.130000000000003</v>
      </c>
      <c r="F2244" s="2">
        <v>66.959999999999994</v>
      </c>
      <c r="H2244" s="1">
        <f>_xlfn.XLOOKUP('Customer Info'!A1961,'Customer Info'!A1961:A2060,'Customer Info'!E1961:E2060,0,0)</f>
        <v>0</v>
      </c>
      <c r="J2244" s="1">
        <f>_xlfn.XLOOKUP('Customer Info'!A1961,'Customer Info'!A1961:A2060,'Customer Info'!M1961:M2060)</f>
        <v>0</v>
      </c>
    </row>
    <row r="2245" spans="1:10" ht="14" x14ac:dyDescent="0.2">
      <c r="A2245" s="2" t="s">
        <v>95</v>
      </c>
      <c r="B2245" s="2">
        <v>24</v>
      </c>
      <c r="C2245" s="2">
        <v>2</v>
      </c>
      <c r="D2245" s="2">
        <v>2021</v>
      </c>
      <c r="E2245" s="1" t="s">
        <v>94</v>
      </c>
      <c r="F2245" s="2">
        <v>66.92</v>
      </c>
      <c r="H2245" s="1">
        <f>_xlfn.XLOOKUP('Customer Info'!A1333,'Customer Info'!A1333:A1432,'Customer Info'!E1333:E1432,0,0)</f>
        <v>0</v>
      </c>
      <c r="J2245" s="1">
        <f>_xlfn.XLOOKUP('Customer Info'!A1333,'Customer Info'!A1333:A1432,'Customer Info'!M1333:M1432)</f>
        <v>0</v>
      </c>
    </row>
    <row r="2246" spans="1:10" ht="14" x14ac:dyDescent="0.2">
      <c r="A2246" s="2" t="s">
        <v>50</v>
      </c>
      <c r="B2246" s="2">
        <v>24</v>
      </c>
      <c r="C2246" s="2">
        <v>4</v>
      </c>
      <c r="D2246" s="2">
        <v>2021</v>
      </c>
      <c r="E2246" s="2">
        <v>64.8</v>
      </c>
      <c r="F2246" s="2">
        <v>66.900000000000006</v>
      </c>
      <c r="H2246" s="1">
        <f>_xlfn.XLOOKUP('Customer Info'!A1770,'Customer Info'!A1770:A1869,'Customer Info'!E1770:E1869,0,0)</f>
        <v>0</v>
      </c>
      <c r="J2246" s="1">
        <f>_xlfn.XLOOKUP('Customer Info'!A1770,'Customer Info'!A1770:A1869,'Customer Info'!M1770:M1869)</f>
        <v>0</v>
      </c>
    </row>
    <row r="2247" spans="1:10" ht="14" hidden="1" x14ac:dyDescent="0.2">
      <c r="A2247" s="2" t="s">
        <v>89</v>
      </c>
      <c r="B2247" s="2">
        <v>2</v>
      </c>
      <c r="C2247" s="2">
        <v>10</v>
      </c>
      <c r="D2247" s="2">
        <v>2020</v>
      </c>
      <c r="E2247" s="2">
        <v>91.14</v>
      </c>
      <c r="F2247" s="2">
        <v>66.650000000000006</v>
      </c>
      <c r="H2247" s="1">
        <f>_xlfn.XLOOKUP('Customer Info'!A386,'Customer Info'!A386:A485,'Customer Info'!E386:E485,0,0)</f>
        <v>0</v>
      </c>
      <c r="J2247" s="1">
        <f>_xlfn.XLOOKUP('Customer Info'!A386,'Customer Info'!A386:A485,'Customer Info'!M386:M485)</f>
        <v>0</v>
      </c>
    </row>
    <row r="2248" spans="1:10" ht="14" hidden="1" x14ac:dyDescent="0.2">
      <c r="A2248" s="2" t="s">
        <v>64</v>
      </c>
      <c r="B2248" s="2">
        <v>21</v>
      </c>
      <c r="C2248" s="2">
        <v>5</v>
      </c>
      <c r="D2248" s="2">
        <v>2020</v>
      </c>
      <c r="E2248" s="2">
        <v>51.46</v>
      </c>
      <c r="F2248" s="2">
        <v>66.650000000000006</v>
      </c>
      <c r="H2248" s="1">
        <f>_xlfn.XLOOKUP('Customer Info'!A633,'Customer Info'!A633:A732,'Customer Info'!E633:E732,0,0)</f>
        <v>0</v>
      </c>
      <c r="J2248" s="1">
        <f>_xlfn.XLOOKUP('Customer Info'!A633,'Customer Info'!A633:A732,'Customer Info'!M633:M732)</f>
        <v>0</v>
      </c>
    </row>
    <row r="2249" spans="1:10" ht="14" hidden="1" x14ac:dyDescent="0.2">
      <c r="A2249" s="2" t="s">
        <v>64</v>
      </c>
      <c r="B2249" s="2">
        <v>21</v>
      </c>
      <c r="C2249" s="2">
        <v>9</v>
      </c>
      <c r="D2249" s="2">
        <v>2020</v>
      </c>
      <c r="E2249" s="2">
        <v>45</v>
      </c>
      <c r="F2249" s="2">
        <v>66.599999999999994</v>
      </c>
      <c r="H2249" s="1">
        <f>_xlfn.XLOOKUP('Customer Info'!A684,'Customer Info'!A684:A783,'Customer Info'!E684:E783,0,0)</f>
        <v>0</v>
      </c>
      <c r="J2249" s="1">
        <f>_xlfn.XLOOKUP('Customer Info'!A684,'Customer Info'!A684:A783,'Customer Info'!M684:M783)</f>
        <v>0</v>
      </c>
    </row>
    <row r="2250" spans="1:10" ht="14" hidden="1" x14ac:dyDescent="0.2">
      <c r="A2250" s="2" t="s">
        <v>50</v>
      </c>
      <c r="B2250" s="2">
        <v>24</v>
      </c>
      <c r="C2250" s="2">
        <v>2</v>
      </c>
      <c r="D2250" s="2">
        <v>2020</v>
      </c>
      <c r="E2250" s="2">
        <v>115.64</v>
      </c>
      <c r="F2250" s="2">
        <v>66.36</v>
      </c>
      <c r="H2250" s="1">
        <f>_xlfn.XLOOKUP('Customer Info'!A225,'Customer Info'!A225:A324,'Customer Info'!E225:E324,0,0)</f>
        <v>0</v>
      </c>
      <c r="J2250" s="1">
        <f>_xlfn.XLOOKUP('Customer Info'!A225,'Customer Info'!A225:A324,'Customer Info'!M225:M324)</f>
        <v>0</v>
      </c>
    </row>
    <row r="2251" spans="1:10" ht="14" x14ac:dyDescent="0.2">
      <c r="A2251" s="2" t="s">
        <v>55</v>
      </c>
      <c r="B2251" s="2">
        <v>18</v>
      </c>
      <c r="C2251" s="2">
        <v>5</v>
      </c>
      <c r="D2251" s="2">
        <v>2021</v>
      </c>
      <c r="E2251" s="2">
        <v>36.89</v>
      </c>
      <c r="F2251" s="2">
        <v>66.34</v>
      </c>
      <c r="H2251" s="1">
        <f>_xlfn.XLOOKUP('Customer Info'!A1975,'Customer Info'!A1975:A2074,'Customer Info'!E1975:E2074,0,0)</f>
        <v>0</v>
      </c>
      <c r="J2251" s="1">
        <f>_xlfn.XLOOKUP('Customer Info'!A1975,'Customer Info'!A1975:A2074,'Customer Info'!M1975:M2074)</f>
        <v>0</v>
      </c>
    </row>
    <row r="2252" spans="1:10" ht="14" hidden="1" x14ac:dyDescent="0.2">
      <c r="A2252" s="2" t="s">
        <v>42</v>
      </c>
      <c r="B2252" s="2">
        <v>12</v>
      </c>
      <c r="C2252" s="2">
        <v>8</v>
      </c>
      <c r="D2252" s="2">
        <v>2020</v>
      </c>
      <c r="E2252" s="2">
        <v>29.76</v>
      </c>
      <c r="F2252" s="2">
        <v>66.34</v>
      </c>
      <c r="H2252" s="1">
        <f>_xlfn.XLOOKUP('Customer Info'!A823,'Customer Info'!A823:A922,'Customer Info'!E823:E922,0,0)</f>
        <v>0</v>
      </c>
      <c r="J2252" s="1">
        <f>_xlfn.XLOOKUP('Customer Info'!A823,'Customer Info'!A823:A922,'Customer Info'!M823:M922)</f>
        <v>0</v>
      </c>
    </row>
    <row r="2253" spans="1:10" ht="14" x14ac:dyDescent="0.2">
      <c r="A2253" s="2" t="s">
        <v>42</v>
      </c>
      <c r="B2253" s="2">
        <v>12</v>
      </c>
      <c r="C2253" s="2">
        <v>8</v>
      </c>
      <c r="D2253" s="2">
        <v>2021</v>
      </c>
      <c r="E2253" s="2">
        <v>26.66</v>
      </c>
      <c r="F2253" s="2">
        <v>66.34</v>
      </c>
      <c r="H2253" s="1">
        <f>_xlfn.XLOOKUP('Customer Info'!A2044,'Customer Info'!A2044:A2143,'Customer Info'!E2044:E2143,0,0)</f>
        <v>0</v>
      </c>
      <c r="J2253" s="1">
        <f>_xlfn.XLOOKUP('Customer Info'!A2044,'Customer Info'!A2044:A2143,'Customer Info'!M2044:M2143)</f>
        <v>0</v>
      </c>
    </row>
    <row r="2254" spans="1:10" ht="14" hidden="1" x14ac:dyDescent="0.2">
      <c r="A2254" s="2" t="s">
        <v>34</v>
      </c>
      <c r="B2254" s="2">
        <v>4</v>
      </c>
      <c r="C2254" s="2">
        <v>8</v>
      </c>
      <c r="D2254" s="2">
        <v>2020</v>
      </c>
      <c r="E2254" s="2">
        <v>24.49</v>
      </c>
      <c r="F2254" s="2">
        <v>66.34</v>
      </c>
      <c r="H2254" s="1">
        <f>_xlfn.XLOOKUP('Customer Info'!A857,'Customer Info'!A857:A956,'Customer Info'!E857:E956,0,0)</f>
        <v>0</v>
      </c>
      <c r="J2254" s="1">
        <f>_xlfn.XLOOKUP('Customer Info'!A857,'Customer Info'!A857:A956,'Customer Info'!M857:M956)</f>
        <v>0</v>
      </c>
    </row>
    <row r="2255" spans="1:10" ht="14" x14ac:dyDescent="0.2">
      <c r="A2255" s="2" t="s">
        <v>33</v>
      </c>
      <c r="B2255" s="2">
        <v>21</v>
      </c>
      <c r="C2255" s="2">
        <v>7</v>
      </c>
      <c r="D2255" s="2">
        <v>2021</v>
      </c>
      <c r="E2255" s="2">
        <v>11.78</v>
      </c>
      <c r="F2255" s="2">
        <v>66.34</v>
      </c>
      <c r="H2255" s="1">
        <f>_xlfn.XLOOKUP('Customer Info'!A2070,'Customer Info'!A2070:A2169,'Customer Info'!E2070:E2169,0,0)</f>
        <v>0</v>
      </c>
      <c r="J2255" s="1">
        <f>_xlfn.XLOOKUP('Customer Info'!A2070,'Customer Info'!A2070:A2169,'Customer Info'!M2070:M2169)</f>
        <v>0</v>
      </c>
    </row>
    <row r="2256" spans="1:10" ht="14" hidden="1" x14ac:dyDescent="0.2">
      <c r="A2256" s="2" t="s">
        <v>58</v>
      </c>
      <c r="B2256" s="2">
        <v>16</v>
      </c>
      <c r="C2256" s="2">
        <v>9</v>
      </c>
      <c r="D2256" s="2">
        <v>2020</v>
      </c>
      <c r="E2256" s="2">
        <v>42.6</v>
      </c>
      <c r="F2256" s="2">
        <v>66.3</v>
      </c>
      <c r="H2256" s="1">
        <f>_xlfn.XLOOKUP('Customer Info'!A713,'Customer Info'!A713:A812,'Customer Info'!E713:E812,0,0)</f>
        <v>0</v>
      </c>
      <c r="J2256" s="1">
        <f>_xlfn.XLOOKUP('Customer Info'!A713,'Customer Info'!A713:A812,'Customer Info'!M713:M812)</f>
        <v>0</v>
      </c>
    </row>
    <row r="2257" spans="1:10" ht="14" x14ac:dyDescent="0.2">
      <c r="A2257" s="2" t="s">
        <v>48</v>
      </c>
      <c r="B2257" s="2">
        <v>24</v>
      </c>
      <c r="C2257" s="2">
        <v>2</v>
      </c>
      <c r="D2257" s="2">
        <v>2021</v>
      </c>
      <c r="E2257" s="2">
        <v>111.72</v>
      </c>
      <c r="F2257" s="2">
        <v>66.08</v>
      </c>
      <c r="H2257" s="1">
        <f>_xlfn.XLOOKUP('Customer Info'!A1486,'Customer Info'!A1486:A1585,'Customer Info'!E1486:E1585,0,0)</f>
        <v>0</v>
      </c>
      <c r="J2257" s="1">
        <f>_xlfn.XLOOKUP('Customer Info'!A1486,'Customer Info'!A1486:A1585,'Customer Info'!M1486:M1585)</f>
        <v>0</v>
      </c>
    </row>
    <row r="2258" spans="1:10" ht="14" hidden="1" x14ac:dyDescent="0.2">
      <c r="A2258" s="2" t="s">
        <v>43</v>
      </c>
      <c r="B2258" s="2">
        <v>15</v>
      </c>
      <c r="C2258" s="2">
        <v>2</v>
      </c>
      <c r="D2258" s="2">
        <v>2020</v>
      </c>
      <c r="E2258" s="2">
        <v>96.88</v>
      </c>
      <c r="F2258" s="2">
        <v>66.08</v>
      </c>
      <c r="H2258" s="1">
        <f>_xlfn.XLOOKUP('Customer Info'!A354,'Customer Info'!A354:A453,'Customer Info'!E354:E453,0,0)</f>
        <v>0</v>
      </c>
      <c r="J2258" s="1">
        <f>_xlfn.XLOOKUP('Customer Info'!A354,'Customer Info'!A354:A453,'Customer Info'!M354:M453)</f>
        <v>0</v>
      </c>
    </row>
    <row r="2259" spans="1:10" ht="14" hidden="1" x14ac:dyDescent="0.2">
      <c r="A2259" s="2" t="s">
        <v>36</v>
      </c>
      <c r="B2259" s="2">
        <v>12</v>
      </c>
      <c r="C2259" s="2">
        <v>10</v>
      </c>
      <c r="D2259" s="2">
        <v>2020</v>
      </c>
      <c r="E2259" s="2">
        <v>67.58</v>
      </c>
      <c r="F2259" s="2">
        <v>66.03</v>
      </c>
      <c r="H2259" s="1">
        <f>_xlfn.XLOOKUP('Customer Info'!A525,'Customer Info'!A525:A624,'Customer Info'!E525:E624,0,0)</f>
        <v>0</v>
      </c>
      <c r="J2259" s="1">
        <f>_xlfn.XLOOKUP('Customer Info'!A525,'Customer Info'!A525:A624,'Customer Info'!M525:M624)</f>
        <v>0</v>
      </c>
    </row>
    <row r="2260" spans="1:10" ht="14" hidden="1" x14ac:dyDescent="0.2">
      <c r="A2260" s="2" t="s">
        <v>48</v>
      </c>
      <c r="B2260" s="2">
        <v>24</v>
      </c>
      <c r="C2260" s="2">
        <v>3</v>
      </c>
      <c r="D2260" s="2">
        <v>2020</v>
      </c>
      <c r="E2260" s="2">
        <v>65.72</v>
      </c>
      <c r="F2260" s="2">
        <v>66.03</v>
      </c>
      <c r="H2260" s="1">
        <f>_xlfn.XLOOKUP('Customer Info'!A540,'Customer Info'!A540:A639,'Customer Info'!E540:E639,0,0)</f>
        <v>0</v>
      </c>
      <c r="J2260" s="1">
        <f>_xlfn.XLOOKUP('Customer Info'!A540,'Customer Info'!A540:A639,'Customer Info'!M540:M639)</f>
        <v>0</v>
      </c>
    </row>
    <row r="2261" spans="1:10" ht="14" hidden="1" x14ac:dyDescent="0.2">
      <c r="A2261" s="2" t="s">
        <v>46</v>
      </c>
      <c r="B2261" s="2">
        <v>9</v>
      </c>
      <c r="C2261" s="2">
        <v>4</v>
      </c>
      <c r="D2261" s="2">
        <v>2020</v>
      </c>
      <c r="E2261" s="2">
        <v>60</v>
      </c>
      <c r="F2261" s="2">
        <v>66</v>
      </c>
      <c r="H2261" s="1">
        <f>_xlfn.XLOOKUP('Customer Info'!A587,'Customer Info'!A587:A686,'Customer Info'!E587:E686,0,0)</f>
        <v>0</v>
      </c>
      <c r="J2261" s="1">
        <f>_xlfn.XLOOKUP('Customer Info'!A587,'Customer Info'!A587:A686,'Customer Info'!M587:M686)</f>
        <v>0</v>
      </c>
    </row>
    <row r="2262" spans="1:10" ht="14" x14ac:dyDescent="0.2">
      <c r="A2262" s="2" t="s">
        <v>62</v>
      </c>
      <c r="B2262" s="2">
        <v>1</v>
      </c>
      <c r="C2262" s="2">
        <v>9</v>
      </c>
      <c r="D2262" s="2">
        <v>2021</v>
      </c>
      <c r="E2262" s="2">
        <v>42.3</v>
      </c>
      <c r="F2262" s="2">
        <v>66</v>
      </c>
      <c r="H2262" s="1">
        <f>_xlfn.XLOOKUP('Customer Info'!A1929,'Customer Info'!A1929:A2028,'Customer Info'!E1929:E2028,0,0)</f>
        <v>0</v>
      </c>
      <c r="J2262" s="1">
        <f>_xlfn.XLOOKUP('Customer Info'!A1929,'Customer Info'!A1929:A2028,'Customer Info'!M1929:M2028)</f>
        <v>0</v>
      </c>
    </row>
    <row r="2263" spans="1:10" ht="14" hidden="1" x14ac:dyDescent="0.2">
      <c r="A2263" s="2" t="s">
        <v>47</v>
      </c>
      <c r="B2263" s="2">
        <v>19</v>
      </c>
      <c r="C2263" s="2">
        <v>6</v>
      </c>
      <c r="D2263" s="2">
        <v>2020</v>
      </c>
      <c r="E2263" s="2">
        <v>33</v>
      </c>
      <c r="F2263" s="2">
        <v>66</v>
      </c>
      <c r="H2263" s="1">
        <f>_xlfn.XLOOKUP('Customer Info'!A798,'Customer Info'!A798:A897,'Customer Info'!E798:E897,0,0)</f>
        <v>0</v>
      </c>
      <c r="J2263" s="1">
        <f>_xlfn.XLOOKUP('Customer Info'!A798,'Customer Info'!A798:A897,'Customer Info'!M798:M897)</f>
        <v>0</v>
      </c>
    </row>
    <row r="2264" spans="1:10" ht="14" x14ac:dyDescent="0.2">
      <c r="A2264" s="2" t="s">
        <v>66</v>
      </c>
      <c r="B2264" s="2">
        <v>23</v>
      </c>
      <c r="C2264" s="2">
        <v>2</v>
      </c>
      <c r="D2264" s="2">
        <v>2021</v>
      </c>
      <c r="E2264" s="2">
        <v>115.92</v>
      </c>
      <c r="F2264" s="2">
        <v>65.8</v>
      </c>
      <c r="H2264" s="1">
        <f>_xlfn.XLOOKUP('Customer Info'!A1460,'Customer Info'!A1460:A1559,'Customer Info'!E1460:E1559,0,0)</f>
        <v>0</v>
      </c>
      <c r="J2264" s="1">
        <f>_xlfn.XLOOKUP('Customer Info'!A1460,'Customer Info'!A1460:A1559,'Customer Info'!M1460:M1559)</f>
        <v>0</v>
      </c>
    </row>
    <row r="2265" spans="1:10" ht="14" hidden="1" x14ac:dyDescent="0.2">
      <c r="A2265" s="2" t="s">
        <v>95</v>
      </c>
      <c r="B2265" s="2">
        <v>24</v>
      </c>
      <c r="C2265" s="2">
        <v>7</v>
      </c>
      <c r="D2265" s="2">
        <v>2020</v>
      </c>
      <c r="E2265" s="1" t="s">
        <v>94</v>
      </c>
      <c r="F2265" s="2">
        <v>65.72</v>
      </c>
      <c r="H2265" s="1">
        <f>_xlfn.XLOOKUP('Customer Info'!A140,'Customer Info'!A140:A239,'Customer Info'!E140:E239,0,0)</f>
        <v>0</v>
      </c>
      <c r="J2265" s="1">
        <f>_xlfn.XLOOKUP('Customer Info'!A140,'Customer Info'!A140:A239,'Customer Info'!M140:M239)</f>
        <v>0</v>
      </c>
    </row>
    <row r="2266" spans="1:10" ht="14" x14ac:dyDescent="0.2">
      <c r="A2266" s="2" t="s">
        <v>89</v>
      </c>
      <c r="B2266" s="2">
        <v>2</v>
      </c>
      <c r="C2266" s="2">
        <v>1</v>
      </c>
      <c r="D2266" s="2">
        <v>2021</v>
      </c>
      <c r="E2266" s="2">
        <v>139.5</v>
      </c>
      <c r="F2266" s="2">
        <v>65.72</v>
      </c>
      <c r="H2266" s="1">
        <f>_xlfn.XLOOKUP('Customer Info'!A1365,'Customer Info'!A1365:A1464,'Customer Info'!E1365:E1464,0,0)</f>
        <v>0</v>
      </c>
      <c r="J2266" s="1">
        <f>_xlfn.XLOOKUP('Customer Info'!A1365,'Customer Info'!A1365:A1464,'Customer Info'!M1365:M1464)</f>
        <v>0</v>
      </c>
    </row>
    <row r="2267" spans="1:10" ht="14" x14ac:dyDescent="0.2">
      <c r="A2267" s="2" t="s">
        <v>82</v>
      </c>
      <c r="B2267" s="2">
        <v>8</v>
      </c>
      <c r="C2267" s="2">
        <v>12</v>
      </c>
      <c r="D2267" s="2">
        <v>2021</v>
      </c>
      <c r="E2267" s="2">
        <v>109.43</v>
      </c>
      <c r="F2267" s="2">
        <v>65.72</v>
      </c>
      <c r="H2267" s="1">
        <f>_xlfn.XLOOKUP('Customer Info'!A1502,'Customer Info'!A1502:A1601,'Customer Info'!E1502:E1601,0,0)</f>
        <v>0</v>
      </c>
      <c r="J2267" s="1">
        <f>_xlfn.XLOOKUP('Customer Info'!A1502,'Customer Info'!A1502:A1601,'Customer Info'!M1502:M1601)</f>
        <v>0</v>
      </c>
    </row>
    <row r="2268" spans="1:10" ht="14" hidden="1" x14ac:dyDescent="0.2">
      <c r="A2268" s="2" t="s">
        <v>51</v>
      </c>
      <c r="B2268" s="2">
        <v>16</v>
      </c>
      <c r="C2268" s="2">
        <v>3</v>
      </c>
      <c r="D2268" s="2">
        <v>2020</v>
      </c>
      <c r="E2268" s="2">
        <v>68.819999999999993</v>
      </c>
      <c r="F2268" s="2">
        <v>65.72</v>
      </c>
      <c r="H2268" s="1">
        <f>_xlfn.XLOOKUP('Customer Info'!A516,'Customer Info'!A516:A615,'Customer Info'!E516:E615,0,0)</f>
        <v>0</v>
      </c>
      <c r="J2268" s="1">
        <f>_xlfn.XLOOKUP('Customer Info'!A516,'Customer Info'!A516:A615,'Customer Info'!M516:M615)</f>
        <v>0</v>
      </c>
    </row>
    <row r="2269" spans="1:10" ht="14" x14ac:dyDescent="0.2">
      <c r="A2269" s="2" t="s">
        <v>35</v>
      </c>
      <c r="B2269" s="2">
        <v>9</v>
      </c>
      <c r="C2269" s="2">
        <v>8</v>
      </c>
      <c r="D2269" s="2">
        <v>2021</v>
      </c>
      <c r="E2269" s="2">
        <v>29.14</v>
      </c>
      <c r="F2269" s="2">
        <v>65.72</v>
      </c>
      <c r="H2269" s="1">
        <f>_xlfn.XLOOKUP('Customer Info'!A2024,'Customer Info'!A2024:A2123,'Customer Info'!E2024:E2123,0,0)</f>
        <v>0</v>
      </c>
      <c r="J2269" s="1">
        <f>_xlfn.XLOOKUP('Customer Info'!A2024,'Customer Info'!A2024:A2123,'Customer Info'!M2024:M2123)</f>
        <v>0</v>
      </c>
    </row>
    <row r="2270" spans="1:10" ht="14" hidden="1" x14ac:dyDescent="0.2">
      <c r="A2270" s="2" t="s">
        <v>42</v>
      </c>
      <c r="B2270" s="2">
        <v>12</v>
      </c>
      <c r="C2270" s="2">
        <v>7</v>
      </c>
      <c r="D2270" s="2">
        <v>2020</v>
      </c>
      <c r="E2270" s="2">
        <v>25.73</v>
      </c>
      <c r="F2270" s="2">
        <v>65.72</v>
      </c>
      <c r="H2270" s="1">
        <f>_xlfn.XLOOKUP('Customer Info'!A848,'Customer Info'!A848:A947,'Customer Info'!E848:E947,0,0)</f>
        <v>0</v>
      </c>
      <c r="J2270" s="1">
        <f>_xlfn.XLOOKUP('Customer Info'!A848,'Customer Info'!A848:A947,'Customer Info'!M848:M947)</f>
        <v>0</v>
      </c>
    </row>
    <row r="2271" spans="1:10" ht="14" hidden="1" x14ac:dyDescent="0.2">
      <c r="A2271" s="2" t="s">
        <v>46</v>
      </c>
      <c r="B2271" s="2">
        <v>9</v>
      </c>
      <c r="C2271" s="2">
        <v>11</v>
      </c>
      <c r="D2271" s="2">
        <v>2020</v>
      </c>
      <c r="E2271" s="2">
        <v>107.7</v>
      </c>
      <c r="F2271" s="2">
        <v>65.7</v>
      </c>
      <c r="H2271" s="1">
        <f>_xlfn.XLOOKUP('Customer Info'!A273,'Customer Info'!A273:A372,'Customer Info'!E273:E372,0,0)</f>
        <v>0</v>
      </c>
      <c r="J2271" s="1">
        <f>_xlfn.XLOOKUP('Customer Info'!A273,'Customer Info'!A273:A372,'Customer Info'!M273:M372)</f>
        <v>0</v>
      </c>
    </row>
    <row r="2272" spans="1:10" ht="14" x14ac:dyDescent="0.2">
      <c r="A2272" s="2" t="s">
        <v>89</v>
      </c>
      <c r="B2272" s="2">
        <v>2</v>
      </c>
      <c r="C2272" s="2">
        <v>4</v>
      </c>
      <c r="D2272" s="2">
        <v>2021</v>
      </c>
      <c r="E2272" s="2">
        <v>99</v>
      </c>
      <c r="F2272" s="2">
        <v>65.7</v>
      </c>
      <c r="H2272" s="1">
        <f>_xlfn.XLOOKUP('Customer Info'!A1561,'Customer Info'!A1561:A1660,'Customer Info'!E1561:E1660,0,0)</f>
        <v>0</v>
      </c>
      <c r="J2272" s="1">
        <f>_xlfn.XLOOKUP('Customer Info'!A1561,'Customer Info'!A1561:A1660,'Customer Info'!M1561:M1660)</f>
        <v>0</v>
      </c>
    </row>
    <row r="2273" spans="1:10" ht="14" hidden="1" x14ac:dyDescent="0.2">
      <c r="A2273" s="2" t="s">
        <v>37</v>
      </c>
      <c r="B2273" s="2">
        <v>12</v>
      </c>
      <c r="C2273" s="2">
        <v>4</v>
      </c>
      <c r="D2273" s="2">
        <v>2020</v>
      </c>
      <c r="E2273" s="2">
        <v>64.2</v>
      </c>
      <c r="F2273" s="2">
        <v>65.7</v>
      </c>
      <c r="H2273" s="1">
        <f>_xlfn.XLOOKUP('Customer Info'!A555,'Customer Info'!A555:A654,'Customer Info'!E555:E654,0,0)</f>
        <v>0</v>
      </c>
      <c r="J2273" s="1">
        <f>_xlfn.XLOOKUP('Customer Info'!A555,'Customer Info'!A555:A654,'Customer Info'!M555:M654)</f>
        <v>0</v>
      </c>
    </row>
    <row r="2274" spans="1:10" ht="14" hidden="1" x14ac:dyDescent="0.2">
      <c r="A2274" s="2" t="s">
        <v>75</v>
      </c>
      <c r="B2274" s="2">
        <v>2</v>
      </c>
      <c r="C2274" s="2">
        <v>6</v>
      </c>
      <c r="D2274" s="2">
        <v>2020</v>
      </c>
      <c r="E2274" s="2">
        <v>39</v>
      </c>
      <c r="F2274" s="2">
        <v>65.7</v>
      </c>
      <c r="H2274" s="1">
        <f>_xlfn.XLOOKUP('Customer Info'!A743,'Customer Info'!A743:A842,'Customer Info'!E743:E842,0,0)</f>
        <v>0</v>
      </c>
      <c r="J2274" s="1">
        <f>_xlfn.XLOOKUP('Customer Info'!A743,'Customer Info'!A743:A842,'Customer Info'!M743:M842)</f>
        <v>0</v>
      </c>
    </row>
    <row r="2275" spans="1:10" ht="14" hidden="1" x14ac:dyDescent="0.2">
      <c r="A2275" s="2" t="s">
        <v>45</v>
      </c>
      <c r="B2275" s="2">
        <v>18</v>
      </c>
      <c r="C2275" s="2">
        <v>9</v>
      </c>
      <c r="D2275" s="2">
        <v>2020</v>
      </c>
      <c r="E2275" s="2">
        <v>37.799999999999997</v>
      </c>
      <c r="F2275" s="2">
        <v>65.7</v>
      </c>
      <c r="H2275" s="1">
        <f>_xlfn.XLOOKUP('Customer Info'!A756,'Customer Info'!A756:A855,'Customer Info'!E756:E855,0,0)</f>
        <v>0</v>
      </c>
      <c r="J2275" s="1">
        <f>_xlfn.XLOOKUP('Customer Info'!A756,'Customer Info'!A756:A855,'Customer Info'!M756:M855)</f>
        <v>0</v>
      </c>
    </row>
    <row r="2276" spans="1:10" ht="14" hidden="1" x14ac:dyDescent="0.2">
      <c r="A2276" s="2" t="s">
        <v>62</v>
      </c>
      <c r="B2276" s="2">
        <v>1</v>
      </c>
      <c r="C2276" s="2">
        <v>1</v>
      </c>
      <c r="D2276" s="2">
        <v>2020</v>
      </c>
      <c r="E2276" s="2">
        <v>142.6</v>
      </c>
      <c r="F2276" s="2">
        <v>65.41</v>
      </c>
      <c r="H2276" s="1">
        <f>_xlfn.XLOOKUP('Customer Info'!A159,'Customer Info'!A159:A258,'Customer Info'!E159:E258,0,0)</f>
        <v>0</v>
      </c>
      <c r="J2276" s="1">
        <f>_xlfn.XLOOKUP('Customer Info'!A159,'Customer Info'!A159:A258,'Customer Info'!M159:M258)</f>
        <v>0</v>
      </c>
    </row>
    <row r="2277" spans="1:10" ht="14" hidden="1" x14ac:dyDescent="0.2">
      <c r="A2277" s="2" t="s">
        <v>58</v>
      </c>
      <c r="B2277" s="2">
        <v>16</v>
      </c>
      <c r="C2277" s="2">
        <v>1</v>
      </c>
      <c r="D2277" s="2">
        <v>2020</v>
      </c>
      <c r="E2277" s="2">
        <v>110.36</v>
      </c>
      <c r="F2277" s="2">
        <v>65.41</v>
      </c>
      <c r="H2277" s="1">
        <f>_xlfn.XLOOKUP('Customer Info'!A259,'Customer Info'!A259:A358,'Customer Info'!E259:E358,0,0)</f>
        <v>0</v>
      </c>
      <c r="J2277" s="1">
        <f>_xlfn.XLOOKUP('Customer Info'!A259,'Customer Info'!A259:A358,'Customer Info'!M259:M358)</f>
        <v>0</v>
      </c>
    </row>
    <row r="2278" spans="1:10" ht="14" x14ac:dyDescent="0.2">
      <c r="A2278" s="2" t="s">
        <v>58</v>
      </c>
      <c r="B2278" s="2">
        <v>16</v>
      </c>
      <c r="C2278" s="2">
        <v>1</v>
      </c>
      <c r="D2278" s="2">
        <v>2021</v>
      </c>
      <c r="E2278" s="2">
        <v>106.02</v>
      </c>
      <c r="F2278" s="2">
        <v>65.41</v>
      </c>
      <c r="H2278" s="1">
        <f>_xlfn.XLOOKUP('Customer Info'!A1523,'Customer Info'!A1523:A1622,'Customer Info'!E1523:E1622,0,0)</f>
        <v>0</v>
      </c>
      <c r="J2278" s="1">
        <f>_xlfn.XLOOKUP('Customer Info'!A1523,'Customer Info'!A1523:A1622,'Customer Info'!M1523:M1622)</f>
        <v>0</v>
      </c>
    </row>
    <row r="2279" spans="1:10" ht="14" x14ac:dyDescent="0.2">
      <c r="A2279" s="2" t="s">
        <v>36</v>
      </c>
      <c r="B2279" s="2">
        <v>12</v>
      </c>
      <c r="C2279" s="2">
        <v>3</v>
      </c>
      <c r="D2279" s="2">
        <v>2021</v>
      </c>
      <c r="E2279" s="2">
        <v>68.819999999999993</v>
      </c>
      <c r="F2279" s="2">
        <v>65.41</v>
      </c>
      <c r="H2279" s="1">
        <f>_xlfn.XLOOKUP('Customer Info'!A1743,'Customer Info'!A1743:A1842,'Customer Info'!E1743:E1842,0,0)</f>
        <v>0</v>
      </c>
      <c r="J2279" s="1">
        <f>_xlfn.XLOOKUP('Customer Info'!A1743,'Customer Info'!A1743:A1842,'Customer Info'!M1743:M1842)</f>
        <v>0</v>
      </c>
    </row>
    <row r="2280" spans="1:10" ht="14" hidden="1" x14ac:dyDescent="0.2">
      <c r="A2280" s="2" t="s">
        <v>37</v>
      </c>
      <c r="B2280" s="2">
        <v>12</v>
      </c>
      <c r="C2280" s="2">
        <v>11</v>
      </c>
      <c r="D2280" s="2">
        <v>2020</v>
      </c>
      <c r="E2280" s="2">
        <v>106.2</v>
      </c>
      <c r="F2280" s="2">
        <v>65.400000000000006</v>
      </c>
      <c r="H2280" s="1">
        <f>_xlfn.XLOOKUP('Customer Info'!A287,'Customer Info'!A287:A386,'Customer Info'!E287:E386,0,0)</f>
        <v>0</v>
      </c>
      <c r="J2280" s="1">
        <f>_xlfn.XLOOKUP('Customer Info'!A287,'Customer Info'!A287:A386,'Customer Info'!M287:M386)</f>
        <v>0</v>
      </c>
    </row>
    <row r="2281" spans="1:10" ht="14" hidden="1" x14ac:dyDescent="0.2">
      <c r="A2281" s="2" t="s">
        <v>76</v>
      </c>
      <c r="B2281" s="2">
        <v>9</v>
      </c>
      <c r="C2281" s="2">
        <v>1</v>
      </c>
      <c r="D2281" s="2">
        <v>2020</v>
      </c>
      <c r="E2281" s="2">
        <v>134.54</v>
      </c>
      <c r="F2281" s="2">
        <v>65.099999999999994</v>
      </c>
      <c r="H2281" s="1">
        <f>_xlfn.XLOOKUP('Customer Info'!A170,'Customer Info'!A170:A269,'Customer Info'!E170:E269,0,0)</f>
        <v>0</v>
      </c>
      <c r="J2281" s="1">
        <f>_xlfn.XLOOKUP('Customer Info'!A170,'Customer Info'!A170:A269,'Customer Info'!M170:M269)</f>
        <v>0</v>
      </c>
    </row>
    <row r="2282" spans="1:10" ht="14" hidden="1" x14ac:dyDescent="0.2">
      <c r="A2282" s="2" t="s">
        <v>35</v>
      </c>
      <c r="B2282" s="2">
        <v>9</v>
      </c>
      <c r="C2282" s="2">
        <v>11</v>
      </c>
      <c r="D2282" s="2">
        <v>2020</v>
      </c>
      <c r="E2282" s="2">
        <v>90.9</v>
      </c>
      <c r="F2282" s="2">
        <v>65.099999999999994</v>
      </c>
      <c r="H2282" s="1">
        <f>_xlfn.XLOOKUP('Customer Info'!A389,'Customer Info'!A389:A488,'Customer Info'!E389:E488,0,0)</f>
        <v>0</v>
      </c>
      <c r="J2282" s="1">
        <f>_xlfn.XLOOKUP('Customer Info'!A389,'Customer Info'!A389:A488,'Customer Info'!M389:M488)</f>
        <v>0</v>
      </c>
    </row>
    <row r="2283" spans="1:10" ht="14" hidden="1" x14ac:dyDescent="0.2">
      <c r="A2283" s="2" t="s">
        <v>33</v>
      </c>
      <c r="B2283" s="2">
        <v>21</v>
      </c>
      <c r="C2283" s="2">
        <v>12</v>
      </c>
      <c r="D2283" s="2">
        <v>2020</v>
      </c>
      <c r="E2283" s="2">
        <v>84.01</v>
      </c>
      <c r="F2283" s="2">
        <v>65.099999999999994</v>
      </c>
      <c r="H2283" s="1">
        <f>_xlfn.XLOOKUP('Customer Info'!A424,'Customer Info'!A424:A523,'Customer Info'!E424:E523,0,0)</f>
        <v>0</v>
      </c>
      <c r="J2283" s="1">
        <f>_xlfn.XLOOKUP('Customer Info'!A424,'Customer Info'!A424:A523,'Customer Info'!M424:M523)</f>
        <v>0</v>
      </c>
    </row>
    <row r="2284" spans="1:10" ht="14" x14ac:dyDescent="0.2">
      <c r="A2284" s="2" t="s">
        <v>89</v>
      </c>
      <c r="B2284" s="2">
        <v>2</v>
      </c>
      <c r="C2284" s="2">
        <v>8</v>
      </c>
      <c r="D2284" s="2">
        <v>2021</v>
      </c>
      <c r="E2284" s="2">
        <v>60.45</v>
      </c>
      <c r="F2284" s="2">
        <v>65.099999999999994</v>
      </c>
      <c r="H2284" s="1">
        <f>_xlfn.XLOOKUP('Customer Info'!A1802,'Customer Info'!A1802:A1901,'Customer Info'!E1802:E1901,0,0)</f>
        <v>0</v>
      </c>
      <c r="J2284" s="1">
        <f>_xlfn.XLOOKUP('Customer Info'!A1802,'Customer Info'!A1802:A1901,'Customer Info'!M1802:M1901)</f>
        <v>0</v>
      </c>
    </row>
    <row r="2285" spans="1:10" ht="14" hidden="1" x14ac:dyDescent="0.2">
      <c r="A2285" s="2" t="s">
        <v>64</v>
      </c>
      <c r="B2285" s="2">
        <v>21</v>
      </c>
      <c r="C2285" s="2">
        <v>8</v>
      </c>
      <c r="D2285" s="2">
        <v>2020</v>
      </c>
      <c r="E2285" s="2">
        <v>44.64</v>
      </c>
      <c r="F2285" s="2">
        <v>65.099999999999994</v>
      </c>
      <c r="H2285" s="1">
        <f>_xlfn.XLOOKUP('Customer Info'!A688,'Customer Info'!A688:A787,'Customer Info'!E688:E787,0,0)</f>
        <v>0</v>
      </c>
      <c r="J2285" s="1">
        <f>_xlfn.XLOOKUP('Customer Info'!A688,'Customer Info'!A688:A787,'Customer Info'!M688:M787)</f>
        <v>0</v>
      </c>
    </row>
    <row r="2286" spans="1:10" ht="14" hidden="1" x14ac:dyDescent="0.2">
      <c r="A2286" s="2" t="s">
        <v>50</v>
      </c>
      <c r="B2286" s="2">
        <v>24</v>
      </c>
      <c r="C2286" s="2">
        <v>9</v>
      </c>
      <c r="D2286" s="2">
        <v>2020</v>
      </c>
      <c r="E2286" s="2">
        <v>44.1</v>
      </c>
      <c r="F2286" s="2">
        <v>65.099999999999994</v>
      </c>
      <c r="H2286" s="1">
        <f>_xlfn.XLOOKUP('Customer Info'!A696,'Customer Info'!A696:A795,'Customer Info'!E696:E795,0,0)</f>
        <v>0</v>
      </c>
      <c r="J2286" s="1">
        <f>_xlfn.XLOOKUP('Customer Info'!A696,'Customer Info'!A696:A795,'Customer Info'!M696:M795)</f>
        <v>0</v>
      </c>
    </row>
    <row r="2287" spans="1:10" ht="14" hidden="1" x14ac:dyDescent="0.2">
      <c r="A2287" s="2" t="s">
        <v>89</v>
      </c>
      <c r="B2287" s="2">
        <v>2</v>
      </c>
      <c r="C2287" s="2">
        <v>2</v>
      </c>
      <c r="D2287" s="2">
        <v>2020</v>
      </c>
      <c r="E2287" s="2">
        <v>127.96</v>
      </c>
      <c r="F2287" s="2">
        <v>64.959999999999994</v>
      </c>
      <c r="H2287" s="1">
        <f>_xlfn.XLOOKUP('Customer Info'!A183,'Customer Info'!A183:A282,'Customer Info'!E183:E282,0,0)</f>
        <v>0</v>
      </c>
      <c r="J2287" s="1">
        <f>_xlfn.XLOOKUP('Customer Info'!A183,'Customer Info'!A183:A282,'Customer Info'!M183:M282)</f>
        <v>0</v>
      </c>
    </row>
    <row r="2288" spans="1:10" ht="14" hidden="1" x14ac:dyDescent="0.2">
      <c r="A2288" s="2" t="s">
        <v>80</v>
      </c>
      <c r="B2288" s="2">
        <v>12</v>
      </c>
      <c r="C2288" s="2">
        <v>2</v>
      </c>
      <c r="D2288" s="2">
        <v>2020</v>
      </c>
      <c r="E2288" s="2">
        <v>108.36</v>
      </c>
      <c r="F2288" s="2">
        <v>64.959999999999994</v>
      </c>
      <c r="H2288" s="1">
        <f>_xlfn.XLOOKUP('Customer Info'!A269,'Customer Info'!A269:A368,'Customer Info'!E269:E368,0,0)</f>
        <v>0</v>
      </c>
      <c r="J2288" s="1">
        <f>_xlfn.XLOOKUP('Customer Info'!A269,'Customer Info'!A269:A368,'Customer Info'!M269:M368)</f>
        <v>0</v>
      </c>
    </row>
    <row r="2289" spans="1:10" ht="14" hidden="1" x14ac:dyDescent="0.2">
      <c r="A2289" s="2" t="s">
        <v>47</v>
      </c>
      <c r="B2289" s="2">
        <v>19</v>
      </c>
      <c r="C2289" s="2">
        <v>11</v>
      </c>
      <c r="D2289" s="2">
        <v>2020</v>
      </c>
      <c r="E2289" s="2">
        <v>90</v>
      </c>
      <c r="F2289" s="2">
        <v>64.8</v>
      </c>
      <c r="H2289" s="1">
        <f>_xlfn.XLOOKUP('Customer Info'!A394,'Customer Info'!A394:A493,'Customer Info'!E394:E493,0,0)</f>
        <v>0</v>
      </c>
      <c r="J2289" s="1">
        <f>_xlfn.XLOOKUP('Customer Info'!A394,'Customer Info'!A394:A493,'Customer Info'!M394:M493)</f>
        <v>0</v>
      </c>
    </row>
    <row r="2290" spans="1:10" ht="14" hidden="1" x14ac:dyDescent="0.2">
      <c r="A2290" s="2" t="s">
        <v>62</v>
      </c>
      <c r="B2290" s="2">
        <v>1</v>
      </c>
      <c r="C2290" s="2">
        <v>12</v>
      </c>
      <c r="D2290" s="2">
        <v>2020</v>
      </c>
      <c r="E2290" s="2">
        <v>129.27000000000001</v>
      </c>
      <c r="F2290" s="2">
        <v>64.790000000000006</v>
      </c>
      <c r="H2290" s="1">
        <f>_xlfn.XLOOKUP('Customer Info'!A179,'Customer Info'!A179:A278,'Customer Info'!E179:E278,0,0)</f>
        <v>0</v>
      </c>
      <c r="J2290" s="1">
        <f>_xlfn.XLOOKUP('Customer Info'!A179,'Customer Info'!A179:A278,'Customer Info'!M179:M278)</f>
        <v>0</v>
      </c>
    </row>
    <row r="2291" spans="1:10" ht="14" hidden="1" x14ac:dyDescent="0.2">
      <c r="A2291" s="2" t="s">
        <v>91</v>
      </c>
      <c r="B2291" s="2">
        <v>5</v>
      </c>
      <c r="C2291" s="2">
        <v>10</v>
      </c>
      <c r="D2291" s="2">
        <v>2020</v>
      </c>
      <c r="E2291" s="2">
        <v>94.86</v>
      </c>
      <c r="F2291" s="2">
        <v>64.790000000000006</v>
      </c>
      <c r="H2291" s="1">
        <f>_xlfn.XLOOKUP('Customer Info'!A368,'Customer Info'!A368:A467,'Customer Info'!E368:E467,0,0)</f>
        <v>0</v>
      </c>
      <c r="J2291" s="1">
        <f>_xlfn.XLOOKUP('Customer Info'!A368,'Customer Info'!A368:A467,'Customer Info'!M368:M467)</f>
        <v>0</v>
      </c>
    </row>
    <row r="2292" spans="1:10" ht="14" x14ac:dyDescent="0.2">
      <c r="A2292" s="2" t="s">
        <v>82</v>
      </c>
      <c r="B2292" s="2">
        <v>8</v>
      </c>
      <c r="C2292" s="2">
        <v>10</v>
      </c>
      <c r="D2292" s="2">
        <v>2021</v>
      </c>
      <c r="E2292" s="2">
        <v>84.94</v>
      </c>
      <c r="F2292" s="2">
        <v>64.790000000000006</v>
      </c>
      <c r="H2292" s="1">
        <f>_xlfn.XLOOKUP('Customer Info'!A1636,'Customer Info'!A1636:A1735,'Customer Info'!E1636:E1735,0,0)</f>
        <v>0</v>
      </c>
      <c r="J2292" s="1">
        <f>_xlfn.XLOOKUP('Customer Info'!A1636,'Customer Info'!A1636:A1735,'Customer Info'!M1636:M1735)</f>
        <v>0</v>
      </c>
    </row>
    <row r="2293" spans="1:10" ht="14" x14ac:dyDescent="0.2">
      <c r="A2293" s="2" t="s">
        <v>36</v>
      </c>
      <c r="B2293" s="2">
        <v>12</v>
      </c>
      <c r="C2293" s="2">
        <v>10</v>
      </c>
      <c r="D2293" s="2">
        <v>2021</v>
      </c>
      <c r="E2293" s="2">
        <v>63.24</v>
      </c>
      <c r="F2293" s="2">
        <v>64.790000000000006</v>
      </c>
      <c r="H2293" s="1">
        <f>_xlfn.XLOOKUP('Customer Info'!A1788,'Customer Info'!A1788:A1887,'Customer Info'!E1788:E1887,0,0)</f>
        <v>0</v>
      </c>
      <c r="J2293" s="1">
        <f>_xlfn.XLOOKUP('Customer Info'!A1788,'Customer Info'!A1788:A1887,'Customer Info'!M1788:M1887)</f>
        <v>0</v>
      </c>
    </row>
    <row r="2294" spans="1:10" ht="14" hidden="1" x14ac:dyDescent="0.2">
      <c r="A2294" s="2" t="s">
        <v>46</v>
      </c>
      <c r="B2294" s="2">
        <v>9</v>
      </c>
      <c r="C2294" s="2">
        <v>7</v>
      </c>
      <c r="D2294" s="2">
        <v>2020</v>
      </c>
      <c r="E2294" s="2">
        <v>31</v>
      </c>
      <c r="F2294" s="2">
        <v>64.790000000000006</v>
      </c>
      <c r="H2294" s="1">
        <f>_xlfn.XLOOKUP('Customer Info'!A813,'Customer Info'!A813:A912,'Customer Info'!E813:E912,0,0)</f>
        <v>0</v>
      </c>
      <c r="J2294" s="1">
        <f>_xlfn.XLOOKUP('Customer Info'!A813,'Customer Info'!A813:A912,'Customer Info'!M813:M912)</f>
        <v>0</v>
      </c>
    </row>
    <row r="2295" spans="1:10" ht="14" hidden="1" x14ac:dyDescent="0.2">
      <c r="A2295" s="2" t="s">
        <v>51</v>
      </c>
      <c r="B2295" s="2">
        <v>16</v>
      </c>
      <c r="C2295" s="2">
        <v>9</v>
      </c>
      <c r="D2295" s="2">
        <v>2020</v>
      </c>
      <c r="E2295" s="2">
        <v>41.7</v>
      </c>
      <c r="F2295" s="2">
        <v>64.5</v>
      </c>
      <c r="H2295" s="1">
        <f>_xlfn.XLOOKUP('Customer Info'!A720,'Customer Info'!A720:A819,'Customer Info'!E720:E819,0,0)</f>
        <v>0</v>
      </c>
      <c r="J2295" s="1">
        <f>_xlfn.XLOOKUP('Customer Info'!A720,'Customer Info'!A720:A819,'Customer Info'!M720:M819)</f>
        <v>0</v>
      </c>
    </row>
    <row r="2296" spans="1:10" ht="14" hidden="1" x14ac:dyDescent="0.2">
      <c r="A2296" s="2" t="s">
        <v>33</v>
      </c>
      <c r="B2296" s="2">
        <v>21</v>
      </c>
      <c r="C2296" s="2">
        <v>9</v>
      </c>
      <c r="D2296" s="2">
        <v>2020</v>
      </c>
      <c r="E2296" s="2">
        <v>16.2</v>
      </c>
      <c r="F2296" s="2">
        <v>64.5</v>
      </c>
      <c r="H2296" s="1">
        <f>_xlfn.XLOOKUP('Customer Info'!A875,'Customer Info'!A875:A974,'Customer Info'!E875:E974,0,0)</f>
        <v>0</v>
      </c>
      <c r="J2296" s="1">
        <f>_xlfn.XLOOKUP('Customer Info'!A875,'Customer Info'!A875:A974,'Customer Info'!M875:M974)</f>
        <v>0</v>
      </c>
    </row>
    <row r="2297" spans="1:10" ht="14" hidden="1" x14ac:dyDescent="0.2">
      <c r="A2297" s="2" t="s">
        <v>35</v>
      </c>
      <c r="B2297" s="2">
        <v>9</v>
      </c>
      <c r="C2297" s="2">
        <v>7</v>
      </c>
      <c r="D2297" s="2">
        <v>2020</v>
      </c>
      <c r="E2297" s="2">
        <v>19.22</v>
      </c>
      <c r="F2297" s="2">
        <v>64.48</v>
      </c>
      <c r="H2297" s="1">
        <f>_xlfn.XLOOKUP('Customer Info'!A870,'Customer Info'!A870:A969,'Customer Info'!E870:E969,0,0)</f>
        <v>0</v>
      </c>
      <c r="J2297" s="1">
        <f>_xlfn.XLOOKUP('Customer Info'!A870,'Customer Info'!A870:A969,'Customer Info'!M870:M969)</f>
        <v>0</v>
      </c>
    </row>
    <row r="2298" spans="1:10" ht="14" x14ac:dyDescent="0.2">
      <c r="A2298" s="2" t="s">
        <v>36</v>
      </c>
      <c r="B2298" s="2">
        <v>12</v>
      </c>
      <c r="C2298" s="2">
        <v>2</v>
      </c>
      <c r="D2298" s="2">
        <v>2021</v>
      </c>
      <c r="E2298" s="2">
        <v>99.4</v>
      </c>
      <c r="F2298" s="2">
        <v>64.400000000000006</v>
      </c>
      <c r="H2298" s="1">
        <f>_xlfn.XLOOKUP('Customer Info'!A1558,'Customer Info'!A1558:A1657,'Customer Info'!E1558:E1657,0,0)</f>
        <v>0</v>
      </c>
      <c r="J2298" s="1">
        <f>_xlfn.XLOOKUP('Customer Info'!A1558,'Customer Info'!A1558:A1657,'Customer Info'!M1558:M1657)</f>
        <v>0</v>
      </c>
    </row>
    <row r="2299" spans="1:10" ht="14" hidden="1" x14ac:dyDescent="0.2">
      <c r="A2299" s="2" t="s">
        <v>89</v>
      </c>
      <c r="B2299" s="2">
        <v>2</v>
      </c>
      <c r="C2299" s="2">
        <v>11</v>
      </c>
      <c r="D2299" s="2">
        <v>2020</v>
      </c>
      <c r="E2299" s="2">
        <v>139.80000000000001</v>
      </c>
      <c r="F2299" s="2">
        <v>64.2</v>
      </c>
      <c r="H2299" s="1">
        <f>_xlfn.XLOOKUP('Customer Info'!A163,'Customer Info'!A163:A262,'Customer Info'!E163:E262,0,0)</f>
        <v>0</v>
      </c>
      <c r="J2299" s="1">
        <f>_xlfn.XLOOKUP('Customer Info'!A163,'Customer Info'!A163:A262,'Customer Info'!M163:M262)</f>
        <v>0</v>
      </c>
    </row>
    <row r="2300" spans="1:10" ht="14" x14ac:dyDescent="0.2">
      <c r="A2300" s="2" t="s">
        <v>58</v>
      </c>
      <c r="B2300" s="2">
        <v>16</v>
      </c>
      <c r="C2300" s="2">
        <v>11</v>
      </c>
      <c r="D2300" s="2">
        <v>2021</v>
      </c>
      <c r="E2300" s="2">
        <v>92.4</v>
      </c>
      <c r="F2300" s="2">
        <v>64.2</v>
      </c>
      <c r="H2300" s="1">
        <f>_xlfn.XLOOKUP('Customer Info'!A1599,'Customer Info'!A1599:A1698,'Customer Info'!E1599:E1698,0,0)</f>
        <v>0</v>
      </c>
      <c r="J2300" s="1">
        <f>_xlfn.XLOOKUP('Customer Info'!A1599,'Customer Info'!A1599:A1698,'Customer Info'!M1599:M1698)</f>
        <v>0</v>
      </c>
    </row>
    <row r="2301" spans="1:10" ht="14" x14ac:dyDescent="0.2">
      <c r="A2301" s="2" t="s">
        <v>91</v>
      </c>
      <c r="B2301" s="2">
        <v>5</v>
      </c>
      <c r="C2301" s="2">
        <v>9</v>
      </c>
      <c r="D2301" s="2">
        <v>2021</v>
      </c>
      <c r="E2301" s="2">
        <v>65.099999999999994</v>
      </c>
      <c r="F2301" s="2">
        <v>64.2</v>
      </c>
      <c r="H2301" s="1">
        <f>_xlfn.XLOOKUP('Customer Info'!A1769,'Customer Info'!A1769:A1868,'Customer Info'!E1769:E1868,0,0)</f>
        <v>0</v>
      </c>
      <c r="J2301" s="1">
        <f>_xlfn.XLOOKUP('Customer Info'!A1769,'Customer Info'!A1769:A1868,'Customer Info'!M1769:M1868)</f>
        <v>0</v>
      </c>
    </row>
    <row r="2302" spans="1:10" ht="14" hidden="1" x14ac:dyDescent="0.2">
      <c r="A2302" s="2" t="s">
        <v>34</v>
      </c>
      <c r="B2302" s="2">
        <v>4</v>
      </c>
      <c r="C2302" s="2">
        <v>4</v>
      </c>
      <c r="D2302" s="2">
        <v>2020</v>
      </c>
      <c r="E2302" s="2">
        <v>54.6</v>
      </c>
      <c r="F2302" s="2">
        <v>64.2</v>
      </c>
      <c r="H2302" s="1">
        <f>_xlfn.XLOOKUP('Customer Info'!A615,'Customer Info'!A615:A714,'Customer Info'!E615:E714,0,0)</f>
        <v>0</v>
      </c>
      <c r="J2302" s="1">
        <f>_xlfn.XLOOKUP('Customer Info'!A615,'Customer Info'!A615:A714,'Customer Info'!M615:M714)</f>
        <v>0</v>
      </c>
    </row>
    <row r="2303" spans="1:10" ht="14" x14ac:dyDescent="0.2">
      <c r="A2303" s="2" t="s">
        <v>82</v>
      </c>
      <c r="B2303" s="2">
        <v>8</v>
      </c>
      <c r="C2303" s="2">
        <v>6</v>
      </c>
      <c r="D2303" s="2">
        <v>2021</v>
      </c>
      <c r="E2303" s="2">
        <v>45.6</v>
      </c>
      <c r="F2303" s="2">
        <v>64.2</v>
      </c>
      <c r="H2303" s="1">
        <f>_xlfn.XLOOKUP('Customer Info'!A1901,'Customer Info'!A1901:A2000,'Customer Info'!E1901:E2000,0,0)</f>
        <v>0</v>
      </c>
      <c r="J2303" s="1">
        <f>_xlfn.XLOOKUP('Customer Info'!A1901,'Customer Info'!A1901:A2000,'Customer Info'!M1901:M2000)</f>
        <v>0</v>
      </c>
    </row>
    <row r="2304" spans="1:10" ht="14" x14ac:dyDescent="0.2">
      <c r="A2304" s="2" t="s">
        <v>89</v>
      </c>
      <c r="B2304" s="2">
        <v>2</v>
      </c>
      <c r="C2304" s="2">
        <v>10</v>
      </c>
      <c r="D2304" s="2">
        <v>2021</v>
      </c>
      <c r="E2304" s="2">
        <v>89.28</v>
      </c>
      <c r="F2304" s="2">
        <v>64.17</v>
      </c>
      <c r="H2304" s="1">
        <f>_xlfn.XLOOKUP('Customer Info'!A1616,'Customer Info'!A1616:A1715,'Customer Info'!E1616:E1715,0,0)</f>
        <v>0</v>
      </c>
      <c r="J2304" s="1">
        <f>_xlfn.XLOOKUP('Customer Info'!A1616,'Customer Info'!A1616:A1715,'Customer Info'!M1616:M1715)</f>
        <v>0</v>
      </c>
    </row>
    <row r="2305" spans="1:10" ht="14" hidden="1" x14ac:dyDescent="0.2">
      <c r="A2305" s="2" t="s">
        <v>51</v>
      </c>
      <c r="B2305" s="2">
        <v>16</v>
      </c>
      <c r="C2305" s="2">
        <v>7</v>
      </c>
      <c r="D2305" s="2">
        <v>2020</v>
      </c>
      <c r="E2305" s="2">
        <v>31.31</v>
      </c>
      <c r="F2305" s="2">
        <v>64.17</v>
      </c>
      <c r="H2305" s="1">
        <f>_xlfn.XLOOKUP('Customer Info'!A810,'Customer Info'!A810:A909,'Customer Info'!E810:E909,0,0)</f>
        <v>0</v>
      </c>
      <c r="J2305" s="1">
        <f>_xlfn.XLOOKUP('Customer Info'!A810,'Customer Info'!A810:A909,'Customer Info'!M810:M909)</f>
        <v>0</v>
      </c>
    </row>
    <row r="2306" spans="1:10" ht="14" hidden="1" x14ac:dyDescent="0.2">
      <c r="A2306" s="2" t="s">
        <v>59</v>
      </c>
      <c r="B2306" s="2">
        <v>11</v>
      </c>
      <c r="C2306" s="2">
        <v>2</v>
      </c>
      <c r="D2306" s="2">
        <v>2020</v>
      </c>
      <c r="E2306" s="2">
        <v>89.04</v>
      </c>
      <c r="F2306" s="2">
        <v>64.12</v>
      </c>
      <c r="H2306" s="1">
        <f>_xlfn.XLOOKUP('Customer Info'!A400,'Customer Info'!A400:A499,'Customer Info'!E400:E499,0,0)</f>
        <v>0</v>
      </c>
      <c r="J2306" s="1">
        <f>_xlfn.XLOOKUP('Customer Info'!A400,'Customer Info'!A400:A499,'Customer Info'!M400:M499)</f>
        <v>0</v>
      </c>
    </row>
    <row r="2307" spans="1:10" ht="14" hidden="1" x14ac:dyDescent="0.2">
      <c r="A2307" s="2" t="s">
        <v>89</v>
      </c>
      <c r="B2307" s="2">
        <v>2</v>
      </c>
      <c r="C2307" s="2">
        <v>9</v>
      </c>
      <c r="D2307" s="2">
        <v>2020</v>
      </c>
      <c r="E2307" s="2">
        <v>63.6</v>
      </c>
      <c r="F2307" s="2">
        <v>63.9</v>
      </c>
      <c r="H2307" s="1">
        <f>_xlfn.XLOOKUP('Customer Info'!A561,'Customer Info'!A561:A660,'Customer Info'!E561:E660,0,0)</f>
        <v>0</v>
      </c>
      <c r="J2307" s="1">
        <f>_xlfn.XLOOKUP('Customer Info'!A561,'Customer Info'!A561:A660,'Customer Info'!M561:M660)</f>
        <v>0</v>
      </c>
    </row>
    <row r="2308" spans="1:10" ht="14" x14ac:dyDescent="0.2">
      <c r="A2308" s="2" t="s">
        <v>0</v>
      </c>
      <c r="B2308" s="2">
        <v>25</v>
      </c>
      <c r="C2308" s="2">
        <v>5</v>
      </c>
      <c r="D2308" s="2">
        <v>2021</v>
      </c>
      <c r="E2308" s="1" t="s">
        <v>94</v>
      </c>
      <c r="F2308" s="2">
        <v>63.86</v>
      </c>
      <c r="H2308" s="1">
        <f>_xlfn.XLOOKUP('Customer Info'!A1334,'Customer Info'!A1334:A1433,'Customer Info'!E1334:E1433,0,0)</f>
        <v>0</v>
      </c>
      <c r="J2308" s="1">
        <f>_xlfn.XLOOKUP('Customer Info'!A1334,'Customer Info'!A1334:A1433,'Customer Info'!M1334:M1433)</f>
        <v>0</v>
      </c>
    </row>
    <row r="2309" spans="1:10" ht="14" x14ac:dyDescent="0.2">
      <c r="A2309" s="2" t="s">
        <v>36</v>
      </c>
      <c r="B2309" s="2">
        <v>12</v>
      </c>
      <c r="C2309" s="2">
        <v>12</v>
      </c>
      <c r="D2309" s="2">
        <v>2021</v>
      </c>
      <c r="E2309" s="2">
        <v>93.62</v>
      </c>
      <c r="F2309" s="2">
        <v>63.86</v>
      </c>
      <c r="H2309" s="1">
        <f>_xlfn.XLOOKUP('Customer Info'!A1595,'Customer Info'!A1595:A1694,'Customer Info'!E1595:E1694,0,0)</f>
        <v>0</v>
      </c>
      <c r="J2309" s="1">
        <f>_xlfn.XLOOKUP('Customer Info'!A1595,'Customer Info'!A1595:A1694,'Customer Info'!M1595:M1694)</f>
        <v>0</v>
      </c>
    </row>
    <row r="2310" spans="1:10" ht="14" hidden="1" x14ac:dyDescent="0.2">
      <c r="A2310" s="2" t="s">
        <v>47</v>
      </c>
      <c r="B2310" s="2">
        <v>19</v>
      </c>
      <c r="C2310" s="2">
        <v>8</v>
      </c>
      <c r="D2310" s="2">
        <v>2020</v>
      </c>
      <c r="E2310" s="2">
        <v>24.8</v>
      </c>
      <c r="F2310" s="2">
        <v>63.86</v>
      </c>
      <c r="H2310" s="1">
        <f>_xlfn.XLOOKUP('Customer Info'!A854,'Customer Info'!A854:A953,'Customer Info'!E854:E953,0,0)</f>
        <v>0</v>
      </c>
      <c r="J2310" s="1">
        <f>_xlfn.XLOOKUP('Customer Info'!A854,'Customer Info'!A854:A953,'Customer Info'!M854:M953)</f>
        <v>0</v>
      </c>
    </row>
    <row r="2311" spans="1:10" ht="14" hidden="1" x14ac:dyDescent="0.2">
      <c r="A2311" s="2" t="s">
        <v>76</v>
      </c>
      <c r="B2311" s="2">
        <v>9</v>
      </c>
      <c r="C2311" s="2">
        <v>9</v>
      </c>
      <c r="D2311" s="2">
        <v>2020</v>
      </c>
      <c r="E2311" s="2">
        <v>45.3</v>
      </c>
      <c r="F2311" s="2">
        <v>63.6</v>
      </c>
      <c r="H2311" s="1">
        <f>_xlfn.XLOOKUP('Customer Info'!A682,'Customer Info'!A682:A781,'Customer Info'!E682:E781,0,0)</f>
        <v>0</v>
      </c>
      <c r="J2311" s="1">
        <f>_xlfn.XLOOKUP('Customer Info'!A682,'Customer Info'!A682:A781,'Customer Info'!M682:M781)</f>
        <v>0</v>
      </c>
    </row>
    <row r="2312" spans="1:10" ht="14" hidden="1" x14ac:dyDescent="0.2">
      <c r="A2312" s="2" t="s">
        <v>63</v>
      </c>
      <c r="B2312" s="2">
        <v>25</v>
      </c>
      <c r="C2312" s="2">
        <v>2</v>
      </c>
      <c r="D2312" s="2">
        <v>2020</v>
      </c>
      <c r="E2312" s="2">
        <v>93.24</v>
      </c>
      <c r="F2312" s="2">
        <v>63.56</v>
      </c>
      <c r="H2312" s="1">
        <f>_xlfn.XLOOKUP('Customer Info'!A377,'Customer Info'!A377:A476,'Customer Info'!E377:E476,0,0)</f>
        <v>0</v>
      </c>
      <c r="J2312" s="1">
        <f>_xlfn.XLOOKUP('Customer Info'!A377,'Customer Info'!A377:A476,'Customer Info'!M377:M476)</f>
        <v>0</v>
      </c>
    </row>
    <row r="2313" spans="1:10" ht="14" hidden="1" x14ac:dyDescent="0.2">
      <c r="A2313" s="2" t="s">
        <v>39</v>
      </c>
      <c r="B2313" s="2">
        <v>22</v>
      </c>
      <c r="C2313" s="2">
        <v>12</v>
      </c>
      <c r="D2313" s="2">
        <v>2020</v>
      </c>
      <c r="E2313" s="2">
        <v>107.57</v>
      </c>
      <c r="F2313" s="2">
        <v>63.55</v>
      </c>
      <c r="H2313" s="1">
        <f>_xlfn.XLOOKUP('Customer Info'!A275,'Customer Info'!A275:A374,'Customer Info'!E275:E374,0,0)</f>
        <v>0</v>
      </c>
      <c r="J2313" s="1">
        <f>_xlfn.XLOOKUP('Customer Info'!A275,'Customer Info'!A275:A374,'Customer Info'!M275:M374)</f>
        <v>0</v>
      </c>
    </row>
    <row r="2314" spans="1:10" ht="14" x14ac:dyDescent="0.2">
      <c r="A2314" s="2" t="s">
        <v>48</v>
      </c>
      <c r="B2314" s="2">
        <v>24</v>
      </c>
      <c r="C2314" s="2">
        <v>8</v>
      </c>
      <c r="D2314" s="2">
        <v>2021</v>
      </c>
      <c r="E2314" s="2">
        <v>40.299999999999997</v>
      </c>
      <c r="F2314" s="2">
        <v>63.55</v>
      </c>
      <c r="H2314" s="1">
        <f>_xlfn.XLOOKUP('Customer Info'!A1939,'Customer Info'!A1939:A2038,'Customer Info'!E1939:E2038,0,0)</f>
        <v>0</v>
      </c>
      <c r="J2314" s="1">
        <f>_xlfn.XLOOKUP('Customer Info'!A1939,'Customer Info'!A1939:A2038,'Customer Info'!M1939:M2038)</f>
        <v>0</v>
      </c>
    </row>
    <row r="2315" spans="1:10" ht="14" x14ac:dyDescent="0.2">
      <c r="A2315" s="2" t="s">
        <v>40</v>
      </c>
      <c r="B2315" s="2">
        <v>15</v>
      </c>
      <c r="C2315" s="2">
        <v>11</v>
      </c>
      <c r="D2315" s="2">
        <v>2021</v>
      </c>
      <c r="E2315" s="2">
        <v>109.8</v>
      </c>
      <c r="F2315" s="2">
        <v>63.3</v>
      </c>
      <c r="H2315" s="1">
        <f>_xlfn.XLOOKUP('Customer Info'!A1499,'Customer Info'!A1499:A1598,'Customer Info'!E1499:E1598,0,0)</f>
        <v>0</v>
      </c>
      <c r="J2315" s="1">
        <f>_xlfn.XLOOKUP('Customer Info'!A1499,'Customer Info'!A1499:A1598,'Customer Info'!M1499:M1598)</f>
        <v>0</v>
      </c>
    </row>
    <row r="2316" spans="1:10" ht="14" hidden="1" x14ac:dyDescent="0.2">
      <c r="A2316" s="2" t="s">
        <v>42</v>
      </c>
      <c r="B2316" s="2">
        <v>12</v>
      </c>
      <c r="C2316" s="2">
        <v>11</v>
      </c>
      <c r="D2316" s="2">
        <v>2020</v>
      </c>
      <c r="E2316" s="2">
        <v>93.9</v>
      </c>
      <c r="F2316" s="2">
        <v>63.3</v>
      </c>
      <c r="H2316" s="1">
        <f>_xlfn.XLOOKUP('Customer Info'!A373,'Customer Info'!A373:A472,'Customer Info'!E373:E472,0,0)</f>
        <v>0</v>
      </c>
      <c r="J2316" s="1">
        <f>_xlfn.XLOOKUP('Customer Info'!A373,'Customer Info'!A373:A472,'Customer Info'!M373:M472)</f>
        <v>0</v>
      </c>
    </row>
    <row r="2317" spans="1:10" ht="14" hidden="1" x14ac:dyDescent="0.2">
      <c r="A2317" s="2" t="s">
        <v>75</v>
      </c>
      <c r="B2317" s="2">
        <v>2</v>
      </c>
      <c r="C2317" s="2">
        <v>9</v>
      </c>
      <c r="D2317" s="2">
        <v>2020</v>
      </c>
      <c r="E2317" s="2">
        <v>48.6</v>
      </c>
      <c r="F2317" s="2">
        <v>63.3</v>
      </c>
      <c r="H2317" s="1">
        <f>_xlfn.XLOOKUP('Customer Info'!A656,'Customer Info'!A656:A755,'Customer Info'!E656:E755,0,0)</f>
        <v>0</v>
      </c>
      <c r="J2317" s="1">
        <f>_xlfn.XLOOKUP('Customer Info'!A656,'Customer Info'!A656:A755,'Customer Info'!M656:M755)</f>
        <v>0</v>
      </c>
    </row>
    <row r="2318" spans="1:10" ht="14" x14ac:dyDescent="0.2">
      <c r="A2318" s="2" t="s">
        <v>82</v>
      </c>
      <c r="B2318" s="2">
        <v>8</v>
      </c>
      <c r="C2318" s="2">
        <v>2</v>
      </c>
      <c r="D2318" s="2">
        <v>2021</v>
      </c>
      <c r="E2318" s="2">
        <v>125.16</v>
      </c>
      <c r="F2318" s="2">
        <v>63.28</v>
      </c>
      <c r="H2318" s="1">
        <f>_xlfn.XLOOKUP('Customer Info'!A1425,'Customer Info'!A1425:A1524,'Customer Info'!E1425:E1524,0,0)</f>
        <v>0</v>
      </c>
      <c r="J2318" s="1">
        <f>_xlfn.XLOOKUP('Customer Info'!A1425,'Customer Info'!A1425:A1524,'Customer Info'!M1425:M1524)</f>
        <v>0</v>
      </c>
    </row>
    <row r="2319" spans="1:10" ht="14" hidden="1" x14ac:dyDescent="0.2">
      <c r="A2319" s="2" t="s">
        <v>85</v>
      </c>
      <c r="B2319" s="2">
        <v>3</v>
      </c>
      <c r="C2319" s="2">
        <v>2</v>
      </c>
      <c r="D2319" s="2">
        <v>2020</v>
      </c>
      <c r="E2319" s="2">
        <v>105.28</v>
      </c>
      <c r="F2319" s="2">
        <v>63.28</v>
      </c>
      <c r="H2319" s="1">
        <f>_xlfn.XLOOKUP('Customer Info'!A294,'Customer Info'!A294:A393,'Customer Info'!E294:E393,0,0)</f>
        <v>0</v>
      </c>
      <c r="J2319" s="1">
        <f>_xlfn.XLOOKUP('Customer Info'!A294,'Customer Info'!A294:A393,'Customer Info'!M294:M393)</f>
        <v>0</v>
      </c>
    </row>
    <row r="2320" spans="1:10" ht="14" hidden="1" x14ac:dyDescent="0.2">
      <c r="A2320" s="2" t="s">
        <v>74</v>
      </c>
      <c r="B2320" s="2">
        <v>5</v>
      </c>
      <c r="C2320" s="2">
        <v>2</v>
      </c>
      <c r="D2320" s="2">
        <v>2020</v>
      </c>
      <c r="E2320" s="2">
        <v>98</v>
      </c>
      <c r="F2320" s="2">
        <v>63.28</v>
      </c>
      <c r="H2320" s="1">
        <f>_xlfn.XLOOKUP('Customer Info'!A346,'Customer Info'!A346:A445,'Customer Info'!E346:E445,0,0)</f>
        <v>0</v>
      </c>
      <c r="J2320" s="1">
        <f>_xlfn.XLOOKUP('Customer Info'!A346,'Customer Info'!A346:A445,'Customer Info'!M346:M445)</f>
        <v>0</v>
      </c>
    </row>
    <row r="2321" spans="1:10" ht="14" x14ac:dyDescent="0.2">
      <c r="A2321" s="2" t="s">
        <v>46</v>
      </c>
      <c r="B2321" s="2">
        <v>9</v>
      </c>
      <c r="C2321" s="2">
        <v>2</v>
      </c>
      <c r="D2321" s="2">
        <v>2021</v>
      </c>
      <c r="E2321" s="2">
        <v>87.92</v>
      </c>
      <c r="F2321" s="2">
        <v>63.28</v>
      </c>
      <c r="H2321" s="1">
        <f>_xlfn.XLOOKUP('Customer Info'!A1621,'Customer Info'!A1621:A1720,'Customer Info'!E1621:E1720,0,0)</f>
        <v>0</v>
      </c>
      <c r="J2321" s="1">
        <f>_xlfn.XLOOKUP('Customer Info'!A1621,'Customer Info'!A1621:A1720,'Customer Info'!M1621:M1720)</f>
        <v>0</v>
      </c>
    </row>
    <row r="2322" spans="1:10" ht="14" x14ac:dyDescent="0.2">
      <c r="A2322" s="2" t="s">
        <v>50</v>
      </c>
      <c r="B2322" s="2">
        <v>24</v>
      </c>
      <c r="C2322" s="2">
        <v>2</v>
      </c>
      <c r="D2322" s="2">
        <v>2021</v>
      </c>
      <c r="E2322" s="2">
        <v>84.84</v>
      </c>
      <c r="F2322" s="2">
        <v>63.28</v>
      </c>
      <c r="H2322" s="1">
        <f>_xlfn.XLOOKUP('Customer Info'!A1637,'Customer Info'!A1637:A1736,'Customer Info'!E1637:E1736,0,0)</f>
        <v>0</v>
      </c>
      <c r="J2322" s="1">
        <f>_xlfn.XLOOKUP('Customer Info'!A1637,'Customer Info'!A1637:A1736,'Customer Info'!M1637:M1736)</f>
        <v>0</v>
      </c>
    </row>
    <row r="2323" spans="1:10" ht="14" x14ac:dyDescent="0.2">
      <c r="A2323" s="2" t="s">
        <v>48</v>
      </c>
      <c r="B2323" s="2">
        <v>24</v>
      </c>
      <c r="C2323" s="2">
        <v>12</v>
      </c>
      <c r="D2323" s="2">
        <v>2021</v>
      </c>
      <c r="E2323" s="2">
        <v>135.16</v>
      </c>
      <c r="F2323" s="2">
        <v>63.24</v>
      </c>
      <c r="H2323" s="1">
        <f>_xlfn.XLOOKUP('Customer Info'!A1376,'Customer Info'!A1376:A1475,'Customer Info'!E1376:E1475,0,0)</f>
        <v>0</v>
      </c>
      <c r="J2323" s="1">
        <f>_xlfn.XLOOKUP('Customer Info'!A1376,'Customer Info'!A1376:A1475,'Customer Info'!M1376:M1475)</f>
        <v>0</v>
      </c>
    </row>
    <row r="2324" spans="1:10" ht="14" x14ac:dyDescent="0.2">
      <c r="A2324" s="2" t="s">
        <v>50</v>
      </c>
      <c r="B2324" s="2">
        <v>24</v>
      </c>
      <c r="C2324" s="2">
        <v>8</v>
      </c>
      <c r="D2324" s="2">
        <v>2021</v>
      </c>
      <c r="E2324" s="2">
        <v>26.97</v>
      </c>
      <c r="F2324" s="2">
        <v>63.24</v>
      </c>
      <c r="H2324" s="1">
        <f>_xlfn.XLOOKUP('Customer Info'!A2041,'Customer Info'!A2041:A2140,'Customer Info'!E2041:E2140,0,0)</f>
        <v>0</v>
      </c>
      <c r="J2324" s="1">
        <f>_xlfn.XLOOKUP('Customer Info'!A2041,'Customer Info'!A2041:A2140,'Customer Info'!M2041:M2140)</f>
        <v>0</v>
      </c>
    </row>
    <row r="2325" spans="1:10" ht="14" x14ac:dyDescent="0.2">
      <c r="A2325" s="2" t="s">
        <v>89</v>
      </c>
      <c r="B2325" s="2">
        <v>2</v>
      </c>
      <c r="C2325" s="2">
        <v>2</v>
      </c>
      <c r="D2325" s="2">
        <v>2021</v>
      </c>
      <c r="E2325" s="2">
        <v>110.04</v>
      </c>
      <c r="F2325" s="2">
        <v>63</v>
      </c>
      <c r="H2325" s="1">
        <f>_xlfn.XLOOKUP('Customer Info'!A1498,'Customer Info'!A1498:A1597,'Customer Info'!E1498:E1597,0,0)</f>
        <v>0</v>
      </c>
      <c r="J2325" s="1">
        <f>_xlfn.XLOOKUP('Customer Info'!A1498,'Customer Info'!A1498:A1597,'Customer Info'!M1498:M1597)</f>
        <v>0</v>
      </c>
    </row>
    <row r="2326" spans="1:10" ht="14" hidden="1" x14ac:dyDescent="0.2">
      <c r="A2326" s="2" t="s">
        <v>35</v>
      </c>
      <c r="B2326" s="2">
        <v>9</v>
      </c>
      <c r="C2326" s="2">
        <v>2</v>
      </c>
      <c r="D2326" s="2">
        <v>2020</v>
      </c>
      <c r="E2326" s="2">
        <v>103.32</v>
      </c>
      <c r="F2326" s="2">
        <v>63</v>
      </c>
      <c r="H2326" s="1">
        <f>_xlfn.XLOOKUP('Customer Info'!A309,'Customer Info'!A309:A408,'Customer Info'!E309:E408,0,0)</f>
        <v>0</v>
      </c>
      <c r="J2326" s="1">
        <f>_xlfn.XLOOKUP('Customer Info'!A309,'Customer Info'!A309:A408,'Customer Info'!M309:M408)</f>
        <v>0</v>
      </c>
    </row>
    <row r="2327" spans="1:10" ht="14" x14ac:dyDescent="0.2">
      <c r="A2327" s="2" t="s">
        <v>34</v>
      </c>
      <c r="B2327" s="2">
        <v>4</v>
      </c>
      <c r="C2327" s="2">
        <v>2</v>
      </c>
      <c r="D2327" s="2">
        <v>2021</v>
      </c>
      <c r="E2327" s="2">
        <v>89.88</v>
      </c>
      <c r="F2327" s="2">
        <v>63</v>
      </c>
      <c r="H2327" s="1">
        <f>_xlfn.XLOOKUP('Customer Info'!A1615,'Customer Info'!A1615:A1714,'Customer Info'!E1615:E1714,0,0)</f>
        <v>0</v>
      </c>
      <c r="J2327" s="1">
        <f>_xlfn.XLOOKUP('Customer Info'!A1615,'Customer Info'!A1615:A1714,'Customer Info'!M1615:M1714)</f>
        <v>0</v>
      </c>
    </row>
    <row r="2328" spans="1:10" ht="14" hidden="1" x14ac:dyDescent="0.2">
      <c r="A2328" s="2" t="s">
        <v>47</v>
      </c>
      <c r="B2328" s="2">
        <v>19</v>
      </c>
      <c r="C2328" s="2">
        <v>2</v>
      </c>
      <c r="D2328" s="2">
        <v>2020</v>
      </c>
      <c r="E2328" s="2">
        <v>87.08</v>
      </c>
      <c r="F2328" s="2">
        <v>63</v>
      </c>
      <c r="H2328" s="1">
        <f>_xlfn.XLOOKUP('Customer Info'!A409,'Customer Info'!A409:A508,'Customer Info'!E409:E508,0,0)</f>
        <v>0</v>
      </c>
      <c r="J2328" s="1">
        <f>_xlfn.XLOOKUP('Customer Info'!A409,'Customer Info'!A409:A508,'Customer Info'!M409:M508)</f>
        <v>0</v>
      </c>
    </row>
    <row r="2329" spans="1:10" ht="14" x14ac:dyDescent="0.2">
      <c r="A2329" s="2" t="s">
        <v>82</v>
      </c>
      <c r="B2329" s="2">
        <v>8</v>
      </c>
      <c r="C2329" s="2">
        <v>4</v>
      </c>
      <c r="D2329" s="2">
        <v>2021</v>
      </c>
      <c r="E2329" s="2">
        <v>73.8</v>
      </c>
      <c r="F2329" s="2">
        <v>63</v>
      </c>
      <c r="H2329" s="1">
        <f>_xlfn.XLOOKUP('Customer Info'!A1707,'Customer Info'!A1707:A1806,'Customer Info'!E1707:E1806,0,0)</f>
        <v>0</v>
      </c>
      <c r="J2329" s="1">
        <f>_xlfn.XLOOKUP('Customer Info'!A1707,'Customer Info'!A1707:A1806,'Customer Info'!M1707:M1806)</f>
        <v>0</v>
      </c>
    </row>
    <row r="2330" spans="1:10" ht="14" x14ac:dyDescent="0.2">
      <c r="A2330" s="2" t="s">
        <v>95</v>
      </c>
      <c r="B2330" s="2">
        <v>24</v>
      </c>
      <c r="C2330" s="2">
        <v>8</v>
      </c>
      <c r="D2330" s="2">
        <v>2021</v>
      </c>
      <c r="E2330" s="1" t="s">
        <v>94</v>
      </c>
      <c r="F2330" s="2">
        <v>62.93</v>
      </c>
      <c r="H2330" s="1">
        <f>_xlfn.XLOOKUP('Customer Info'!A1335,'Customer Info'!A1335:A1434,'Customer Info'!E1335:E1434,0,0)</f>
        <v>0</v>
      </c>
      <c r="J2330" s="1">
        <f>_xlfn.XLOOKUP('Customer Info'!A1335,'Customer Info'!A1335:A1434,'Customer Info'!M1335:M1434)</f>
        <v>0</v>
      </c>
    </row>
    <row r="2331" spans="1:10" ht="14" hidden="1" x14ac:dyDescent="0.2">
      <c r="A2331" s="2" t="s">
        <v>37</v>
      </c>
      <c r="B2331" s="2">
        <v>12</v>
      </c>
      <c r="C2331" s="2">
        <v>7</v>
      </c>
      <c r="D2331" s="2">
        <v>2020</v>
      </c>
      <c r="E2331" s="2">
        <v>25.42</v>
      </c>
      <c r="F2331" s="2">
        <v>62.93</v>
      </c>
      <c r="H2331" s="1">
        <f>_xlfn.XLOOKUP('Customer Info'!A850,'Customer Info'!A850:A949,'Customer Info'!E850:E949,0,0)</f>
        <v>0</v>
      </c>
      <c r="J2331" s="1">
        <f>_xlfn.XLOOKUP('Customer Info'!A850,'Customer Info'!A850:A949,'Customer Info'!M850:M949)</f>
        <v>0</v>
      </c>
    </row>
    <row r="2332" spans="1:10" ht="14" x14ac:dyDescent="0.2">
      <c r="A2332" s="2" t="s">
        <v>51</v>
      </c>
      <c r="B2332" s="2">
        <v>16</v>
      </c>
      <c r="C2332" s="2">
        <v>2</v>
      </c>
      <c r="D2332" s="2">
        <v>2021</v>
      </c>
      <c r="E2332" s="2">
        <v>101.64</v>
      </c>
      <c r="F2332" s="2">
        <v>62.72</v>
      </c>
      <c r="H2332" s="1">
        <f>_xlfn.XLOOKUP('Customer Info'!A1547,'Customer Info'!A1547:A1646,'Customer Info'!E1547:E1646,0,0)</f>
        <v>0</v>
      </c>
      <c r="J2332" s="1">
        <f>_xlfn.XLOOKUP('Customer Info'!A1547,'Customer Info'!A1547:A1646,'Customer Info'!M1547:M1646)</f>
        <v>0</v>
      </c>
    </row>
    <row r="2333" spans="1:10" ht="14" hidden="1" x14ac:dyDescent="0.2">
      <c r="A2333" s="2" t="s">
        <v>95</v>
      </c>
      <c r="B2333" s="2">
        <v>24</v>
      </c>
      <c r="C2333" s="2">
        <v>6</v>
      </c>
      <c r="D2333" s="2">
        <v>2020</v>
      </c>
      <c r="E2333" s="1" t="s">
        <v>94</v>
      </c>
      <c r="F2333" s="2">
        <v>62.7</v>
      </c>
      <c r="H2333" s="1">
        <f>_xlfn.XLOOKUP('Customer Info'!A141,'Customer Info'!A141:A240,'Customer Info'!E141:E240,0,0)</f>
        <v>0</v>
      </c>
      <c r="J2333" s="1">
        <f>_xlfn.XLOOKUP('Customer Info'!A141,'Customer Info'!A141:A240,'Customer Info'!M141:M240)</f>
        <v>0</v>
      </c>
    </row>
    <row r="2334" spans="1:10" ht="14" hidden="1" x14ac:dyDescent="0.2">
      <c r="A2334" s="2" t="s">
        <v>91</v>
      </c>
      <c r="B2334" s="2">
        <v>5</v>
      </c>
      <c r="C2334" s="2">
        <v>4</v>
      </c>
      <c r="D2334" s="2">
        <v>2020</v>
      </c>
      <c r="E2334" s="2">
        <v>102</v>
      </c>
      <c r="F2334" s="2">
        <v>62.7</v>
      </c>
      <c r="H2334" s="1">
        <f>_xlfn.XLOOKUP('Customer Info'!A317,'Customer Info'!A317:A416,'Customer Info'!E317:E416,0,0)</f>
        <v>0</v>
      </c>
      <c r="J2334" s="1">
        <f>_xlfn.XLOOKUP('Customer Info'!A317,'Customer Info'!A317:A416,'Customer Info'!M317:M416)</f>
        <v>0</v>
      </c>
    </row>
    <row r="2335" spans="1:10" ht="14" hidden="1" x14ac:dyDescent="0.2">
      <c r="A2335" s="2" t="s">
        <v>39</v>
      </c>
      <c r="B2335" s="2">
        <v>22</v>
      </c>
      <c r="C2335" s="2">
        <v>9</v>
      </c>
      <c r="D2335" s="2">
        <v>2020</v>
      </c>
      <c r="E2335" s="2">
        <v>37.200000000000003</v>
      </c>
      <c r="F2335" s="2">
        <v>62.7</v>
      </c>
      <c r="H2335" s="1">
        <f>_xlfn.XLOOKUP('Customer Info'!A763,'Customer Info'!A763:A862,'Customer Info'!E763:E862,0,0)</f>
        <v>0</v>
      </c>
      <c r="J2335" s="1">
        <f>_xlfn.XLOOKUP('Customer Info'!A763,'Customer Info'!A763:A862,'Customer Info'!M763:M862)</f>
        <v>0</v>
      </c>
    </row>
    <row r="2336" spans="1:10" ht="14" x14ac:dyDescent="0.2">
      <c r="A2336" s="2" t="s">
        <v>62</v>
      </c>
      <c r="B2336" s="2">
        <v>1</v>
      </c>
      <c r="C2336" s="2">
        <v>6</v>
      </c>
      <c r="D2336" s="2">
        <v>2021</v>
      </c>
      <c r="E2336" s="2">
        <v>33.9</v>
      </c>
      <c r="F2336" s="2">
        <v>62.7</v>
      </c>
      <c r="H2336" s="1">
        <f>_xlfn.XLOOKUP('Customer Info'!A1996,'Customer Info'!A1996:A2095,'Customer Info'!E1996:E2095,0,0)</f>
        <v>0</v>
      </c>
      <c r="J2336" s="1">
        <f>_xlfn.XLOOKUP('Customer Info'!A1996,'Customer Info'!A1996:A2095,'Customer Info'!M1996:M2095)</f>
        <v>0</v>
      </c>
    </row>
    <row r="2337" spans="1:10" ht="14" hidden="1" x14ac:dyDescent="0.2">
      <c r="A2337" s="2" t="s">
        <v>45</v>
      </c>
      <c r="B2337" s="2">
        <v>18</v>
      </c>
      <c r="C2337" s="2">
        <v>2</v>
      </c>
      <c r="D2337" s="2">
        <v>2020</v>
      </c>
      <c r="E2337" s="2">
        <v>104.16</v>
      </c>
      <c r="F2337" s="2">
        <v>62.44</v>
      </c>
      <c r="H2337" s="1">
        <f>_xlfn.XLOOKUP('Customer Info'!A300,'Customer Info'!A300:A399,'Customer Info'!E300:E399,0,0)</f>
        <v>0</v>
      </c>
      <c r="J2337" s="1">
        <f>_xlfn.XLOOKUP('Customer Info'!A300,'Customer Info'!A300:A399,'Customer Info'!M300:M399)</f>
        <v>0</v>
      </c>
    </row>
    <row r="2338" spans="1:10" ht="14" hidden="1" x14ac:dyDescent="0.2">
      <c r="A2338" s="2" t="s">
        <v>36</v>
      </c>
      <c r="B2338" s="2">
        <v>12</v>
      </c>
      <c r="C2338" s="2">
        <v>6</v>
      </c>
      <c r="D2338" s="2">
        <v>2020</v>
      </c>
      <c r="E2338" s="2">
        <v>27</v>
      </c>
      <c r="F2338" s="2">
        <v>62.4</v>
      </c>
      <c r="H2338" s="1">
        <f>_xlfn.XLOOKUP('Customer Info'!A841,'Customer Info'!A841:A940,'Customer Info'!E841:E940,0,0)</f>
        <v>0</v>
      </c>
      <c r="J2338" s="1">
        <f>_xlfn.XLOOKUP('Customer Info'!A841,'Customer Info'!A841:A940,'Customer Info'!M841:M940)</f>
        <v>0</v>
      </c>
    </row>
    <row r="2339" spans="1:10" ht="14" x14ac:dyDescent="0.2">
      <c r="A2339" s="2" t="s">
        <v>36</v>
      </c>
      <c r="B2339" s="2">
        <v>12</v>
      </c>
      <c r="C2339" s="2">
        <v>9</v>
      </c>
      <c r="D2339" s="2">
        <v>2021</v>
      </c>
      <c r="E2339" s="2">
        <v>26.7</v>
      </c>
      <c r="F2339" s="2">
        <v>62.4</v>
      </c>
      <c r="H2339" s="1">
        <f>_xlfn.XLOOKUP('Customer Info'!A2042,'Customer Info'!A2042:A2141,'Customer Info'!E2042:E2141,0,0)</f>
        <v>0</v>
      </c>
      <c r="J2339" s="1">
        <f>_xlfn.XLOOKUP('Customer Info'!A2042,'Customer Info'!A2042:A2141,'Customer Info'!M2042:M2141)</f>
        <v>0</v>
      </c>
    </row>
    <row r="2340" spans="1:10" ht="14" hidden="1" x14ac:dyDescent="0.2">
      <c r="A2340" s="2" t="s">
        <v>45</v>
      </c>
      <c r="B2340" s="2">
        <v>18</v>
      </c>
      <c r="C2340" s="2">
        <v>11</v>
      </c>
      <c r="D2340" s="2">
        <v>2020</v>
      </c>
      <c r="E2340" s="2">
        <v>110.7</v>
      </c>
      <c r="F2340" s="2">
        <v>62.1</v>
      </c>
      <c r="H2340" s="1">
        <f>_xlfn.XLOOKUP('Customer Info'!A255,'Customer Info'!A255:A354,'Customer Info'!E255:E354,0,0)</f>
        <v>0</v>
      </c>
      <c r="J2340" s="1">
        <f>_xlfn.XLOOKUP('Customer Info'!A255,'Customer Info'!A255:A354,'Customer Info'!M255:M354)</f>
        <v>0</v>
      </c>
    </row>
    <row r="2341" spans="1:10" ht="14" x14ac:dyDescent="0.2">
      <c r="A2341" s="2" t="s">
        <v>62</v>
      </c>
      <c r="B2341" s="2">
        <v>1</v>
      </c>
      <c r="C2341" s="2">
        <v>11</v>
      </c>
      <c r="D2341" s="2">
        <v>2021</v>
      </c>
      <c r="E2341" s="2">
        <v>102.3</v>
      </c>
      <c r="F2341" s="2">
        <v>62.1</v>
      </c>
      <c r="H2341" s="1">
        <f>_xlfn.XLOOKUP('Customer Info'!A1545,'Customer Info'!A1545:A1644,'Customer Info'!E1545:E1644,0,0)</f>
        <v>0</v>
      </c>
      <c r="J2341" s="1">
        <f>_xlfn.XLOOKUP('Customer Info'!A1545,'Customer Info'!A1545:A1644,'Customer Info'!M1545:M1644)</f>
        <v>0</v>
      </c>
    </row>
    <row r="2342" spans="1:10" ht="14" hidden="1" x14ac:dyDescent="0.2">
      <c r="A2342" s="2" t="s">
        <v>37</v>
      </c>
      <c r="B2342" s="2">
        <v>12</v>
      </c>
      <c r="C2342" s="2">
        <v>6</v>
      </c>
      <c r="D2342" s="2">
        <v>2020</v>
      </c>
      <c r="E2342" s="2">
        <v>19.5</v>
      </c>
      <c r="F2342" s="2">
        <v>62.1</v>
      </c>
      <c r="H2342" s="1">
        <f>_xlfn.XLOOKUP('Customer Info'!A869,'Customer Info'!A869:A968,'Customer Info'!E869:E968,0,0)</f>
        <v>0</v>
      </c>
      <c r="J2342" s="1">
        <f>_xlfn.XLOOKUP('Customer Info'!A869,'Customer Info'!A869:A968,'Customer Info'!M869:M968)</f>
        <v>0</v>
      </c>
    </row>
    <row r="2343" spans="1:10" ht="14" x14ac:dyDescent="0.2">
      <c r="A2343" s="2" t="s">
        <v>35</v>
      </c>
      <c r="B2343" s="2">
        <v>9</v>
      </c>
      <c r="C2343" s="2">
        <v>6</v>
      </c>
      <c r="D2343" s="2">
        <v>2021</v>
      </c>
      <c r="E2343" s="2">
        <v>17.7</v>
      </c>
      <c r="F2343" s="2">
        <v>62.1</v>
      </c>
      <c r="H2343" s="1">
        <f>_xlfn.XLOOKUP('Customer Info'!A2068,'Customer Info'!A2068:A2167,'Customer Info'!E2068:E2167,0,0)</f>
        <v>0</v>
      </c>
      <c r="J2343" s="1">
        <f>_xlfn.XLOOKUP('Customer Info'!A2068,'Customer Info'!A2068:A2167,'Customer Info'!M2068:M2167)</f>
        <v>0</v>
      </c>
    </row>
    <row r="2344" spans="1:10" ht="14" x14ac:dyDescent="0.2">
      <c r="A2344" s="2" t="s">
        <v>58</v>
      </c>
      <c r="B2344" s="2">
        <v>16</v>
      </c>
      <c r="C2344" s="2">
        <v>7</v>
      </c>
      <c r="D2344" s="2">
        <v>2021</v>
      </c>
      <c r="E2344" s="2">
        <v>37.51</v>
      </c>
      <c r="F2344" s="2">
        <v>62</v>
      </c>
      <c r="H2344" s="1">
        <f>_xlfn.XLOOKUP('Customer Info'!A1966,'Customer Info'!A1966:A2065,'Customer Info'!E1966:E2065,0,0)</f>
        <v>0</v>
      </c>
      <c r="J2344" s="1">
        <f>_xlfn.XLOOKUP('Customer Info'!A1966,'Customer Info'!A1966:A2065,'Customer Info'!M1966:M2065)</f>
        <v>0</v>
      </c>
    </row>
    <row r="2345" spans="1:10" ht="14" x14ac:dyDescent="0.2">
      <c r="A2345" s="2" t="s">
        <v>50</v>
      </c>
      <c r="B2345" s="2">
        <v>24</v>
      </c>
      <c r="C2345" s="2">
        <v>11</v>
      </c>
      <c r="D2345" s="2">
        <v>2021</v>
      </c>
      <c r="E2345" s="2">
        <v>111.6</v>
      </c>
      <c r="F2345" s="2">
        <v>61.8</v>
      </c>
      <c r="H2345" s="1">
        <f>_xlfn.XLOOKUP('Customer Info'!A1487,'Customer Info'!A1487:A1586,'Customer Info'!E1487:E1586,0,0)</f>
        <v>0</v>
      </c>
      <c r="J2345" s="1">
        <f>_xlfn.XLOOKUP('Customer Info'!A1487,'Customer Info'!A1487:A1586,'Customer Info'!M1487:M1586)</f>
        <v>0</v>
      </c>
    </row>
    <row r="2346" spans="1:10" ht="14" x14ac:dyDescent="0.2">
      <c r="A2346" s="2" t="s">
        <v>42</v>
      </c>
      <c r="B2346" s="2">
        <v>12</v>
      </c>
      <c r="C2346" s="2">
        <v>9</v>
      </c>
      <c r="D2346" s="2">
        <v>2021</v>
      </c>
      <c r="E2346" s="2">
        <v>24.9</v>
      </c>
      <c r="F2346" s="2">
        <v>61.8</v>
      </c>
      <c r="H2346" s="1">
        <f>_xlfn.XLOOKUP('Customer Info'!A2053,'Customer Info'!A2053:A2152,'Customer Info'!E2053:E2152,0,0)</f>
        <v>0</v>
      </c>
      <c r="J2346" s="1">
        <f>_xlfn.XLOOKUP('Customer Info'!A2053,'Customer Info'!A2053:A2152,'Customer Info'!M2053:M2152)</f>
        <v>0</v>
      </c>
    </row>
    <row r="2347" spans="1:10" ht="14" x14ac:dyDescent="0.2">
      <c r="A2347" s="2" t="s">
        <v>48</v>
      </c>
      <c r="B2347" s="2">
        <v>24</v>
      </c>
      <c r="C2347" s="2">
        <v>1</v>
      </c>
      <c r="D2347" s="2">
        <v>2021</v>
      </c>
      <c r="E2347" s="2">
        <v>109.12</v>
      </c>
      <c r="F2347" s="2">
        <v>61.69</v>
      </c>
      <c r="H2347" s="1">
        <f>_xlfn.XLOOKUP('Customer Info'!A1506,'Customer Info'!A1506:A1605,'Customer Info'!E1506:E1605,0,0)</f>
        <v>0</v>
      </c>
      <c r="J2347" s="1">
        <f>_xlfn.XLOOKUP('Customer Info'!A1506,'Customer Info'!A1506:A1605,'Customer Info'!M1506:M1605)</f>
        <v>0</v>
      </c>
    </row>
    <row r="2348" spans="1:10" ht="14" hidden="1" x14ac:dyDescent="0.2">
      <c r="A2348" s="2" t="s">
        <v>34</v>
      </c>
      <c r="B2348" s="2">
        <v>4</v>
      </c>
      <c r="C2348" s="2">
        <v>3</v>
      </c>
      <c r="D2348" s="2">
        <v>2020</v>
      </c>
      <c r="E2348" s="2">
        <v>64.790000000000006</v>
      </c>
      <c r="F2348" s="2">
        <v>61.69</v>
      </c>
      <c r="H2348" s="1">
        <f>_xlfn.XLOOKUP('Customer Info'!A551,'Customer Info'!A551:A650,'Customer Info'!E551:E650,0,0)</f>
        <v>0</v>
      </c>
      <c r="J2348" s="1">
        <f>_xlfn.XLOOKUP('Customer Info'!A551,'Customer Info'!A551:A650,'Customer Info'!M551:M650)</f>
        <v>0</v>
      </c>
    </row>
    <row r="2349" spans="1:10" ht="14" x14ac:dyDescent="0.2">
      <c r="A2349" s="2" t="s">
        <v>62</v>
      </c>
      <c r="B2349" s="2">
        <v>1</v>
      </c>
      <c r="C2349" s="2">
        <v>4</v>
      </c>
      <c r="D2349" s="2">
        <v>2021</v>
      </c>
      <c r="E2349" s="2">
        <v>80.7</v>
      </c>
      <c r="F2349" s="2">
        <v>61.5</v>
      </c>
      <c r="H2349" s="1">
        <f>_xlfn.XLOOKUP('Customer Info'!A1662,'Customer Info'!A1662:A1761,'Customer Info'!E1662:E1761,0,0)</f>
        <v>0</v>
      </c>
      <c r="J2349" s="1">
        <f>_xlfn.XLOOKUP('Customer Info'!A1662,'Customer Info'!A1662:A1761,'Customer Info'!M1662:M1761)</f>
        <v>0</v>
      </c>
    </row>
    <row r="2350" spans="1:10" ht="14" x14ac:dyDescent="0.2">
      <c r="A2350" s="2" t="s">
        <v>48</v>
      </c>
      <c r="B2350" s="2">
        <v>24</v>
      </c>
      <c r="C2350" s="2">
        <v>4</v>
      </c>
      <c r="D2350" s="2">
        <v>2021</v>
      </c>
      <c r="E2350" s="2">
        <v>66.3</v>
      </c>
      <c r="F2350" s="2">
        <v>61.5</v>
      </c>
      <c r="H2350" s="1">
        <f>_xlfn.XLOOKUP('Customer Info'!A1760,'Customer Info'!A1760:A1859,'Customer Info'!E1760:E1859,0,0)</f>
        <v>0</v>
      </c>
      <c r="J2350" s="1">
        <f>_xlfn.XLOOKUP('Customer Info'!A1760,'Customer Info'!A1760:A1859,'Customer Info'!M1760:M1859)</f>
        <v>0</v>
      </c>
    </row>
    <row r="2351" spans="1:10" ht="14" x14ac:dyDescent="0.2">
      <c r="A2351" s="2" t="s">
        <v>35</v>
      </c>
      <c r="B2351" s="2">
        <v>9</v>
      </c>
      <c r="C2351" s="2">
        <v>9</v>
      </c>
      <c r="D2351" s="2">
        <v>2021</v>
      </c>
      <c r="E2351" s="2">
        <v>25.5</v>
      </c>
      <c r="F2351" s="2">
        <v>61.5</v>
      </c>
      <c r="H2351" s="1">
        <f>_xlfn.XLOOKUP('Customer Info'!A2049,'Customer Info'!A2049:A2148,'Customer Info'!E2049:E2148,0,0)</f>
        <v>0</v>
      </c>
      <c r="J2351" s="1">
        <f>_xlfn.XLOOKUP('Customer Info'!A2049,'Customer Info'!A2049:A2148,'Customer Info'!M2049:M2148)</f>
        <v>0</v>
      </c>
    </row>
    <row r="2352" spans="1:10" ht="14" hidden="1" x14ac:dyDescent="0.2">
      <c r="A2352" s="2" t="s">
        <v>34</v>
      </c>
      <c r="B2352" s="2">
        <v>4</v>
      </c>
      <c r="C2352" s="2">
        <v>2</v>
      </c>
      <c r="D2352" s="2">
        <v>2020</v>
      </c>
      <c r="E2352" s="2">
        <v>88.48</v>
      </c>
      <c r="F2352" s="2">
        <v>61.32</v>
      </c>
      <c r="H2352" s="1">
        <f>_xlfn.XLOOKUP('Customer Info'!A403,'Customer Info'!A403:A502,'Customer Info'!E403:E502,0,0)</f>
        <v>0</v>
      </c>
      <c r="J2352" s="1">
        <f>_xlfn.XLOOKUP('Customer Info'!A403,'Customer Info'!A403:A502,'Customer Info'!M403:M502)</f>
        <v>0</v>
      </c>
    </row>
    <row r="2353" spans="1:10" ht="14" x14ac:dyDescent="0.2">
      <c r="A2353" s="2" t="s">
        <v>96</v>
      </c>
      <c r="B2353" s="2">
        <v>3</v>
      </c>
      <c r="C2353" s="2">
        <v>2</v>
      </c>
      <c r="D2353" s="2">
        <v>2021</v>
      </c>
      <c r="E2353" s="1" t="s">
        <v>94</v>
      </c>
      <c r="F2353" s="2">
        <v>60.76</v>
      </c>
      <c r="H2353" s="1">
        <f>_xlfn.XLOOKUP('Customer Info'!A1336,'Customer Info'!A1336:A1435,'Customer Info'!E1336:E1435,0,0)</f>
        <v>0</v>
      </c>
      <c r="J2353" s="1">
        <f>_xlfn.XLOOKUP('Customer Info'!A1336,'Customer Info'!A1336:A1435,'Customer Info'!M1336:M1435)</f>
        <v>0</v>
      </c>
    </row>
    <row r="2354" spans="1:10" ht="14" hidden="1" x14ac:dyDescent="0.2">
      <c r="A2354" s="2" t="s">
        <v>46</v>
      </c>
      <c r="B2354" s="2">
        <v>9</v>
      </c>
      <c r="C2354" s="2">
        <v>8</v>
      </c>
      <c r="D2354" s="2">
        <v>2020</v>
      </c>
      <c r="E2354" s="2">
        <v>31.62</v>
      </c>
      <c r="F2354" s="2">
        <v>60.76</v>
      </c>
      <c r="H2354" s="1">
        <f>_xlfn.XLOOKUP('Customer Info'!A809,'Customer Info'!A809:A908,'Customer Info'!E809:E908,0,0)</f>
        <v>0</v>
      </c>
      <c r="J2354" s="1">
        <f>_xlfn.XLOOKUP('Customer Info'!A809,'Customer Info'!A809:A908,'Customer Info'!M809:M908)</f>
        <v>0</v>
      </c>
    </row>
    <row r="2355" spans="1:10" ht="14" x14ac:dyDescent="0.2">
      <c r="A2355" s="2" t="s">
        <v>0</v>
      </c>
      <c r="B2355" s="2">
        <v>25</v>
      </c>
      <c r="C2355" s="2">
        <v>4</v>
      </c>
      <c r="D2355" s="2">
        <v>2021</v>
      </c>
      <c r="E2355" s="1" t="s">
        <v>94</v>
      </c>
      <c r="F2355" s="2">
        <v>60.6</v>
      </c>
      <c r="H2355" s="1">
        <f>_xlfn.XLOOKUP('Customer Info'!A1337,'Customer Info'!A1337:A1436,'Customer Info'!E1337:E1436,0,0)</f>
        <v>0</v>
      </c>
      <c r="J2355" s="1">
        <f>_xlfn.XLOOKUP('Customer Info'!A1337,'Customer Info'!A1337:A1436,'Customer Info'!M1337:M1436)</f>
        <v>0</v>
      </c>
    </row>
    <row r="2356" spans="1:10" ht="14" hidden="1" x14ac:dyDescent="0.2">
      <c r="A2356" s="2" t="s">
        <v>39</v>
      </c>
      <c r="B2356" s="2">
        <v>22</v>
      </c>
      <c r="C2356" s="2">
        <v>4</v>
      </c>
      <c r="D2356" s="2">
        <v>2020</v>
      </c>
      <c r="E2356" s="2">
        <v>53.1</v>
      </c>
      <c r="F2356" s="2">
        <v>60.6</v>
      </c>
      <c r="H2356" s="1">
        <f>_xlfn.XLOOKUP('Customer Info'!A623,'Customer Info'!A623:A722,'Customer Info'!E623:E722,0,0)</f>
        <v>0</v>
      </c>
      <c r="J2356" s="1">
        <f>_xlfn.XLOOKUP('Customer Info'!A623,'Customer Info'!A623:A722,'Customer Info'!M623:M722)</f>
        <v>0</v>
      </c>
    </row>
    <row r="2357" spans="1:10" ht="14" hidden="1" x14ac:dyDescent="0.2">
      <c r="A2357" s="2" t="s">
        <v>37</v>
      </c>
      <c r="B2357" s="2">
        <v>12</v>
      </c>
      <c r="C2357" s="2">
        <v>9</v>
      </c>
      <c r="D2357" s="2">
        <v>2020</v>
      </c>
      <c r="E2357" s="2">
        <v>29.1</v>
      </c>
      <c r="F2357" s="2">
        <v>60.6</v>
      </c>
      <c r="H2357" s="1">
        <f>_xlfn.XLOOKUP('Customer Info'!A825,'Customer Info'!A825:A924,'Customer Info'!E825:E924,0,0)</f>
        <v>0</v>
      </c>
      <c r="J2357" s="1">
        <f>_xlfn.XLOOKUP('Customer Info'!A825,'Customer Info'!A825:A924,'Customer Info'!M825:M924)</f>
        <v>0</v>
      </c>
    </row>
    <row r="2358" spans="1:10" ht="14" hidden="1" x14ac:dyDescent="0.2">
      <c r="A2358" s="2" t="s">
        <v>51</v>
      </c>
      <c r="B2358" s="2">
        <v>16</v>
      </c>
      <c r="C2358" s="2">
        <v>2</v>
      </c>
      <c r="D2358" s="2">
        <v>2020</v>
      </c>
      <c r="E2358" s="2">
        <v>84</v>
      </c>
      <c r="F2358" s="2">
        <v>60.48</v>
      </c>
      <c r="H2358" s="1">
        <f>_xlfn.XLOOKUP('Customer Info'!A425,'Customer Info'!A425:A524,'Customer Info'!E425:E524,0,0)</f>
        <v>0</v>
      </c>
      <c r="J2358" s="1">
        <f>_xlfn.XLOOKUP('Customer Info'!A425,'Customer Info'!A425:A524,'Customer Info'!M425:M524)</f>
        <v>0</v>
      </c>
    </row>
    <row r="2359" spans="1:10" ht="14" hidden="1" x14ac:dyDescent="0.2">
      <c r="A2359" s="2" t="s">
        <v>49</v>
      </c>
      <c r="B2359" s="2">
        <v>3</v>
      </c>
      <c r="C2359" s="2">
        <v>1</v>
      </c>
      <c r="D2359" s="2">
        <v>2020</v>
      </c>
      <c r="E2359" s="2">
        <v>106.95</v>
      </c>
      <c r="F2359" s="2">
        <v>60.45</v>
      </c>
      <c r="H2359" s="1">
        <f>_xlfn.XLOOKUP('Customer Info'!A282,'Customer Info'!A282:A381,'Customer Info'!E282:E381,0,0)</f>
        <v>0</v>
      </c>
      <c r="J2359" s="1">
        <f>_xlfn.XLOOKUP('Customer Info'!A282,'Customer Info'!A282:A381,'Customer Info'!M282:M381)</f>
        <v>0</v>
      </c>
    </row>
    <row r="2360" spans="1:10" ht="14" hidden="1" x14ac:dyDescent="0.2">
      <c r="A2360" s="2" t="s">
        <v>37</v>
      </c>
      <c r="B2360" s="2">
        <v>12</v>
      </c>
      <c r="C2360" s="2">
        <v>1</v>
      </c>
      <c r="D2360" s="2">
        <v>2020</v>
      </c>
      <c r="E2360" s="2">
        <v>88.35</v>
      </c>
      <c r="F2360" s="2">
        <v>60.45</v>
      </c>
      <c r="H2360" s="1">
        <f>_xlfn.XLOOKUP('Customer Info'!A405,'Customer Info'!A405:A504,'Customer Info'!E405:E504,0,0)</f>
        <v>0</v>
      </c>
      <c r="J2360" s="1">
        <f>_xlfn.XLOOKUP('Customer Info'!A405,'Customer Info'!A405:A504,'Customer Info'!M405:M504)</f>
        <v>0</v>
      </c>
    </row>
    <row r="2361" spans="1:10" ht="14" hidden="1" x14ac:dyDescent="0.2">
      <c r="A2361" s="2" t="s">
        <v>39</v>
      </c>
      <c r="B2361" s="2">
        <v>22</v>
      </c>
      <c r="C2361" s="2">
        <v>1</v>
      </c>
      <c r="D2361" s="2">
        <v>2020</v>
      </c>
      <c r="E2361" s="2">
        <v>85.56</v>
      </c>
      <c r="F2361" s="2">
        <v>60.45</v>
      </c>
      <c r="H2361" s="1">
        <f>_xlfn.XLOOKUP('Customer Info'!A415,'Customer Info'!A415:A514,'Customer Info'!E415:E514,0,0)</f>
        <v>0</v>
      </c>
      <c r="J2361" s="1">
        <f>_xlfn.XLOOKUP('Customer Info'!A415,'Customer Info'!A415:A514,'Customer Info'!M415:M514)</f>
        <v>0</v>
      </c>
    </row>
    <row r="2362" spans="1:10" ht="14" hidden="1" x14ac:dyDescent="0.2">
      <c r="A2362" s="2" t="s">
        <v>39</v>
      </c>
      <c r="B2362" s="2">
        <v>22</v>
      </c>
      <c r="C2362" s="2">
        <v>3</v>
      </c>
      <c r="D2362" s="2">
        <v>2020</v>
      </c>
      <c r="E2362" s="2">
        <v>64.48</v>
      </c>
      <c r="F2362" s="2">
        <v>60.45</v>
      </c>
      <c r="H2362" s="1">
        <f>_xlfn.XLOOKUP('Customer Info'!A554,'Customer Info'!A554:A653,'Customer Info'!E554:E653,0,0)</f>
        <v>0</v>
      </c>
      <c r="J2362" s="1">
        <f>_xlfn.XLOOKUP('Customer Info'!A554,'Customer Info'!A554:A653,'Customer Info'!M554:M653)</f>
        <v>0</v>
      </c>
    </row>
    <row r="2363" spans="1:10" ht="14" hidden="1" x14ac:dyDescent="0.2">
      <c r="A2363" s="2" t="s">
        <v>49</v>
      </c>
      <c r="B2363" s="2">
        <v>3</v>
      </c>
      <c r="C2363" s="2">
        <v>3</v>
      </c>
      <c r="D2363" s="2">
        <v>2020</v>
      </c>
      <c r="E2363" s="2">
        <v>65.41</v>
      </c>
      <c r="F2363" s="2">
        <v>60.14</v>
      </c>
      <c r="H2363" s="1">
        <f>_xlfn.XLOOKUP('Customer Info'!A544,'Customer Info'!A544:A643,'Customer Info'!E544:E643,0,0)</f>
        <v>0</v>
      </c>
      <c r="J2363" s="1">
        <f>_xlfn.XLOOKUP('Customer Info'!A544,'Customer Info'!A544:A643,'Customer Info'!M544:M643)</f>
        <v>0</v>
      </c>
    </row>
    <row r="2364" spans="1:10" ht="14" x14ac:dyDescent="0.2">
      <c r="A2364" s="2" t="s">
        <v>48</v>
      </c>
      <c r="B2364" s="2">
        <v>24</v>
      </c>
      <c r="C2364" s="2">
        <v>7</v>
      </c>
      <c r="D2364" s="2">
        <v>2021</v>
      </c>
      <c r="E2364" s="2">
        <v>39.369999999999997</v>
      </c>
      <c r="F2364" s="2">
        <v>60.14</v>
      </c>
      <c r="H2364" s="1">
        <f>_xlfn.XLOOKUP('Customer Info'!A1947,'Customer Info'!A1947:A2046,'Customer Info'!E1947:E2046,0,0)</f>
        <v>0</v>
      </c>
      <c r="J2364" s="1">
        <f>_xlfn.XLOOKUP('Customer Info'!A1947,'Customer Info'!A1947:A2046,'Customer Info'!M1947:M2046)</f>
        <v>0</v>
      </c>
    </row>
    <row r="2365" spans="1:10" ht="14" hidden="1" x14ac:dyDescent="0.2">
      <c r="A2365" s="2" t="s">
        <v>47</v>
      </c>
      <c r="B2365" s="2">
        <v>19</v>
      </c>
      <c r="C2365" s="2">
        <v>7</v>
      </c>
      <c r="D2365" s="2">
        <v>2020</v>
      </c>
      <c r="E2365" s="2">
        <v>32.86</v>
      </c>
      <c r="F2365" s="2">
        <v>60.14</v>
      </c>
      <c r="H2365" s="1">
        <f>_xlfn.XLOOKUP('Customer Info'!A800,'Customer Info'!A800:A899,'Customer Info'!E800:E899,0,0)</f>
        <v>0</v>
      </c>
      <c r="J2365" s="1">
        <f>_xlfn.XLOOKUP('Customer Info'!A800,'Customer Info'!A800:A899,'Customer Info'!M800:M899)</f>
        <v>0</v>
      </c>
    </row>
    <row r="2366" spans="1:10" ht="14" hidden="1" x14ac:dyDescent="0.2">
      <c r="A2366" s="2" t="s">
        <v>45</v>
      </c>
      <c r="B2366" s="2">
        <v>18</v>
      </c>
      <c r="C2366" s="2">
        <v>7</v>
      </c>
      <c r="D2366" s="2">
        <v>2020</v>
      </c>
      <c r="E2366" s="2">
        <v>30.38</v>
      </c>
      <c r="F2366" s="2">
        <v>60.14</v>
      </c>
      <c r="H2366" s="1">
        <f>_xlfn.XLOOKUP('Customer Info'!A819,'Customer Info'!A819:A918,'Customer Info'!E819:E918,0,0)</f>
        <v>0</v>
      </c>
      <c r="J2366" s="1">
        <f>_xlfn.XLOOKUP('Customer Info'!A819,'Customer Info'!A819:A918,'Customer Info'!M819:M918)</f>
        <v>0</v>
      </c>
    </row>
    <row r="2367" spans="1:10" ht="14" hidden="1" x14ac:dyDescent="0.2">
      <c r="A2367" s="2" t="s">
        <v>95</v>
      </c>
      <c r="B2367" s="2">
        <v>24</v>
      </c>
      <c r="C2367" s="2">
        <v>8</v>
      </c>
      <c r="D2367" s="2">
        <v>2020</v>
      </c>
      <c r="E2367" s="1" t="s">
        <v>94</v>
      </c>
      <c r="F2367" s="2">
        <v>59.83</v>
      </c>
      <c r="H2367" s="1">
        <f>_xlfn.XLOOKUP('Customer Info'!A142,'Customer Info'!A142:A241,'Customer Info'!E142:E241,0,0)</f>
        <v>0</v>
      </c>
      <c r="J2367" s="1">
        <f>_xlfn.XLOOKUP('Customer Info'!A142,'Customer Info'!A142:A241,'Customer Info'!M142:M241)</f>
        <v>0</v>
      </c>
    </row>
    <row r="2368" spans="1:10" ht="14" hidden="1" x14ac:dyDescent="0.2">
      <c r="A2368" s="2" t="s">
        <v>45</v>
      </c>
      <c r="B2368" s="2">
        <v>18</v>
      </c>
      <c r="C2368" s="2">
        <v>10</v>
      </c>
      <c r="D2368" s="2">
        <v>2020</v>
      </c>
      <c r="E2368" s="2">
        <v>63.86</v>
      </c>
      <c r="F2368" s="2">
        <v>59.83</v>
      </c>
      <c r="H2368" s="1">
        <f>_xlfn.XLOOKUP('Customer Info'!A559,'Customer Info'!A559:A658,'Customer Info'!E559:E658,0,0)</f>
        <v>0</v>
      </c>
      <c r="J2368" s="1">
        <f>_xlfn.XLOOKUP('Customer Info'!A559,'Customer Info'!A559:A658,'Customer Info'!M559:M658)</f>
        <v>0</v>
      </c>
    </row>
    <row r="2369" spans="1:10" ht="14" x14ac:dyDescent="0.2">
      <c r="A2369" s="2" t="s">
        <v>58</v>
      </c>
      <c r="B2369" s="2">
        <v>16</v>
      </c>
      <c r="C2369" s="2">
        <v>6</v>
      </c>
      <c r="D2369" s="2">
        <v>2021</v>
      </c>
      <c r="E2369" s="2">
        <v>36</v>
      </c>
      <c r="F2369" s="2">
        <v>59.7</v>
      </c>
      <c r="H2369" s="1">
        <f>_xlfn.XLOOKUP('Customer Info'!A1980,'Customer Info'!A1980:A2079,'Customer Info'!E1980:E2079,0,0)</f>
        <v>0</v>
      </c>
      <c r="J2369" s="1">
        <f>_xlfn.XLOOKUP('Customer Info'!A1980,'Customer Info'!A1980:A2079,'Customer Info'!M1980:M2079)</f>
        <v>0</v>
      </c>
    </row>
    <row r="2370" spans="1:10" ht="14" x14ac:dyDescent="0.2">
      <c r="A2370" s="2" t="s">
        <v>49</v>
      </c>
      <c r="B2370" s="2">
        <v>3</v>
      </c>
      <c r="C2370" s="2">
        <v>11</v>
      </c>
      <c r="D2370" s="2">
        <v>2021</v>
      </c>
      <c r="E2370" s="2">
        <v>91.8</v>
      </c>
      <c r="F2370" s="2">
        <v>59.1</v>
      </c>
      <c r="H2370" s="1">
        <f>_xlfn.XLOOKUP('Customer Info'!A1604,'Customer Info'!A1604:A1703,'Customer Info'!E1604:E1703,0,0)</f>
        <v>0</v>
      </c>
      <c r="J2370" s="1">
        <f>_xlfn.XLOOKUP('Customer Info'!A1604,'Customer Info'!A1604:A1703,'Customer Info'!M1604:M1703)</f>
        <v>0</v>
      </c>
    </row>
    <row r="2371" spans="1:10" ht="14" hidden="1" x14ac:dyDescent="0.2">
      <c r="A2371" s="2" t="s">
        <v>45</v>
      </c>
      <c r="B2371" s="2">
        <v>18</v>
      </c>
      <c r="C2371" s="2">
        <v>6</v>
      </c>
      <c r="D2371" s="2">
        <v>2020</v>
      </c>
      <c r="E2371" s="2">
        <v>34.200000000000003</v>
      </c>
      <c r="F2371" s="2">
        <v>58.8</v>
      </c>
      <c r="H2371" s="1">
        <f>_xlfn.XLOOKUP('Customer Info'!A790,'Customer Info'!A790:A889,'Customer Info'!E790:E889,0,0)</f>
        <v>0</v>
      </c>
      <c r="J2371" s="1">
        <f>_xlfn.XLOOKUP('Customer Info'!A790,'Customer Info'!A790:A889,'Customer Info'!M790:M889)</f>
        <v>0</v>
      </c>
    </row>
    <row r="2372" spans="1:10" ht="14" hidden="1" x14ac:dyDescent="0.2">
      <c r="A2372" s="2" t="s">
        <v>39</v>
      </c>
      <c r="B2372" s="2">
        <v>22</v>
      </c>
      <c r="C2372" s="2">
        <v>6</v>
      </c>
      <c r="D2372" s="2">
        <v>2020</v>
      </c>
      <c r="E2372" s="2">
        <v>25.5</v>
      </c>
      <c r="F2372" s="2">
        <v>58.8</v>
      </c>
      <c r="H2372" s="1">
        <f>_xlfn.XLOOKUP('Customer Info'!A849,'Customer Info'!A849:A948,'Customer Info'!E849:E948,0,0)</f>
        <v>0</v>
      </c>
      <c r="J2372" s="1">
        <f>_xlfn.XLOOKUP('Customer Info'!A849,'Customer Info'!A849:A948,'Customer Info'!M849:M948)</f>
        <v>0</v>
      </c>
    </row>
    <row r="2373" spans="1:10" ht="14" hidden="1" x14ac:dyDescent="0.2">
      <c r="A2373" s="2" t="s">
        <v>49</v>
      </c>
      <c r="B2373" s="2">
        <v>3</v>
      </c>
      <c r="C2373" s="2">
        <v>5</v>
      </c>
      <c r="D2373" s="2">
        <v>2020</v>
      </c>
      <c r="E2373" s="2">
        <v>37.82</v>
      </c>
      <c r="F2373" s="2">
        <v>58.59</v>
      </c>
      <c r="H2373" s="1">
        <f>_xlfn.XLOOKUP('Customer Info'!A754,'Customer Info'!A754:A853,'Customer Info'!E754:E853,0,0)</f>
        <v>0</v>
      </c>
      <c r="J2373" s="1">
        <f>_xlfn.XLOOKUP('Customer Info'!A754,'Customer Info'!A754:A853,'Customer Info'!M754:M853)</f>
        <v>0</v>
      </c>
    </row>
    <row r="2374" spans="1:10" ht="14" hidden="1" x14ac:dyDescent="0.2">
      <c r="A2374" s="2" t="s">
        <v>49</v>
      </c>
      <c r="B2374" s="2">
        <v>3</v>
      </c>
      <c r="C2374" s="2">
        <v>11</v>
      </c>
      <c r="D2374" s="2">
        <v>2020</v>
      </c>
      <c r="E2374" s="2">
        <v>108.9</v>
      </c>
      <c r="F2374" s="2">
        <v>58.2</v>
      </c>
      <c r="H2374" s="1">
        <f>_xlfn.XLOOKUP('Customer Info'!A267,'Customer Info'!A267:A366,'Customer Info'!E267:E366,0,0)</f>
        <v>0</v>
      </c>
      <c r="J2374" s="1">
        <f>_xlfn.XLOOKUP('Customer Info'!A267,'Customer Info'!A267:A366,'Customer Info'!M267:M366)</f>
        <v>0</v>
      </c>
    </row>
    <row r="2375" spans="1:10" ht="14" hidden="1" x14ac:dyDescent="0.2">
      <c r="A2375" s="2" t="s">
        <v>89</v>
      </c>
      <c r="B2375" s="2">
        <v>2</v>
      </c>
      <c r="C2375" s="2">
        <v>4</v>
      </c>
      <c r="D2375" s="2">
        <v>2020</v>
      </c>
      <c r="E2375" s="2">
        <v>91.5</v>
      </c>
      <c r="F2375" s="2">
        <v>58.2</v>
      </c>
      <c r="H2375" s="1">
        <f>_xlfn.XLOOKUP('Customer Info'!A384,'Customer Info'!A384:A483,'Customer Info'!E384:E483,0,0)</f>
        <v>0</v>
      </c>
      <c r="J2375" s="1">
        <f>_xlfn.XLOOKUP('Customer Info'!A384,'Customer Info'!A384:A483,'Customer Info'!M384:M483)</f>
        <v>0</v>
      </c>
    </row>
    <row r="2376" spans="1:10" ht="14" hidden="1" x14ac:dyDescent="0.2">
      <c r="A2376" s="2" t="s">
        <v>34</v>
      </c>
      <c r="B2376" s="2">
        <v>4</v>
      </c>
      <c r="C2376" s="2">
        <v>11</v>
      </c>
      <c r="D2376" s="2">
        <v>2020</v>
      </c>
      <c r="E2376" s="2">
        <v>90.9</v>
      </c>
      <c r="F2376" s="2">
        <v>58.2</v>
      </c>
      <c r="H2376" s="1">
        <f>_xlfn.XLOOKUP('Customer Info'!A390,'Customer Info'!A390:A489,'Customer Info'!E390:E489,0,0)</f>
        <v>0</v>
      </c>
      <c r="J2376" s="1">
        <f>_xlfn.XLOOKUP('Customer Info'!A390,'Customer Info'!A390:A489,'Customer Info'!M390:M489)</f>
        <v>0</v>
      </c>
    </row>
    <row r="2377" spans="1:10" ht="14" hidden="1" x14ac:dyDescent="0.2">
      <c r="A2377" s="2" t="s">
        <v>91</v>
      </c>
      <c r="B2377" s="2">
        <v>5</v>
      </c>
      <c r="C2377" s="2">
        <v>3</v>
      </c>
      <c r="D2377" s="2">
        <v>2020</v>
      </c>
      <c r="E2377" s="2">
        <v>102.92</v>
      </c>
      <c r="F2377" s="2">
        <v>57.97</v>
      </c>
      <c r="H2377" s="1">
        <f>_xlfn.XLOOKUP('Customer Info'!A312,'Customer Info'!A312:A411,'Customer Info'!E312:E411,0,0)</f>
        <v>0</v>
      </c>
      <c r="J2377" s="1">
        <f>_xlfn.XLOOKUP('Customer Info'!A312,'Customer Info'!A312:A411,'Customer Info'!M312:M411)</f>
        <v>0</v>
      </c>
    </row>
    <row r="2378" spans="1:10" ht="14" hidden="1" x14ac:dyDescent="0.2">
      <c r="A2378" s="2" t="s">
        <v>47</v>
      </c>
      <c r="B2378" s="2">
        <v>19</v>
      </c>
      <c r="C2378" s="2">
        <v>9</v>
      </c>
      <c r="D2378" s="2">
        <v>2020</v>
      </c>
      <c r="E2378" s="2">
        <v>37.5</v>
      </c>
      <c r="F2378" s="2">
        <v>57.9</v>
      </c>
      <c r="H2378" s="1">
        <f>_xlfn.XLOOKUP('Customer Info'!A759,'Customer Info'!A759:A858,'Customer Info'!E759:E858,0,0)</f>
        <v>0</v>
      </c>
      <c r="J2378" s="1">
        <f>_xlfn.XLOOKUP('Customer Info'!A759,'Customer Info'!A759:A858,'Customer Info'!M759:M858)</f>
        <v>0</v>
      </c>
    </row>
    <row r="2379" spans="1:10" ht="14" hidden="1" x14ac:dyDescent="0.2">
      <c r="A2379" s="2" t="s">
        <v>91</v>
      </c>
      <c r="B2379" s="2">
        <v>5</v>
      </c>
      <c r="C2379" s="2">
        <v>11</v>
      </c>
      <c r="D2379" s="2">
        <v>2020</v>
      </c>
      <c r="E2379" s="2">
        <v>147.6</v>
      </c>
      <c r="F2379" s="2">
        <v>57.6</v>
      </c>
      <c r="H2379" s="1">
        <f>_xlfn.XLOOKUP('Customer Info'!A154,'Customer Info'!A154:A253,'Customer Info'!E154:E253,0,0)</f>
        <v>0</v>
      </c>
      <c r="J2379" s="1">
        <f>_xlfn.XLOOKUP('Customer Info'!A154,'Customer Info'!A154:A253,'Customer Info'!M154:M253)</f>
        <v>0</v>
      </c>
    </row>
    <row r="2380" spans="1:10" ht="14" hidden="1" x14ac:dyDescent="0.2">
      <c r="A2380" s="2" t="s">
        <v>46</v>
      </c>
      <c r="B2380" s="2">
        <v>9</v>
      </c>
      <c r="C2380" s="2">
        <v>2</v>
      </c>
      <c r="D2380" s="2">
        <v>2020</v>
      </c>
      <c r="E2380" s="2">
        <v>97.72</v>
      </c>
      <c r="F2380" s="2">
        <v>57.12</v>
      </c>
      <c r="H2380" s="1">
        <f>_xlfn.XLOOKUP('Customer Info'!A348,'Customer Info'!A348:A447,'Customer Info'!E348:E447,0,0)</f>
        <v>0</v>
      </c>
      <c r="J2380" s="1">
        <f>_xlfn.XLOOKUP('Customer Info'!A348,'Customer Info'!A348:A447,'Customer Info'!M348:M447)</f>
        <v>0</v>
      </c>
    </row>
    <row r="2381" spans="1:10" ht="14" hidden="1" x14ac:dyDescent="0.2">
      <c r="A2381" s="2" t="s">
        <v>33</v>
      </c>
      <c r="B2381" s="2">
        <v>21</v>
      </c>
      <c r="C2381" s="2">
        <v>2</v>
      </c>
      <c r="D2381" s="2">
        <v>2020</v>
      </c>
      <c r="E2381" s="2">
        <v>89.04</v>
      </c>
      <c r="F2381" s="2">
        <v>57.12</v>
      </c>
      <c r="H2381" s="1">
        <f>_xlfn.XLOOKUP('Customer Info'!A401,'Customer Info'!A401:A500,'Customer Info'!E401:E500,0,0)</f>
        <v>0</v>
      </c>
      <c r="J2381" s="1">
        <f>_xlfn.XLOOKUP('Customer Info'!A401,'Customer Info'!A401:A500,'Customer Info'!M401:M500)</f>
        <v>0</v>
      </c>
    </row>
    <row r="2382" spans="1:10" ht="14" x14ac:dyDescent="0.2">
      <c r="A2382" s="2" t="s">
        <v>49</v>
      </c>
      <c r="B2382" s="2">
        <v>3</v>
      </c>
      <c r="C2382" s="2">
        <v>4</v>
      </c>
      <c r="D2382" s="2">
        <v>2021</v>
      </c>
      <c r="E2382" s="2">
        <v>71.400000000000006</v>
      </c>
      <c r="F2382" s="2">
        <v>57</v>
      </c>
      <c r="H2382" s="1">
        <f>_xlfn.XLOOKUP('Customer Info'!A1724,'Customer Info'!A1724:A1823,'Customer Info'!E1724:E1823,0,0)</f>
        <v>0</v>
      </c>
      <c r="J2382" s="1">
        <f>_xlfn.XLOOKUP('Customer Info'!A1724,'Customer Info'!A1724:A1823,'Customer Info'!M1724:M1823)</f>
        <v>0</v>
      </c>
    </row>
    <row r="2383" spans="1:10" ht="14" hidden="1" x14ac:dyDescent="0.2">
      <c r="A2383" s="2" t="s">
        <v>48</v>
      </c>
      <c r="B2383" s="2">
        <v>24</v>
      </c>
      <c r="C2383" s="2">
        <v>2</v>
      </c>
      <c r="D2383" s="2">
        <v>2020</v>
      </c>
      <c r="E2383" s="2">
        <v>85.12</v>
      </c>
      <c r="F2383" s="2">
        <v>56.28</v>
      </c>
      <c r="H2383" s="1">
        <f>_xlfn.XLOOKUP('Customer Info'!A418,'Customer Info'!A418:A517,'Customer Info'!E418:E517,0,0)</f>
        <v>0</v>
      </c>
      <c r="J2383" s="1">
        <f>_xlfn.XLOOKUP('Customer Info'!A418,'Customer Info'!A418:A517,'Customer Info'!M418:M517)</f>
        <v>0</v>
      </c>
    </row>
    <row r="2384" spans="1:10" ht="14" hidden="1" x14ac:dyDescent="0.2">
      <c r="A2384" s="2" t="s">
        <v>49</v>
      </c>
      <c r="B2384" s="2">
        <v>3</v>
      </c>
      <c r="C2384" s="2">
        <v>12</v>
      </c>
      <c r="D2384" s="2">
        <v>2020</v>
      </c>
      <c r="E2384" s="2">
        <v>107.26</v>
      </c>
      <c r="F2384" s="2">
        <v>55.8</v>
      </c>
      <c r="H2384" s="1">
        <f>_xlfn.XLOOKUP('Customer Info'!A278,'Customer Info'!A278:A377,'Customer Info'!E278:E377,0,0)</f>
        <v>0</v>
      </c>
      <c r="J2384" s="1">
        <f>_xlfn.XLOOKUP('Customer Info'!A278,'Customer Info'!A278:A377,'Customer Info'!M278:M377)</f>
        <v>0</v>
      </c>
    </row>
    <row r="2385" spans="1:10" ht="14" hidden="1" x14ac:dyDescent="0.2">
      <c r="A2385" s="2" t="s">
        <v>89</v>
      </c>
      <c r="B2385" s="2">
        <v>2</v>
      </c>
      <c r="C2385" s="2">
        <v>12</v>
      </c>
      <c r="D2385" s="2">
        <v>2020</v>
      </c>
      <c r="E2385" s="2">
        <v>132.06</v>
      </c>
      <c r="F2385" s="2">
        <v>55.18</v>
      </c>
      <c r="H2385" s="1">
        <f>_xlfn.XLOOKUP('Customer Info'!A173,'Customer Info'!A173:A272,'Customer Info'!E173:E272,0,0)</f>
        <v>0</v>
      </c>
      <c r="J2385" s="1">
        <f>_xlfn.XLOOKUP('Customer Info'!A173,'Customer Info'!A173:A272,'Customer Info'!M173:M272)</f>
        <v>0</v>
      </c>
    </row>
    <row r="2386" spans="1:10" ht="14" hidden="1" x14ac:dyDescent="0.2">
      <c r="A2386" s="2" t="s">
        <v>91</v>
      </c>
      <c r="B2386" s="2">
        <v>5</v>
      </c>
      <c r="C2386" s="2">
        <v>12</v>
      </c>
      <c r="D2386" s="2">
        <v>2020</v>
      </c>
      <c r="E2386" s="2">
        <v>136.4</v>
      </c>
      <c r="F2386" s="2">
        <v>54.87</v>
      </c>
      <c r="H2386" s="1">
        <f>_xlfn.XLOOKUP('Customer Info'!A166,'Customer Info'!A166:A265,'Customer Info'!E166:E265,0,0)</f>
        <v>0</v>
      </c>
      <c r="J2386" s="1">
        <f>_xlfn.XLOOKUP('Customer Info'!A166,'Customer Info'!A166:A265,'Customer Info'!M166:M265)</f>
        <v>0</v>
      </c>
    </row>
    <row r="2387" spans="1:10" ht="14" x14ac:dyDescent="0.2">
      <c r="A2387" s="2" t="s">
        <v>0</v>
      </c>
      <c r="B2387" s="2">
        <v>25</v>
      </c>
      <c r="C2387" s="2">
        <v>2</v>
      </c>
      <c r="D2387" s="2">
        <v>2021</v>
      </c>
      <c r="E2387" s="1" t="s">
        <v>94</v>
      </c>
      <c r="F2387" s="2">
        <v>54.6</v>
      </c>
      <c r="H2387" s="1">
        <f>_xlfn.XLOOKUP('Customer Info'!A1338,'Customer Info'!A1338:A1437,'Customer Info'!E1338:E1437,0,0)</f>
        <v>0</v>
      </c>
      <c r="J2387" s="1">
        <f>_xlfn.XLOOKUP('Customer Info'!A1338,'Customer Info'!A1338:A1437,'Customer Info'!M1338:M1437)</f>
        <v>0</v>
      </c>
    </row>
    <row r="2388" spans="1:10" ht="14" hidden="1" x14ac:dyDescent="0.2">
      <c r="A2388" s="2" t="s">
        <v>91</v>
      </c>
      <c r="B2388" s="2">
        <v>5</v>
      </c>
      <c r="C2388" s="2">
        <v>5</v>
      </c>
      <c r="D2388" s="2">
        <v>2020</v>
      </c>
      <c r="E2388" s="2">
        <v>69.75</v>
      </c>
      <c r="F2388" s="2">
        <v>54.56</v>
      </c>
      <c r="H2388" s="1">
        <f>_xlfn.XLOOKUP('Customer Info'!A508,'Customer Info'!A508:A607,'Customer Info'!E508:E607,0,0)</f>
        <v>0</v>
      </c>
      <c r="J2388" s="1">
        <f>_xlfn.XLOOKUP('Customer Info'!A508,'Customer Info'!A508:A607,'Customer Info'!M508:M607)</f>
        <v>0</v>
      </c>
    </row>
    <row r="2389" spans="1:10" ht="14" hidden="1" x14ac:dyDescent="0.2">
      <c r="A2389" s="2" t="s">
        <v>91</v>
      </c>
      <c r="B2389" s="2">
        <v>5</v>
      </c>
      <c r="C2389" s="2">
        <v>1</v>
      </c>
      <c r="D2389" s="2">
        <v>2020</v>
      </c>
      <c r="E2389" s="2">
        <v>122.76</v>
      </c>
      <c r="F2389" s="2">
        <v>53.94</v>
      </c>
      <c r="H2389" s="1">
        <f>_xlfn.XLOOKUP('Customer Info'!A196,'Customer Info'!A196:A295,'Customer Info'!E196:E295,0,0)</f>
        <v>0</v>
      </c>
      <c r="J2389" s="1">
        <f>_xlfn.XLOOKUP('Customer Info'!A196,'Customer Info'!A196:A295,'Customer Info'!M196:M295)</f>
        <v>0</v>
      </c>
    </row>
    <row r="2390" spans="1:10" ht="14" hidden="1" x14ac:dyDescent="0.2">
      <c r="A2390" s="2" t="s">
        <v>95</v>
      </c>
      <c r="B2390" s="2">
        <v>24</v>
      </c>
      <c r="C2390" s="2">
        <v>2</v>
      </c>
      <c r="D2390" s="2">
        <v>2020</v>
      </c>
      <c r="E2390" s="1" t="s">
        <v>94</v>
      </c>
      <c r="F2390" s="2">
        <v>53.76</v>
      </c>
      <c r="H2390" s="1">
        <f>_xlfn.XLOOKUP('Customer Info'!A143,'Customer Info'!A143:A242,'Customer Info'!E143:E242,0,0)</f>
        <v>0</v>
      </c>
      <c r="J2390" s="1">
        <f>_xlfn.XLOOKUP('Customer Info'!A143,'Customer Info'!A143:A242,'Customer Info'!M143:M242)</f>
        <v>0</v>
      </c>
    </row>
    <row r="2391" spans="1:10" ht="14" hidden="1" x14ac:dyDescent="0.2">
      <c r="A2391" s="2" t="s">
        <v>95</v>
      </c>
      <c r="B2391" s="2">
        <v>24</v>
      </c>
      <c r="C2391" s="2">
        <v>9</v>
      </c>
      <c r="D2391" s="2">
        <v>2020</v>
      </c>
      <c r="E2391" s="1" t="s">
        <v>94</v>
      </c>
      <c r="F2391" s="2">
        <v>53.7</v>
      </c>
      <c r="H2391" s="1">
        <f>_xlfn.XLOOKUP('Customer Info'!A144,'Customer Info'!A144:A243,'Customer Info'!E144:E243,0,0)</f>
        <v>0</v>
      </c>
      <c r="J2391" s="1">
        <f>_xlfn.XLOOKUP('Customer Info'!A144,'Customer Info'!A144:A243,'Customer Info'!M144:M243)</f>
        <v>0</v>
      </c>
    </row>
    <row r="2392" spans="1:10" ht="14" hidden="1" x14ac:dyDescent="0.2">
      <c r="A2392" s="2" t="s">
        <v>91</v>
      </c>
      <c r="B2392" s="2">
        <v>5</v>
      </c>
      <c r="C2392" s="2">
        <v>6</v>
      </c>
      <c r="D2392" s="2">
        <v>2020</v>
      </c>
      <c r="E2392" s="2">
        <v>65.7</v>
      </c>
      <c r="F2392" s="2">
        <v>53.4</v>
      </c>
      <c r="H2392" s="1">
        <f>_xlfn.XLOOKUP('Customer Info'!A542,'Customer Info'!A542:A641,'Customer Info'!E542:E641,0,0)</f>
        <v>0</v>
      </c>
      <c r="J2392" s="1">
        <f>_xlfn.XLOOKUP('Customer Info'!A542,'Customer Info'!A542:A641,'Customer Info'!M542:M641)</f>
        <v>0</v>
      </c>
    </row>
    <row r="2393" spans="1:10" ht="14" hidden="1" x14ac:dyDescent="0.2">
      <c r="A2393" s="2" t="s">
        <v>91</v>
      </c>
      <c r="B2393" s="2">
        <v>5</v>
      </c>
      <c r="C2393" s="2">
        <v>2</v>
      </c>
      <c r="D2393" s="2">
        <v>2020</v>
      </c>
      <c r="E2393" s="2">
        <v>129.91999999999999</v>
      </c>
      <c r="F2393" s="2">
        <v>53.2</v>
      </c>
      <c r="H2393" s="1">
        <f>_xlfn.XLOOKUP('Customer Info'!A178,'Customer Info'!A178:A277,'Customer Info'!E178:E277,0,0)</f>
        <v>0</v>
      </c>
      <c r="J2393" s="1">
        <f>_xlfn.XLOOKUP('Customer Info'!A178,'Customer Info'!A178:A277,'Customer Info'!M178:M277)</f>
        <v>0</v>
      </c>
    </row>
    <row r="2394" spans="1:10" ht="14" hidden="1" x14ac:dyDescent="0.2">
      <c r="A2394" s="2" t="s">
        <v>49</v>
      </c>
      <c r="B2394" s="2">
        <v>3</v>
      </c>
      <c r="C2394" s="2">
        <v>8</v>
      </c>
      <c r="D2394" s="2">
        <v>2020</v>
      </c>
      <c r="E2394" s="2">
        <v>28.83</v>
      </c>
      <c r="F2394" s="2">
        <v>53.01</v>
      </c>
      <c r="H2394" s="1">
        <f>_xlfn.XLOOKUP('Customer Info'!A828,'Customer Info'!A828:A927,'Customer Info'!E828:E927,0,0)</f>
        <v>0</v>
      </c>
      <c r="J2394" s="1">
        <f>_xlfn.XLOOKUP('Customer Info'!A828,'Customer Info'!A828:A927,'Customer Info'!M828:M927)</f>
        <v>0</v>
      </c>
    </row>
    <row r="2395" spans="1:10" ht="14" hidden="1" x14ac:dyDescent="0.2">
      <c r="A2395" s="2" t="s">
        <v>49</v>
      </c>
      <c r="B2395" s="2">
        <v>3</v>
      </c>
      <c r="C2395" s="2">
        <v>7</v>
      </c>
      <c r="D2395" s="2">
        <v>2020</v>
      </c>
      <c r="E2395" s="2">
        <v>34.409999999999997</v>
      </c>
      <c r="F2395" s="2">
        <v>52.7</v>
      </c>
      <c r="H2395" s="1">
        <f>_xlfn.XLOOKUP('Customer Info'!A789,'Customer Info'!A789:A888,'Customer Info'!E789:E888,0,0)</f>
        <v>0</v>
      </c>
      <c r="J2395" s="1">
        <f>_xlfn.XLOOKUP('Customer Info'!A789,'Customer Info'!A789:A888,'Customer Info'!M789:M888)</f>
        <v>0</v>
      </c>
    </row>
    <row r="2396" spans="1:10" ht="14" hidden="1" x14ac:dyDescent="0.2">
      <c r="A2396" s="2" t="s">
        <v>49</v>
      </c>
      <c r="B2396" s="2">
        <v>3</v>
      </c>
      <c r="C2396" s="2">
        <v>10</v>
      </c>
      <c r="D2396" s="2">
        <v>2020</v>
      </c>
      <c r="E2396" s="2">
        <v>68.510000000000005</v>
      </c>
      <c r="F2396" s="2">
        <v>52.39</v>
      </c>
      <c r="H2396" s="1">
        <f>_xlfn.XLOOKUP('Customer Info'!A518,'Customer Info'!A518:A617,'Customer Info'!E518:E617,0,0)</f>
        <v>0</v>
      </c>
      <c r="J2396" s="1">
        <f>_xlfn.XLOOKUP('Customer Info'!A518,'Customer Info'!A518:A617,'Customer Info'!M518:M617)</f>
        <v>0</v>
      </c>
    </row>
    <row r="2397" spans="1:10" ht="14" hidden="1" x14ac:dyDescent="0.2">
      <c r="A2397" s="2" t="s">
        <v>91</v>
      </c>
      <c r="B2397" s="2">
        <v>5</v>
      </c>
      <c r="C2397" s="2">
        <v>9</v>
      </c>
      <c r="D2397" s="2">
        <v>2020</v>
      </c>
      <c r="E2397" s="2">
        <v>69</v>
      </c>
      <c r="F2397" s="2">
        <v>51.9</v>
      </c>
      <c r="H2397" s="1">
        <f>_xlfn.XLOOKUP('Customer Info'!A514,'Customer Info'!A514:A613,'Customer Info'!E514:E613,0,0)</f>
        <v>0</v>
      </c>
      <c r="J2397" s="1">
        <f>_xlfn.XLOOKUP('Customer Info'!A514,'Customer Info'!A514:A613,'Customer Info'!M514:M613)</f>
        <v>0</v>
      </c>
    </row>
    <row r="2398" spans="1:10" ht="14" hidden="1" x14ac:dyDescent="0.2">
      <c r="A2398" s="2" t="s">
        <v>49</v>
      </c>
      <c r="B2398" s="2">
        <v>3</v>
      </c>
      <c r="C2398" s="2">
        <v>9</v>
      </c>
      <c r="D2398" s="2">
        <v>2020</v>
      </c>
      <c r="E2398" s="2">
        <v>45.6</v>
      </c>
      <c r="F2398" s="2">
        <v>51.3</v>
      </c>
      <c r="H2398" s="1">
        <f>_xlfn.XLOOKUP('Customer Info'!A680,'Customer Info'!A680:A779,'Customer Info'!E680:E779,0,0)</f>
        <v>0</v>
      </c>
      <c r="J2398" s="1">
        <f>_xlfn.XLOOKUP('Customer Info'!A680,'Customer Info'!A680:A779,'Customer Info'!M680:M779)</f>
        <v>0</v>
      </c>
    </row>
    <row r="2399" spans="1:10" ht="14" hidden="1" x14ac:dyDescent="0.2">
      <c r="A2399" s="2" t="s">
        <v>49</v>
      </c>
      <c r="B2399" s="2">
        <v>3</v>
      </c>
      <c r="C2399" s="2">
        <v>2</v>
      </c>
      <c r="D2399" s="2">
        <v>2020</v>
      </c>
      <c r="E2399" s="2">
        <v>95.76</v>
      </c>
      <c r="F2399" s="2">
        <v>50.96</v>
      </c>
      <c r="H2399" s="1">
        <f>_xlfn.XLOOKUP('Customer Info'!A357,'Customer Info'!A357:A456,'Customer Info'!E357:E456,0,0)</f>
        <v>0</v>
      </c>
      <c r="J2399" s="1">
        <f>_xlfn.XLOOKUP('Customer Info'!A357,'Customer Info'!A357:A456,'Customer Info'!M357:M456)</f>
        <v>0</v>
      </c>
    </row>
    <row r="2400" spans="1:10" ht="14" hidden="1" x14ac:dyDescent="0.2">
      <c r="A2400" s="2" t="s">
        <v>49</v>
      </c>
      <c r="B2400" s="2">
        <v>3</v>
      </c>
      <c r="C2400" s="2">
        <v>6</v>
      </c>
      <c r="D2400" s="2">
        <v>2020</v>
      </c>
      <c r="E2400" s="2">
        <v>34.200000000000003</v>
      </c>
      <c r="F2400" s="2">
        <v>49.8</v>
      </c>
      <c r="H2400" s="1">
        <f>_xlfn.XLOOKUP('Customer Info'!A791,'Customer Info'!A791:A890,'Customer Info'!E791:E890,0,0)</f>
        <v>0</v>
      </c>
      <c r="J2400" s="1">
        <f>_xlfn.XLOOKUP('Customer Info'!A791,'Customer Info'!A791:A890,'Customer Info'!M791:M890)</f>
        <v>0</v>
      </c>
    </row>
    <row r="2401" spans="1:10" ht="14" hidden="1" x14ac:dyDescent="0.2">
      <c r="A2401" s="2" t="s">
        <v>49</v>
      </c>
      <c r="B2401" s="2">
        <v>3</v>
      </c>
      <c r="C2401" s="2">
        <v>4</v>
      </c>
      <c r="D2401" s="2">
        <v>2020</v>
      </c>
      <c r="E2401" s="2">
        <v>71.7</v>
      </c>
      <c r="F2401" s="2">
        <v>48.3</v>
      </c>
      <c r="H2401" s="1">
        <f>_xlfn.XLOOKUP('Customer Info'!A490,'Customer Info'!A490:A589,'Customer Info'!E490:E589,0,0)</f>
        <v>0</v>
      </c>
      <c r="J2401" s="1">
        <f>_xlfn.XLOOKUP('Customer Info'!A490,'Customer Info'!A490:A589,'Customer Info'!M490:M589)</f>
        <v>0</v>
      </c>
    </row>
  </sheetData>
  <autoFilter ref="A1:F2401" xr:uid="{DD896574-D31A-454D-8560-DABC3FF2637F}">
    <filterColumn colId="3">
      <filters>
        <filter val="2021"/>
      </filters>
    </filterColumn>
  </autoFilter>
  <conditionalFormatting sqref="J1:J1048576">
    <cfRule type="containsText" dxfId="2" priority="1" operator="containsText" text="TRUE">
      <formula>NOT(ISERROR(SEARCH("TRUE",J1)))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8B180-E0DB-F94C-8D81-6B21F6BFE964}">
  <dimension ref="A1:M101"/>
  <sheetViews>
    <sheetView workbookViewId="0">
      <selection activeCell="I107" sqref="I107"/>
    </sheetView>
  </sheetViews>
  <sheetFormatPr baseColWidth="10" defaultColWidth="12.6640625" defaultRowHeight="14" x14ac:dyDescent="0.2"/>
  <cols>
    <col min="1" max="16384" width="12.6640625" style="1"/>
  </cols>
  <sheetData>
    <row r="1" spans="1:13" ht="15.75" customHeight="1" x14ac:dyDescent="0.2">
      <c r="A1" s="2" t="s">
        <v>110</v>
      </c>
      <c r="B1" s="2" t="s">
        <v>344</v>
      </c>
      <c r="C1" s="2" t="s">
        <v>343</v>
      </c>
      <c r="D1" s="2" t="s">
        <v>342</v>
      </c>
      <c r="E1" s="2" t="s">
        <v>104</v>
      </c>
      <c r="F1" s="2" t="s">
        <v>341</v>
      </c>
      <c r="G1" s="2" t="s">
        <v>340</v>
      </c>
      <c r="H1" s="2" t="s">
        <v>339</v>
      </c>
      <c r="I1" s="2" t="s">
        <v>338</v>
      </c>
      <c r="J1" s="2" t="s">
        <v>337</v>
      </c>
      <c r="K1" s="2" t="s">
        <v>336</v>
      </c>
      <c r="L1" s="2" t="s">
        <v>335</v>
      </c>
      <c r="M1" s="2" t="s">
        <v>102</v>
      </c>
    </row>
    <row r="2" spans="1:13" ht="15.75" customHeight="1" x14ac:dyDescent="0.2">
      <c r="A2" s="2" t="s">
        <v>8</v>
      </c>
      <c r="B2" s="2" t="s">
        <v>334</v>
      </c>
      <c r="C2" s="2" t="s">
        <v>333</v>
      </c>
      <c r="D2" s="2" t="s">
        <v>115</v>
      </c>
      <c r="E2" s="2">
        <v>2</v>
      </c>
      <c r="F2" s="2" t="s">
        <v>125</v>
      </c>
      <c r="G2" s="2" t="s">
        <v>121</v>
      </c>
      <c r="H2" s="2" t="b">
        <v>0</v>
      </c>
      <c r="J2" s="2" t="s">
        <v>119</v>
      </c>
      <c r="K2" s="2" t="s">
        <v>111</v>
      </c>
      <c r="L2" s="2" t="b">
        <v>1</v>
      </c>
      <c r="M2" s="2" t="b">
        <v>0</v>
      </c>
    </row>
    <row r="3" spans="1:13" ht="15.75" customHeight="1" x14ac:dyDescent="0.2">
      <c r="A3" s="2" t="s">
        <v>17</v>
      </c>
      <c r="B3" s="2" t="s">
        <v>332</v>
      </c>
      <c r="C3" s="2" t="s">
        <v>331</v>
      </c>
      <c r="D3" s="2" t="s">
        <v>151</v>
      </c>
      <c r="E3" s="2">
        <v>3</v>
      </c>
      <c r="F3" s="2" t="s">
        <v>125</v>
      </c>
      <c r="G3" s="2" t="s">
        <v>121</v>
      </c>
      <c r="H3" s="2" t="b">
        <v>0</v>
      </c>
      <c r="J3" s="2" t="s">
        <v>119</v>
      </c>
      <c r="K3" s="2" t="s">
        <v>128</v>
      </c>
      <c r="L3" s="2" t="b">
        <v>1</v>
      </c>
      <c r="M3" s="2" t="b">
        <v>0</v>
      </c>
    </row>
    <row r="4" spans="1:13" ht="15.75" customHeight="1" x14ac:dyDescent="0.2">
      <c r="A4" s="2" t="s">
        <v>9</v>
      </c>
      <c r="B4" s="2" t="s">
        <v>330</v>
      </c>
      <c r="C4" s="2" t="s">
        <v>329</v>
      </c>
      <c r="D4" s="2" t="s">
        <v>145</v>
      </c>
      <c r="E4" s="2">
        <v>2</v>
      </c>
      <c r="F4" s="2" t="s">
        <v>125</v>
      </c>
      <c r="G4" s="2" t="s">
        <v>121</v>
      </c>
      <c r="H4" s="2" t="b">
        <v>0</v>
      </c>
      <c r="J4" s="2" t="s">
        <v>135</v>
      </c>
      <c r="K4" s="2" t="s">
        <v>111</v>
      </c>
      <c r="L4" s="2" t="b">
        <v>1</v>
      </c>
      <c r="M4" s="2" t="b">
        <v>0</v>
      </c>
    </row>
    <row r="5" spans="1:13" ht="15.75" customHeight="1" x14ac:dyDescent="0.2">
      <c r="A5" s="2" t="s">
        <v>92</v>
      </c>
      <c r="B5" s="2" t="s">
        <v>328</v>
      </c>
      <c r="C5" s="2" t="s">
        <v>327</v>
      </c>
      <c r="D5" s="2" t="s">
        <v>137</v>
      </c>
      <c r="E5" s="2">
        <v>4</v>
      </c>
      <c r="F5" s="2" t="s">
        <v>114</v>
      </c>
      <c r="G5" s="2" t="s">
        <v>121</v>
      </c>
      <c r="H5" s="2" t="b">
        <v>1</v>
      </c>
      <c r="I5" s="2" t="s">
        <v>119</v>
      </c>
      <c r="J5" s="2" t="s">
        <v>119</v>
      </c>
      <c r="K5" s="2" t="s">
        <v>128</v>
      </c>
      <c r="L5" s="2" t="b">
        <v>0</v>
      </c>
      <c r="M5" s="2" t="b">
        <v>0</v>
      </c>
    </row>
    <row r="6" spans="1:13" ht="15.75" customHeight="1" x14ac:dyDescent="0.2">
      <c r="A6" s="2" t="s">
        <v>42</v>
      </c>
      <c r="B6" s="2" t="s">
        <v>326</v>
      </c>
      <c r="C6" s="2" t="s">
        <v>325</v>
      </c>
      <c r="D6" s="2" t="s">
        <v>115</v>
      </c>
      <c r="E6" s="2">
        <v>2</v>
      </c>
      <c r="F6" s="2" t="s">
        <v>114</v>
      </c>
      <c r="G6" s="2" t="s">
        <v>121</v>
      </c>
      <c r="H6" s="2" t="b">
        <v>1</v>
      </c>
      <c r="I6" s="2" t="s">
        <v>119</v>
      </c>
      <c r="J6" s="2" t="s">
        <v>119</v>
      </c>
      <c r="K6" s="2" t="s">
        <v>128</v>
      </c>
      <c r="L6" s="2" t="b">
        <v>1</v>
      </c>
      <c r="M6" s="2" t="b">
        <v>0</v>
      </c>
    </row>
    <row r="7" spans="1:13" ht="15.75" customHeight="1" x14ac:dyDescent="0.2">
      <c r="A7" s="2" t="s">
        <v>70</v>
      </c>
      <c r="B7" s="2" t="s">
        <v>324</v>
      </c>
      <c r="C7" s="2" t="s">
        <v>323</v>
      </c>
      <c r="D7" s="2" t="s">
        <v>115</v>
      </c>
      <c r="E7" s="2">
        <v>4</v>
      </c>
      <c r="F7" s="2" t="s">
        <v>114</v>
      </c>
      <c r="G7" s="2" t="s">
        <v>121</v>
      </c>
      <c r="H7" s="2" t="b">
        <v>0</v>
      </c>
      <c r="I7" s="2" t="s">
        <v>112</v>
      </c>
      <c r="J7" s="2" t="s">
        <v>119</v>
      </c>
      <c r="K7" s="2" t="s">
        <v>150</v>
      </c>
      <c r="L7" s="2" t="b">
        <v>1</v>
      </c>
      <c r="M7" s="2" t="b">
        <v>0</v>
      </c>
    </row>
    <row r="8" spans="1:13" ht="15.75" customHeight="1" x14ac:dyDescent="0.2">
      <c r="A8" s="2" t="s">
        <v>77</v>
      </c>
      <c r="B8" s="2" t="s">
        <v>322</v>
      </c>
      <c r="C8" s="2" t="s">
        <v>321</v>
      </c>
      <c r="D8" s="2" t="s">
        <v>137</v>
      </c>
      <c r="E8" s="2">
        <v>4</v>
      </c>
      <c r="F8" s="2" t="s">
        <v>114</v>
      </c>
      <c r="G8" s="2" t="s">
        <v>113</v>
      </c>
      <c r="H8" s="2" t="b">
        <v>0</v>
      </c>
      <c r="I8" s="2" t="s">
        <v>135</v>
      </c>
      <c r="J8" s="2" t="s">
        <v>135</v>
      </c>
      <c r="K8" s="2" t="s">
        <v>160</v>
      </c>
      <c r="L8" s="2" t="b">
        <v>1</v>
      </c>
      <c r="M8" s="2" t="b">
        <v>0</v>
      </c>
    </row>
    <row r="9" spans="1:13" ht="15.75" customHeight="1" x14ac:dyDescent="0.2">
      <c r="A9" s="2" t="s">
        <v>55</v>
      </c>
      <c r="B9" s="2" t="s">
        <v>320</v>
      </c>
      <c r="C9" s="2" t="s">
        <v>319</v>
      </c>
      <c r="D9" s="2" t="s">
        <v>115</v>
      </c>
      <c r="E9" s="2">
        <v>2</v>
      </c>
      <c r="F9" s="2" t="s">
        <v>114</v>
      </c>
      <c r="G9" s="2" t="s">
        <v>121</v>
      </c>
      <c r="H9" s="2" t="b">
        <v>0</v>
      </c>
      <c r="I9" s="2" t="s">
        <v>112</v>
      </c>
      <c r="J9" s="2" t="s">
        <v>112</v>
      </c>
      <c r="K9" s="2" t="s">
        <v>160</v>
      </c>
      <c r="L9" s="2" t="b">
        <v>1</v>
      </c>
      <c r="M9" s="2" t="b">
        <v>0</v>
      </c>
    </row>
    <row r="10" spans="1:13" ht="15.75" customHeight="1" x14ac:dyDescent="0.2">
      <c r="A10" s="2" t="s">
        <v>64</v>
      </c>
      <c r="B10" s="2" t="s">
        <v>318</v>
      </c>
      <c r="C10" s="2" t="s">
        <v>317</v>
      </c>
      <c r="D10" s="2" t="s">
        <v>145</v>
      </c>
      <c r="E10" s="2">
        <v>3</v>
      </c>
      <c r="F10" s="2" t="s">
        <v>114</v>
      </c>
      <c r="G10" s="2" t="s">
        <v>121</v>
      </c>
      <c r="H10" s="2" t="b">
        <v>0</v>
      </c>
      <c r="I10" s="2" t="s">
        <v>135</v>
      </c>
      <c r="J10" s="2" t="s">
        <v>135</v>
      </c>
      <c r="K10" s="2" t="s">
        <v>134</v>
      </c>
      <c r="L10" s="2" t="b">
        <v>1</v>
      </c>
      <c r="M10" s="2" t="b">
        <v>0</v>
      </c>
    </row>
    <row r="11" spans="1:13" ht="15.75" customHeight="1" x14ac:dyDescent="0.2">
      <c r="A11" s="2" t="s">
        <v>0</v>
      </c>
      <c r="B11" s="2" t="s">
        <v>316</v>
      </c>
      <c r="C11" s="2" t="s">
        <v>315</v>
      </c>
      <c r="D11" s="2" t="s">
        <v>115</v>
      </c>
      <c r="E11" s="2">
        <v>2</v>
      </c>
      <c r="F11" s="2" t="s">
        <v>114</v>
      </c>
      <c r="G11" s="2" t="s">
        <v>121</v>
      </c>
      <c r="H11" s="2" t="b">
        <v>1</v>
      </c>
      <c r="I11" s="2" t="s">
        <v>219</v>
      </c>
      <c r="J11" s="2" t="s">
        <v>119</v>
      </c>
      <c r="K11" s="2" t="s">
        <v>134</v>
      </c>
      <c r="L11" s="2" t="b">
        <v>1</v>
      </c>
      <c r="M11" s="2" t="b">
        <v>0</v>
      </c>
    </row>
    <row r="12" spans="1:13" ht="15.75" customHeight="1" x14ac:dyDescent="0.2">
      <c r="A12" s="2" t="s">
        <v>15</v>
      </c>
      <c r="B12" s="2" t="s">
        <v>314</v>
      </c>
      <c r="C12" s="2" t="s">
        <v>313</v>
      </c>
      <c r="D12" s="2" t="s">
        <v>145</v>
      </c>
      <c r="E12" s="2">
        <v>2</v>
      </c>
      <c r="F12" s="2" t="s">
        <v>125</v>
      </c>
      <c r="G12" s="2" t="s">
        <v>113</v>
      </c>
      <c r="H12" s="2" t="b">
        <v>0</v>
      </c>
      <c r="J12" s="2" t="s">
        <v>135</v>
      </c>
      <c r="K12" s="2" t="s">
        <v>118</v>
      </c>
      <c r="L12" s="2" t="b">
        <v>1</v>
      </c>
      <c r="M12" s="2" t="b">
        <v>0</v>
      </c>
    </row>
    <row r="13" spans="1:13" ht="15.75" customHeight="1" x14ac:dyDescent="0.2">
      <c r="A13" s="2" t="s">
        <v>58</v>
      </c>
      <c r="B13" s="2" t="s">
        <v>312</v>
      </c>
      <c r="C13" s="2" t="s">
        <v>311</v>
      </c>
      <c r="D13" s="2" t="s">
        <v>122</v>
      </c>
      <c r="E13" s="2">
        <v>2</v>
      </c>
      <c r="F13" s="2" t="s">
        <v>114</v>
      </c>
      <c r="G13" s="2" t="s">
        <v>121</v>
      </c>
      <c r="H13" s="2" t="b">
        <v>1</v>
      </c>
      <c r="I13" s="2" t="s">
        <v>119</v>
      </c>
      <c r="J13" s="2" t="s">
        <v>119</v>
      </c>
      <c r="K13" s="2" t="s">
        <v>160</v>
      </c>
      <c r="L13" s="2" t="b">
        <v>1</v>
      </c>
      <c r="M13" s="2" t="b">
        <v>0</v>
      </c>
    </row>
    <row r="14" spans="1:13" ht="15.75" customHeight="1" x14ac:dyDescent="0.2">
      <c r="A14" s="2" t="s">
        <v>3</v>
      </c>
      <c r="B14" s="2" t="s">
        <v>310</v>
      </c>
      <c r="C14" s="2" t="s">
        <v>309</v>
      </c>
      <c r="D14" s="2" t="s">
        <v>145</v>
      </c>
      <c r="E14" s="2">
        <v>3</v>
      </c>
      <c r="F14" s="2" t="s">
        <v>125</v>
      </c>
      <c r="G14" s="2" t="s">
        <v>121</v>
      </c>
      <c r="H14" s="2" t="b">
        <v>0</v>
      </c>
      <c r="J14" s="2" t="s">
        <v>119</v>
      </c>
      <c r="K14" s="2" t="s">
        <v>160</v>
      </c>
      <c r="L14" s="2" t="b">
        <v>1</v>
      </c>
      <c r="M14" s="2" t="b">
        <v>1</v>
      </c>
    </row>
    <row r="15" spans="1:13" ht="15.75" customHeight="1" x14ac:dyDescent="0.2">
      <c r="A15" s="2" t="s">
        <v>63</v>
      </c>
      <c r="B15" s="2" t="s">
        <v>308</v>
      </c>
      <c r="C15" s="2" t="s">
        <v>307</v>
      </c>
      <c r="D15" s="2" t="s">
        <v>151</v>
      </c>
      <c r="E15" s="2">
        <v>3</v>
      </c>
      <c r="F15" s="2" t="s">
        <v>114</v>
      </c>
      <c r="G15" s="2" t="s">
        <v>113</v>
      </c>
      <c r="H15" s="2" t="b">
        <v>1</v>
      </c>
      <c r="I15" s="2" t="s">
        <v>119</v>
      </c>
      <c r="J15" s="2" t="s">
        <v>119</v>
      </c>
      <c r="K15" s="2" t="s">
        <v>118</v>
      </c>
      <c r="L15" s="2" t="b">
        <v>1</v>
      </c>
      <c r="M15" s="2" t="b">
        <v>0</v>
      </c>
    </row>
    <row r="16" spans="1:13" ht="15.75" customHeight="1" x14ac:dyDescent="0.2">
      <c r="A16" s="2" t="s">
        <v>90</v>
      </c>
      <c r="B16" s="2" t="s">
        <v>306</v>
      </c>
      <c r="C16" s="2" t="s">
        <v>305</v>
      </c>
      <c r="D16" s="2" t="s">
        <v>137</v>
      </c>
      <c r="E16" s="2">
        <v>4</v>
      </c>
      <c r="F16" s="2" t="s">
        <v>114</v>
      </c>
      <c r="G16" s="2" t="s">
        <v>121</v>
      </c>
      <c r="H16" s="2" t="b">
        <v>0</v>
      </c>
      <c r="I16" s="2" t="s">
        <v>119</v>
      </c>
      <c r="J16" s="2" t="s">
        <v>119</v>
      </c>
      <c r="K16" s="2" t="s">
        <v>128</v>
      </c>
      <c r="L16" s="2" t="b">
        <v>0</v>
      </c>
      <c r="M16" s="2" t="b">
        <v>0</v>
      </c>
    </row>
    <row r="17" spans="1:13" ht="15.75" customHeight="1" x14ac:dyDescent="0.2">
      <c r="A17" s="2" t="s">
        <v>32</v>
      </c>
      <c r="B17" s="2" t="s">
        <v>304</v>
      </c>
      <c r="C17" s="2" t="s">
        <v>303</v>
      </c>
      <c r="D17" s="2" t="s">
        <v>137</v>
      </c>
      <c r="E17" s="2">
        <v>4</v>
      </c>
      <c r="F17" s="2" t="s">
        <v>125</v>
      </c>
      <c r="G17" s="2" t="s">
        <v>113</v>
      </c>
      <c r="H17" s="2" t="b">
        <v>0</v>
      </c>
      <c r="J17" s="2" t="s">
        <v>119</v>
      </c>
      <c r="K17" s="2" t="s">
        <v>118</v>
      </c>
      <c r="L17" s="2" t="b">
        <v>0</v>
      </c>
      <c r="M17" s="2" t="b">
        <v>0</v>
      </c>
    </row>
    <row r="18" spans="1:13" ht="15.75" customHeight="1" x14ac:dyDescent="0.2">
      <c r="A18" s="2" t="s">
        <v>89</v>
      </c>
      <c r="B18" s="2" t="s">
        <v>302</v>
      </c>
      <c r="C18" s="2" t="s">
        <v>301</v>
      </c>
      <c r="D18" s="2" t="s">
        <v>145</v>
      </c>
      <c r="E18" s="2">
        <v>4</v>
      </c>
      <c r="F18" s="2" t="s">
        <v>114</v>
      </c>
      <c r="G18" s="2" t="s">
        <v>121</v>
      </c>
      <c r="H18" s="2" t="b">
        <v>0</v>
      </c>
      <c r="I18" s="2" t="s">
        <v>219</v>
      </c>
      <c r="J18" s="2" t="s">
        <v>135</v>
      </c>
      <c r="K18" s="2" t="s">
        <v>111</v>
      </c>
      <c r="L18" s="2" t="b">
        <v>1</v>
      </c>
      <c r="M18" s="2" t="b">
        <v>1</v>
      </c>
    </row>
    <row r="19" spans="1:13" ht="15.75" customHeight="1" x14ac:dyDescent="0.2">
      <c r="A19" s="2" t="s">
        <v>37</v>
      </c>
      <c r="B19" s="2" t="s">
        <v>300</v>
      </c>
      <c r="C19" s="2" t="s">
        <v>299</v>
      </c>
      <c r="D19" s="2" t="s">
        <v>137</v>
      </c>
      <c r="E19" s="2">
        <v>2</v>
      </c>
      <c r="F19" s="2" t="s">
        <v>114</v>
      </c>
      <c r="G19" s="2" t="s">
        <v>121</v>
      </c>
      <c r="H19" s="2" t="b">
        <v>0</v>
      </c>
      <c r="I19" s="2" t="s">
        <v>135</v>
      </c>
      <c r="J19" s="2" t="s">
        <v>135</v>
      </c>
      <c r="K19" s="2" t="s">
        <v>118</v>
      </c>
      <c r="L19" s="2" t="b">
        <v>1</v>
      </c>
      <c r="M19" s="2" t="b">
        <v>0</v>
      </c>
    </row>
    <row r="20" spans="1:13" ht="15.75" customHeight="1" x14ac:dyDescent="0.2">
      <c r="A20" s="2" t="s">
        <v>5</v>
      </c>
      <c r="B20" s="2" t="s">
        <v>298</v>
      </c>
      <c r="C20" s="2" t="s">
        <v>297</v>
      </c>
      <c r="D20" s="2" t="s">
        <v>142</v>
      </c>
      <c r="E20" s="2">
        <v>2</v>
      </c>
      <c r="F20" s="2" t="s">
        <v>125</v>
      </c>
      <c r="G20" s="2" t="s">
        <v>121</v>
      </c>
      <c r="H20" s="2" t="b">
        <v>0</v>
      </c>
      <c r="J20" s="2" t="s">
        <v>135</v>
      </c>
      <c r="K20" s="2" t="s">
        <v>160</v>
      </c>
      <c r="L20" s="2" t="b">
        <v>1</v>
      </c>
      <c r="M20" s="2" t="b">
        <v>0</v>
      </c>
    </row>
    <row r="21" spans="1:13" ht="15.75" customHeight="1" x14ac:dyDescent="0.2">
      <c r="A21" s="2" t="s">
        <v>69</v>
      </c>
      <c r="B21" s="2" t="s">
        <v>296</v>
      </c>
      <c r="C21" s="2" t="s">
        <v>295</v>
      </c>
      <c r="D21" s="2" t="s">
        <v>145</v>
      </c>
      <c r="E21" s="2">
        <v>4</v>
      </c>
      <c r="F21" s="2" t="s">
        <v>114</v>
      </c>
      <c r="G21" s="2" t="s">
        <v>121</v>
      </c>
      <c r="H21" s="2" t="b">
        <v>0</v>
      </c>
      <c r="I21" s="2" t="s">
        <v>119</v>
      </c>
      <c r="J21" s="2" t="s">
        <v>119</v>
      </c>
      <c r="K21" s="2" t="s">
        <v>118</v>
      </c>
      <c r="L21" s="2" t="b">
        <v>1</v>
      </c>
      <c r="M21" s="2" t="b">
        <v>0</v>
      </c>
    </row>
    <row r="22" spans="1:13" ht="15.75" customHeight="1" x14ac:dyDescent="0.2">
      <c r="A22" s="2" t="s">
        <v>99</v>
      </c>
      <c r="B22" s="2" t="s">
        <v>294</v>
      </c>
      <c r="C22" s="2" t="s">
        <v>293</v>
      </c>
      <c r="D22" s="2" t="s">
        <v>115</v>
      </c>
      <c r="E22" s="2">
        <v>5</v>
      </c>
      <c r="F22" s="2" t="s">
        <v>125</v>
      </c>
      <c r="G22" s="2" t="s">
        <v>121</v>
      </c>
      <c r="H22" s="2" t="b">
        <v>1</v>
      </c>
      <c r="J22" s="2" t="s">
        <v>135</v>
      </c>
      <c r="K22" s="2" t="s">
        <v>128</v>
      </c>
      <c r="L22" s="2" t="b">
        <v>1</v>
      </c>
      <c r="M22" s="2" t="b">
        <v>1</v>
      </c>
    </row>
    <row r="23" spans="1:13" ht="15.75" customHeight="1" x14ac:dyDescent="0.2">
      <c r="A23" s="2" t="s">
        <v>85</v>
      </c>
      <c r="B23" s="2" t="s">
        <v>292</v>
      </c>
      <c r="C23" s="2" t="s">
        <v>291</v>
      </c>
      <c r="D23" s="2" t="s">
        <v>145</v>
      </c>
      <c r="E23" s="2">
        <v>2</v>
      </c>
      <c r="F23" s="2" t="s">
        <v>114</v>
      </c>
      <c r="G23" s="2" t="s">
        <v>121</v>
      </c>
      <c r="H23" s="2" t="b">
        <v>0</v>
      </c>
      <c r="I23" s="2" t="s">
        <v>119</v>
      </c>
      <c r="J23" s="2" t="s">
        <v>119</v>
      </c>
      <c r="K23" s="2" t="s">
        <v>111</v>
      </c>
      <c r="L23" s="2" t="b">
        <v>0</v>
      </c>
      <c r="M23" s="2" t="b">
        <v>0</v>
      </c>
    </row>
    <row r="24" spans="1:13" ht="15.75" customHeight="1" x14ac:dyDescent="0.2">
      <c r="A24" s="2" t="s">
        <v>80</v>
      </c>
      <c r="B24" s="2" t="s">
        <v>290</v>
      </c>
      <c r="C24" s="2" t="s">
        <v>289</v>
      </c>
      <c r="D24" s="2" t="s">
        <v>137</v>
      </c>
      <c r="E24" s="2">
        <v>3</v>
      </c>
      <c r="F24" s="2" t="s">
        <v>114</v>
      </c>
      <c r="G24" s="2" t="s">
        <v>121</v>
      </c>
      <c r="H24" s="2" t="b">
        <v>0</v>
      </c>
      <c r="I24" s="2" t="s">
        <v>288</v>
      </c>
      <c r="J24" s="2" t="s">
        <v>119</v>
      </c>
      <c r="K24" s="2" t="s">
        <v>118</v>
      </c>
      <c r="L24" s="2" t="b">
        <v>0</v>
      </c>
      <c r="M24" s="2" t="b">
        <v>0</v>
      </c>
    </row>
    <row r="25" spans="1:13" ht="15.75" customHeight="1" x14ac:dyDescent="0.2">
      <c r="A25" s="2" t="s">
        <v>14</v>
      </c>
      <c r="B25" s="2" t="s">
        <v>287</v>
      </c>
      <c r="C25" s="2" t="s">
        <v>286</v>
      </c>
      <c r="D25" s="2" t="s">
        <v>151</v>
      </c>
      <c r="E25" s="2">
        <v>3</v>
      </c>
      <c r="F25" s="2" t="s">
        <v>125</v>
      </c>
      <c r="G25" s="2" t="s">
        <v>121</v>
      </c>
      <c r="H25" s="2" t="b">
        <v>0</v>
      </c>
      <c r="J25" s="2" t="s">
        <v>112</v>
      </c>
      <c r="K25" s="2" t="s">
        <v>134</v>
      </c>
      <c r="L25" s="2" t="b">
        <v>1</v>
      </c>
      <c r="M25" s="2" t="b">
        <v>0</v>
      </c>
    </row>
    <row r="26" spans="1:13" ht="15.75" customHeight="1" x14ac:dyDescent="0.2">
      <c r="A26" s="2" t="s">
        <v>83</v>
      </c>
      <c r="B26" s="2" t="s">
        <v>285</v>
      </c>
      <c r="C26" s="2" t="s">
        <v>284</v>
      </c>
      <c r="D26" s="2" t="s">
        <v>145</v>
      </c>
      <c r="E26" s="2">
        <v>4</v>
      </c>
      <c r="F26" s="2" t="s">
        <v>114</v>
      </c>
      <c r="G26" s="2" t="s">
        <v>113</v>
      </c>
      <c r="H26" s="2" t="b">
        <v>0</v>
      </c>
      <c r="I26" s="2" t="s">
        <v>135</v>
      </c>
      <c r="J26" s="2" t="s">
        <v>135</v>
      </c>
      <c r="K26" s="2" t="s">
        <v>134</v>
      </c>
      <c r="L26" s="2" t="b">
        <v>1</v>
      </c>
      <c r="M26" s="2" t="b">
        <v>0</v>
      </c>
    </row>
    <row r="27" spans="1:13" ht="15.75" customHeight="1" x14ac:dyDescent="0.2">
      <c r="A27" s="2" t="s">
        <v>52</v>
      </c>
      <c r="B27" s="2" t="s">
        <v>283</v>
      </c>
      <c r="C27" s="2" t="s">
        <v>282</v>
      </c>
      <c r="D27" s="2" t="s">
        <v>115</v>
      </c>
      <c r="E27" s="2">
        <v>2</v>
      </c>
      <c r="F27" s="2" t="s">
        <v>114</v>
      </c>
      <c r="G27" s="2" t="s">
        <v>113</v>
      </c>
      <c r="H27" s="2" t="b">
        <v>0</v>
      </c>
      <c r="I27" s="2" t="s">
        <v>119</v>
      </c>
      <c r="J27" s="2" t="s">
        <v>119</v>
      </c>
      <c r="K27" s="2" t="s">
        <v>150</v>
      </c>
      <c r="L27" s="2" t="b">
        <v>1</v>
      </c>
      <c r="M27" s="2" t="b">
        <v>0</v>
      </c>
    </row>
    <row r="28" spans="1:13" ht="15.75" customHeight="1" x14ac:dyDescent="0.2">
      <c r="A28" s="2" t="s">
        <v>65</v>
      </c>
      <c r="B28" s="2" t="s">
        <v>281</v>
      </c>
      <c r="C28" s="2" t="s">
        <v>280</v>
      </c>
      <c r="D28" s="2" t="s">
        <v>115</v>
      </c>
      <c r="E28" s="2">
        <v>4</v>
      </c>
      <c r="F28" s="2" t="s">
        <v>114</v>
      </c>
      <c r="G28" s="2" t="s">
        <v>121</v>
      </c>
      <c r="H28" s="2" t="b">
        <v>0</v>
      </c>
      <c r="I28" s="2" t="s">
        <v>119</v>
      </c>
      <c r="J28" s="2" t="s">
        <v>119</v>
      </c>
      <c r="K28" s="2" t="s">
        <v>128</v>
      </c>
      <c r="L28" s="2" t="b">
        <v>1</v>
      </c>
      <c r="M28" s="2" t="b">
        <v>0</v>
      </c>
    </row>
    <row r="29" spans="1:13" ht="15.75" customHeight="1" x14ac:dyDescent="0.2">
      <c r="A29" s="2" t="s">
        <v>24</v>
      </c>
      <c r="B29" s="2" t="s">
        <v>279</v>
      </c>
      <c r="C29" s="2" t="s">
        <v>278</v>
      </c>
      <c r="D29" s="2" t="s">
        <v>151</v>
      </c>
      <c r="E29" s="2">
        <v>5</v>
      </c>
      <c r="F29" s="2" t="s">
        <v>125</v>
      </c>
      <c r="G29" s="2" t="s">
        <v>121</v>
      </c>
      <c r="H29" s="2" t="b">
        <v>1</v>
      </c>
      <c r="J29" s="2" t="s">
        <v>119</v>
      </c>
      <c r="K29" s="2" t="s">
        <v>150</v>
      </c>
      <c r="L29" s="2" t="b">
        <v>1</v>
      </c>
      <c r="M29" s="2" t="b">
        <v>0</v>
      </c>
    </row>
    <row r="30" spans="1:13" ht="15.75" customHeight="1" x14ac:dyDescent="0.2">
      <c r="A30" s="2" t="s">
        <v>66</v>
      </c>
      <c r="B30" s="2" t="s">
        <v>277</v>
      </c>
      <c r="C30" s="2" t="s">
        <v>276</v>
      </c>
      <c r="D30" s="2" t="s">
        <v>122</v>
      </c>
      <c r="E30" s="2">
        <v>3</v>
      </c>
      <c r="F30" s="2" t="s">
        <v>114</v>
      </c>
      <c r="G30" s="2" t="s">
        <v>121</v>
      </c>
      <c r="H30" s="2" t="b">
        <v>0</v>
      </c>
      <c r="I30" s="2" t="s">
        <v>112</v>
      </c>
      <c r="J30" s="2" t="s">
        <v>112</v>
      </c>
      <c r="K30" s="2" t="s">
        <v>150</v>
      </c>
      <c r="L30" s="2" t="b">
        <v>1</v>
      </c>
      <c r="M30" s="2" t="b">
        <v>0</v>
      </c>
    </row>
    <row r="31" spans="1:13" ht="15.75" customHeight="1" x14ac:dyDescent="0.2">
      <c r="A31" s="2" t="s">
        <v>97</v>
      </c>
      <c r="B31" s="2" t="s">
        <v>275</v>
      </c>
      <c r="C31" s="2" t="s">
        <v>274</v>
      </c>
      <c r="D31" s="2" t="s">
        <v>137</v>
      </c>
      <c r="E31" s="2">
        <v>2</v>
      </c>
      <c r="F31" s="2" t="s">
        <v>125</v>
      </c>
      <c r="G31" s="2" t="s">
        <v>121</v>
      </c>
      <c r="H31" s="2" t="b">
        <v>1</v>
      </c>
      <c r="J31" s="2" t="s">
        <v>119</v>
      </c>
      <c r="K31" s="2" t="s">
        <v>128</v>
      </c>
      <c r="L31" s="2" t="b">
        <v>1</v>
      </c>
      <c r="M31" s="2" t="b">
        <v>0</v>
      </c>
    </row>
    <row r="32" spans="1:13" ht="15.75" customHeight="1" x14ac:dyDescent="0.2">
      <c r="A32" s="2" t="s">
        <v>43</v>
      </c>
      <c r="B32" s="2" t="s">
        <v>273</v>
      </c>
      <c r="C32" s="2" t="s">
        <v>272</v>
      </c>
      <c r="D32" s="2" t="s">
        <v>115</v>
      </c>
      <c r="E32" s="2">
        <v>2</v>
      </c>
      <c r="F32" s="2" t="s">
        <v>114</v>
      </c>
      <c r="G32" s="2" t="s">
        <v>113</v>
      </c>
      <c r="H32" s="2" t="b">
        <v>0</v>
      </c>
      <c r="I32" s="2" t="s">
        <v>119</v>
      </c>
      <c r="J32" s="2" t="s">
        <v>119</v>
      </c>
      <c r="K32" s="2" t="s">
        <v>128</v>
      </c>
      <c r="L32" s="2" t="b">
        <v>1</v>
      </c>
      <c r="M32" s="2" t="b">
        <v>0</v>
      </c>
    </row>
    <row r="33" spans="1:13" ht="15.75" customHeight="1" x14ac:dyDescent="0.2">
      <c r="A33" s="2" t="s">
        <v>60</v>
      </c>
      <c r="B33" s="2" t="s">
        <v>271</v>
      </c>
      <c r="C33" s="2" t="s">
        <v>270</v>
      </c>
      <c r="D33" s="2" t="s">
        <v>151</v>
      </c>
      <c r="E33" s="2">
        <v>3</v>
      </c>
      <c r="F33" s="2" t="s">
        <v>114</v>
      </c>
      <c r="G33" s="2" t="s">
        <v>121</v>
      </c>
      <c r="H33" s="2" t="b">
        <v>0</v>
      </c>
      <c r="I33" s="2" t="s">
        <v>119</v>
      </c>
      <c r="J33" s="2" t="s">
        <v>119</v>
      </c>
      <c r="K33" s="2" t="s">
        <v>150</v>
      </c>
      <c r="L33" s="2" t="b">
        <v>1</v>
      </c>
      <c r="M33" s="2" t="b">
        <v>0</v>
      </c>
    </row>
    <row r="34" spans="1:13" ht="15.75" customHeight="1" x14ac:dyDescent="0.2">
      <c r="A34" s="2" t="s">
        <v>16</v>
      </c>
      <c r="B34" s="2" t="s">
        <v>269</v>
      </c>
      <c r="C34" s="2" t="s">
        <v>268</v>
      </c>
      <c r="D34" s="2" t="s">
        <v>145</v>
      </c>
      <c r="E34" s="2">
        <v>2</v>
      </c>
      <c r="F34" s="2" t="s">
        <v>125</v>
      </c>
      <c r="G34" s="2" t="s">
        <v>113</v>
      </c>
      <c r="H34" s="2" t="b">
        <v>0</v>
      </c>
      <c r="J34" s="2" t="s">
        <v>119</v>
      </c>
      <c r="K34" s="2" t="s">
        <v>118</v>
      </c>
      <c r="L34" s="2" t="b">
        <v>1</v>
      </c>
      <c r="M34" s="2" t="b">
        <v>0</v>
      </c>
    </row>
    <row r="35" spans="1:13" ht="15.75" customHeight="1" x14ac:dyDescent="0.2">
      <c r="A35" s="2" t="s">
        <v>87</v>
      </c>
      <c r="B35" s="2" t="s">
        <v>267</v>
      </c>
      <c r="C35" s="2" t="s">
        <v>266</v>
      </c>
      <c r="D35" s="2" t="s">
        <v>151</v>
      </c>
      <c r="E35" s="2">
        <v>3</v>
      </c>
      <c r="F35" s="2" t="s">
        <v>114</v>
      </c>
      <c r="G35" s="2" t="s">
        <v>121</v>
      </c>
      <c r="H35" s="2" t="b">
        <v>0</v>
      </c>
      <c r="I35" s="2" t="s">
        <v>119</v>
      </c>
      <c r="J35" s="2" t="s">
        <v>119</v>
      </c>
      <c r="K35" s="2" t="s">
        <v>150</v>
      </c>
      <c r="L35" s="2" t="b">
        <v>0</v>
      </c>
      <c r="M35" s="2" t="b">
        <v>0</v>
      </c>
    </row>
    <row r="36" spans="1:13" ht="15.75" customHeight="1" x14ac:dyDescent="0.2">
      <c r="A36" s="2" t="s">
        <v>36</v>
      </c>
      <c r="B36" s="2" t="s">
        <v>265</v>
      </c>
      <c r="C36" s="2" t="s">
        <v>264</v>
      </c>
      <c r="D36" s="2" t="s">
        <v>115</v>
      </c>
      <c r="E36" s="2">
        <v>2</v>
      </c>
      <c r="F36" s="2" t="s">
        <v>114</v>
      </c>
      <c r="G36" s="2" t="s">
        <v>121</v>
      </c>
      <c r="H36" s="2" t="b">
        <v>1</v>
      </c>
      <c r="I36" s="2" t="s">
        <v>119</v>
      </c>
      <c r="J36" s="2" t="s">
        <v>119</v>
      </c>
      <c r="K36" s="2" t="s">
        <v>128</v>
      </c>
      <c r="L36" s="2" t="b">
        <v>1</v>
      </c>
      <c r="M36" s="2" t="b">
        <v>0</v>
      </c>
    </row>
    <row r="37" spans="1:13" ht="15.75" customHeight="1" x14ac:dyDescent="0.2">
      <c r="A37" s="2" t="s">
        <v>20</v>
      </c>
      <c r="B37" s="2" t="s">
        <v>263</v>
      </c>
      <c r="C37" s="2" t="s">
        <v>262</v>
      </c>
      <c r="D37" s="2" t="s">
        <v>115</v>
      </c>
      <c r="E37" s="2">
        <v>3</v>
      </c>
      <c r="F37" s="2" t="s">
        <v>125</v>
      </c>
      <c r="G37" s="2" t="s">
        <v>121</v>
      </c>
      <c r="H37" s="2" t="b">
        <v>0</v>
      </c>
      <c r="J37" s="2" t="s">
        <v>119</v>
      </c>
      <c r="K37" s="2" t="s">
        <v>160</v>
      </c>
      <c r="L37" s="2" t="b">
        <v>1</v>
      </c>
      <c r="M37" s="2" t="b">
        <v>0</v>
      </c>
    </row>
    <row r="38" spans="1:13" ht="15.75" customHeight="1" x14ac:dyDescent="0.2">
      <c r="A38" s="2" t="s">
        <v>86</v>
      </c>
      <c r="B38" s="2" t="s">
        <v>261</v>
      </c>
      <c r="C38" s="2" t="s">
        <v>260</v>
      </c>
      <c r="D38" s="2" t="s">
        <v>115</v>
      </c>
      <c r="E38" s="2">
        <v>3</v>
      </c>
      <c r="F38" s="2" t="s">
        <v>114</v>
      </c>
      <c r="G38" s="2" t="s">
        <v>113</v>
      </c>
      <c r="H38" s="2" t="b">
        <v>0</v>
      </c>
      <c r="I38" s="2" t="s">
        <v>112</v>
      </c>
      <c r="J38" s="2" t="s">
        <v>119</v>
      </c>
      <c r="K38" s="2" t="s">
        <v>134</v>
      </c>
      <c r="L38" s="2" t="b">
        <v>1</v>
      </c>
      <c r="M38" s="2" t="b">
        <v>0</v>
      </c>
    </row>
    <row r="39" spans="1:13" ht="15.75" customHeight="1" x14ac:dyDescent="0.2">
      <c r="A39" s="2" t="s">
        <v>98</v>
      </c>
      <c r="B39" s="2" t="s">
        <v>259</v>
      </c>
      <c r="C39" s="2" t="s">
        <v>258</v>
      </c>
      <c r="D39" s="2" t="s">
        <v>145</v>
      </c>
      <c r="E39" s="2">
        <v>3</v>
      </c>
      <c r="F39" s="2" t="s">
        <v>125</v>
      </c>
      <c r="G39" s="2" t="s">
        <v>121</v>
      </c>
      <c r="H39" s="2" t="b">
        <v>0</v>
      </c>
      <c r="J39" s="2" t="s">
        <v>119</v>
      </c>
      <c r="K39" s="2" t="s">
        <v>118</v>
      </c>
      <c r="L39" s="2" t="b">
        <v>1</v>
      </c>
      <c r="M39" s="2" t="b">
        <v>0</v>
      </c>
    </row>
    <row r="40" spans="1:13" ht="15.75" customHeight="1" x14ac:dyDescent="0.2">
      <c r="A40" s="2" t="s">
        <v>81</v>
      </c>
      <c r="B40" s="2" t="s">
        <v>257</v>
      </c>
      <c r="C40" s="2" t="s">
        <v>256</v>
      </c>
      <c r="D40" s="2" t="s">
        <v>151</v>
      </c>
      <c r="E40" s="2">
        <v>4</v>
      </c>
      <c r="F40" s="2" t="s">
        <v>114</v>
      </c>
      <c r="G40" s="2" t="s">
        <v>113</v>
      </c>
      <c r="H40" s="2" t="b">
        <v>0</v>
      </c>
      <c r="I40" s="2" t="s">
        <v>119</v>
      </c>
      <c r="J40" s="2" t="s">
        <v>119</v>
      </c>
      <c r="K40" s="2" t="s">
        <v>150</v>
      </c>
      <c r="L40" s="2" t="b">
        <v>1</v>
      </c>
      <c r="M40" s="2" t="b">
        <v>1</v>
      </c>
    </row>
    <row r="41" spans="1:13" ht="15.75" customHeight="1" x14ac:dyDescent="0.2">
      <c r="A41" s="2" t="s">
        <v>91</v>
      </c>
      <c r="B41" s="2" t="s">
        <v>255</v>
      </c>
      <c r="C41" s="2" t="s">
        <v>254</v>
      </c>
      <c r="D41" s="2" t="s">
        <v>145</v>
      </c>
      <c r="E41" s="2">
        <v>3</v>
      </c>
      <c r="F41" s="2" t="s">
        <v>114</v>
      </c>
      <c r="G41" s="2" t="s">
        <v>113</v>
      </c>
      <c r="H41" s="2" t="b">
        <v>1</v>
      </c>
      <c r="I41" s="2" t="s">
        <v>135</v>
      </c>
      <c r="J41" s="2" t="s">
        <v>135</v>
      </c>
      <c r="K41" s="2" t="s">
        <v>160</v>
      </c>
      <c r="L41" s="2" t="b">
        <v>0</v>
      </c>
      <c r="M41" s="2" t="b">
        <v>1</v>
      </c>
    </row>
    <row r="42" spans="1:13" ht="15.75" customHeight="1" x14ac:dyDescent="0.2">
      <c r="A42" s="2" t="s">
        <v>93</v>
      </c>
      <c r="B42" s="2" t="s">
        <v>253</v>
      </c>
      <c r="C42" s="2" t="s">
        <v>252</v>
      </c>
      <c r="D42" s="2" t="s">
        <v>137</v>
      </c>
      <c r="E42" s="2">
        <v>4</v>
      </c>
      <c r="F42" s="2" t="s">
        <v>114</v>
      </c>
      <c r="G42" s="2" t="s">
        <v>121</v>
      </c>
      <c r="H42" s="2" t="b">
        <v>1</v>
      </c>
      <c r="I42" s="2" t="s">
        <v>119</v>
      </c>
      <c r="J42" s="2" t="s">
        <v>119</v>
      </c>
      <c r="K42" s="2" t="s">
        <v>134</v>
      </c>
      <c r="L42" s="2" t="b">
        <v>0</v>
      </c>
      <c r="M42" s="2" t="b">
        <v>0</v>
      </c>
    </row>
    <row r="43" spans="1:13" ht="15.75" customHeight="1" x14ac:dyDescent="0.2">
      <c r="A43" s="2" t="s">
        <v>25</v>
      </c>
      <c r="B43" s="2" t="s">
        <v>251</v>
      </c>
      <c r="C43" s="2" t="s">
        <v>250</v>
      </c>
      <c r="D43" s="2" t="s">
        <v>145</v>
      </c>
      <c r="E43" s="2">
        <v>4</v>
      </c>
      <c r="F43" s="2" t="s">
        <v>125</v>
      </c>
      <c r="G43" s="2" t="s">
        <v>121</v>
      </c>
      <c r="H43" s="2" t="b">
        <v>0</v>
      </c>
      <c r="J43" s="2" t="s">
        <v>112</v>
      </c>
      <c r="K43" s="2" t="s">
        <v>160</v>
      </c>
      <c r="L43" s="2" t="b">
        <v>1</v>
      </c>
      <c r="M43" s="2" t="b">
        <v>0</v>
      </c>
    </row>
    <row r="44" spans="1:13" ht="15.75" customHeight="1" x14ac:dyDescent="0.2">
      <c r="A44" s="2" t="s">
        <v>38</v>
      </c>
      <c r="B44" s="2" t="s">
        <v>249</v>
      </c>
      <c r="C44" s="2" t="s">
        <v>248</v>
      </c>
      <c r="D44" s="2" t="s">
        <v>151</v>
      </c>
      <c r="E44" s="2">
        <v>3</v>
      </c>
      <c r="F44" s="2" t="s">
        <v>114</v>
      </c>
      <c r="G44" s="2" t="s">
        <v>121</v>
      </c>
      <c r="H44" s="2" t="b">
        <v>0</v>
      </c>
      <c r="I44" s="2" t="s">
        <v>119</v>
      </c>
      <c r="J44" s="2" t="s">
        <v>135</v>
      </c>
      <c r="K44" s="2" t="s">
        <v>118</v>
      </c>
      <c r="L44" s="2" t="b">
        <v>1</v>
      </c>
      <c r="M44" s="2" t="b">
        <v>0</v>
      </c>
    </row>
    <row r="45" spans="1:13" ht="15.75" customHeight="1" x14ac:dyDescent="0.2">
      <c r="A45" s="2" t="s">
        <v>27</v>
      </c>
      <c r="B45" s="2" t="s">
        <v>247</v>
      </c>
      <c r="C45" s="2" t="s">
        <v>246</v>
      </c>
      <c r="D45" s="2" t="s">
        <v>151</v>
      </c>
      <c r="E45" s="2">
        <v>4</v>
      </c>
      <c r="F45" s="2" t="s">
        <v>125</v>
      </c>
      <c r="G45" s="2" t="s">
        <v>121</v>
      </c>
      <c r="H45" s="2" t="b">
        <v>0</v>
      </c>
      <c r="J45" s="2" t="s">
        <v>135</v>
      </c>
      <c r="K45" s="2" t="s">
        <v>150</v>
      </c>
      <c r="L45" s="2" t="b">
        <v>0</v>
      </c>
      <c r="M45" s="2" t="b">
        <v>0</v>
      </c>
    </row>
    <row r="46" spans="1:13" ht="15.75" customHeight="1" x14ac:dyDescent="0.2">
      <c r="A46" s="2" t="s">
        <v>28</v>
      </c>
      <c r="B46" s="2" t="s">
        <v>245</v>
      </c>
      <c r="C46" s="2" t="s">
        <v>244</v>
      </c>
      <c r="D46" s="2" t="s">
        <v>151</v>
      </c>
      <c r="E46" s="2">
        <v>3</v>
      </c>
      <c r="F46" s="2" t="s">
        <v>125</v>
      </c>
      <c r="G46" s="2" t="s">
        <v>113</v>
      </c>
      <c r="H46" s="2" t="b">
        <v>0</v>
      </c>
      <c r="J46" s="2" t="s">
        <v>119</v>
      </c>
      <c r="K46" s="2" t="s">
        <v>128</v>
      </c>
      <c r="L46" s="2" t="b">
        <v>1</v>
      </c>
      <c r="M46" s="2" t="b">
        <v>0</v>
      </c>
    </row>
    <row r="47" spans="1:13" ht="15.75" customHeight="1" x14ac:dyDescent="0.2">
      <c r="A47" s="2" t="s">
        <v>88</v>
      </c>
      <c r="B47" s="2" t="s">
        <v>243</v>
      </c>
      <c r="C47" s="2" t="s">
        <v>242</v>
      </c>
      <c r="D47" s="2" t="s">
        <v>129</v>
      </c>
      <c r="E47" s="2">
        <v>3</v>
      </c>
      <c r="F47" s="2" t="s">
        <v>114</v>
      </c>
      <c r="G47" s="2" t="s">
        <v>113</v>
      </c>
      <c r="H47" s="2" t="b">
        <v>0</v>
      </c>
      <c r="I47" s="2" t="s">
        <v>120</v>
      </c>
      <c r="J47" s="2" t="s">
        <v>135</v>
      </c>
      <c r="K47" s="2" t="s">
        <v>128</v>
      </c>
      <c r="L47" s="2" t="b">
        <v>0</v>
      </c>
      <c r="M47" s="2" t="b">
        <v>0</v>
      </c>
    </row>
    <row r="48" spans="1:13" x14ac:dyDescent="0.2">
      <c r="A48" s="2" t="s">
        <v>50</v>
      </c>
      <c r="B48" s="2" t="s">
        <v>241</v>
      </c>
      <c r="C48" s="2" t="s">
        <v>240</v>
      </c>
      <c r="D48" s="2" t="s">
        <v>122</v>
      </c>
      <c r="E48" s="2">
        <v>2</v>
      </c>
      <c r="F48" s="2" t="s">
        <v>114</v>
      </c>
      <c r="G48" s="2" t="s">
        <v>121</v>
      </c>
      <c r="H48" s="2" t="b">
        <v>1</v>
      </c>
      <c r="I48" s="2" t="s">
        <v>119</v>
      </c>
      <c r="J48" s="2" t="s">
        <v>135</v>
      </c>
      <c r="K48" s="2" t="s">
        <v>128</v>
      </c>
      <c r="L48" s="2" t="b">
        <v>1</v>
      </c>
      <c r="M48" s="2" t="b">
        <v>0</v>
      </c>
    </row>
    <row r="49" spans="1:13" x14ac:dyDescent="0.2">
      <c r="A49" s="2" t="s">
        <v>10</v>
      </c>
      <c r="B49" s="2" t="s">
        <v>239</v>
      </c>
      <c r="C49" s="2" t="s">
        <v>238</v>
      </c>
      <c r="D49" s="2" t="s">
        <v>137</v>
      </c>
      <c r="E49" s="2">
        <v>3</v>
      </c>
      <c r="F49" s="2" t="s">
        <v>125</v>
      </c>
      <c r="G49" s="2" t="s">
        <v>121</v>
      </c>
      <c r="H49" s="2" t="b">
        <v>0</v>
      </c>
      <c r="J49" s="2" t="s">
        <v>112</v>
      </c>
      <c r="K49" s="2" t="s">
        <v>128</v>
      </c>
      <c r="L49" s="2" t="b">
        <v>1</v>
      </c>
      <c r="M49" s="2" t="b">
        <v>0</v>
      </c>
    </row>
    <row r="50" spans="1:13" x14ac:dyDescent="0.2">
      <c r="A50" s="2" t="s">
        <v>45</v>
      </c>
      <c r="B50" s="2" t="s">
        <v>237</v>
      </c>
      <c r="C50" s="2" t="s">
        <v>236</v>
      </c>
      <c r="D50" s="2" t="s">
        <v>122</v>
      </c>
      <c r="E50" s="2">
        <v>2</v>
      </c>
      <c r="F50" s="2" t="s">
        <v>114</v>
      </c>
      <c r="G50" s="2" t="s">
        <v>121</v>
      </c>
      <c r="H50" s="2" t="b">
        <v>0</v>
      </c>
      <c r="I50" s="2" t="s">
        <v>135</v>
      </c>
      <c r="J50" s="2" t="s">
        <v>135</v>
      </c>
      <c r="K50" s="2" t="s">
        <v>150</v>
      </c>
      <c r="L50" s="2" t="b">
        <v>1</v>
      </c>
      <c r="M50" s="2" t="b">
        <v>0</v>
      </c>
    </row>
    <row r="51" spans="1:13" x14ac:dyDescent="0.2">
      <c r="A51" s="2" t="s">
        <v>46</v>
      </c>
      <c r="B51" s="2" t="s">
        <v>235</v>
      </c>
      <c r="C51" s="2" t="s">
        <v>234</v>
      </c>
      <c r="D51" s="2" t="s">
        <v>122</v>
      </c>
      <c r="E51" s="2">
        <v>2</v>
      </c>
      <c r="F51" s="2" t="s">
        <v>114</v>
      </c>
      <c r="G51" s="2" t="s">
        <v>121</v>
      </c>
      <c r="H51" s="2" t="b">
        <v>0</v>
      </c>
      <c r="I51" s="2" t="s">
        <v>135</v>
      </c>
      <c r="J51" s="2" t="s">
        <v>135</v>
      </c>
      <c r="K51" s="2" t="s">
        <v>150</v>
      </c>
      <c r="L51" s="2" t="b">
        <v>1</v>
      </c>
      <c r="M51" s="2" t="b">
        <v>0</v>
      </c>
    </row>
    <row r="52" spans="1:13" x14ac:dyDescent="0.2">
      <c r="A52" s="2" t="s">
        <v>51</v>
      </c>
      <c r="B52" s="2" t="s">
        <v>233</v>
      </c>
      <c r="C52" s="2" t="s">
        <v>232</v>
      </c>
      <c r="D52" s="2" t="s">
        <v>142</v>
      </c>
      <c r="E52" s="2">
        <v>2</v>
      </c>
      <c r="F52" s="2" t="s">
        <v>114</v>
      </c>
      <c r="G52" s="2" t="s">
        <v>121</v>
      </c>
      <c r="H52" s="2" t="b">
        <v>1</v>
      </c>
      <c r="I52" s="2" t="s">
        <v>112</v>
      </c>
      <c r="J52" s="2" t="s">
        <v>112</v>
      </c>
      <c r="K52" s="2" t="s">
        <v>150</v>
      </c>
      <c r="L52" s="2" t="b">
        <v>1</v>
      </c>
      <c r="M52" s="2" t="b">
        <v>0</v>
      </c>
    </row>
    <row r="53" spans="1:13" x14ac:dyDescent="0.2">
      <c r="A53" s="2" t="s">
        <v>11</v>
      </c>
      <c r="B53" s="2" t="s">
        <v>231</v>
      </c>
      <c r="C53" s="2" t="s">
        <v>230</v>
      </c>
      <c r="D53" s="2" t="s">
        <v>142</v>
      </c>
      <c r="E53" s="2">
        <v>2</v>
      </c>
      <c r="F53" s="2" t="s">
        <v>125</v>
      </c>
      <c r="G53" s="2" t="s">
        <v>113</v>
      </c>
      <c r="H53" s="2" t="b">
        <v>0</v>
      </c>
      <c r="J53" s="2" t="s">
        <v>135</v>
      </c>
      <c r="K53" s="2" t="s">
        <v>128</v>
      </c>
      <c r="L53" s="2" t="b">
        <v>1</v>
      </c>
      <c r="M53" s="2" t="b">
        <v>0</v>
      </c>
    </row>
    <row r="54" spans="1:13" x14ac:dyDescent="0.2">
      <c r="A54" s="2" t="s">
        <v>18</v>
      </c>
      <c r="B54" s="2" t="s">
        <v>229</v>
      </c>
      <c r="C54" s="2" t="s">
        <v>228</v>
      </c>
      <c r="D54" s="2" t="s">
        <v>142</v>
      </c>
      <c r="E54" s="2">
        <v>2</v>
      </c>
      <c r="F54" s="2" t="s">
        <v>125</v>
      </c>
      <c r="G54" s="2" t="s">
        <v>113</v>
      </c>
      <c r="H54" s="2" t="b">
        <v>0</v>
      </c>
      <c r="J54" s="2" t="s">
        <v>112</v>
      </c>
      <c r="K54" s="2" t="s">
        <v>118</v>
      </c>
      <c r="L54" s="2" t="b">
        <v>1</v>
      </c>
      <c r="M54" s="2" t="b">
        <v>0</v>
      </c>
    </row>
    <row r="55" spans="1:13" x14ac:dyDescent="0.2">
      <c r="A55" s="2" t="s">
        <v>71</v>
      </c>
      <c r="B55" s="2" t="s">
        <v>227</v>
      </c>
      <c r="C55" s="2" t="s">
        <v>226</v>
      </c>
      <c r="D55" s="2" t="s">
        <v>115</v>
      </c>
      <c r="E55" s="2">
        <v>4</v>
      </c>
      <c r="F55" s="2" t="s">
        <v>114</v>
      </c>
      <c r="G55" s="2" t="s">
        <v>113</v>
      </c>
      <c r="H55" s="2" t="b">
        <v>0</v>
      </c>
      <c r="I55" s="2" t="s">
        <v>135</v>
      </c>
      <c r="J55" s="2" t="s">
        <v>135</v>
      </c>
      <c r="K55" s="2" t="s">
        <v>118</v>
      </c>
      <c r="L55" s="2" t="b">
        <v>1</v>
      </c>
      <c r="M55" s="2" t="b">
        <v>0</v>
      </c>
    </row>
    <row r="56" spans="1:13" x14ac:dyDescent="0.2">
      <c r="A56" s="2" t="s">
        <v>56</v>
      </c>
      <c r="B56" s="2" t="s">
        <v>225</v>
      </c>
      <c r="C56" s="2" t="s">
        <v>224</v>
      </c>
      <c r="D56" s="2" t="s">
        <v>122</v>
      </c>
      <c r="E56" s="2">
        <v>3</v>
      </c>
      <c r="F56" s="2" t="s">
        <v>114</v>
      </c>
      <c r="G56" s="2" t="s">
        <v>121</v>
      </c>
      <c r="H56" s="2" t="b">
        <v>0</v>
      </c>
      <c r="I56" s="2" t="s">
        <v>119</v>
      </c>
      <c r="J56" s="2" t="s">
        <v>119</v>
      </c>
      <c r="K56" s="2" t="s">
        <v>160</v>
      </c>
      <c r="L56" s="2" t="b">
        <v>1</v>
      </c>
      <c r="M56" s="2" t="b">
        <v>0</v>
      </c>
    </row>
    <row r="57" spans="1:13" x14ac:dyDescent="0.2">
      <c r="A57" s="2" t="s">
        <v>72</v>
      </c>
      <c r="B57" s="2" t="s">
        <v>223</v>
      </c>
      <c r="C57" s="2" t="s">
        <v>222</v>
      </c>
      <c r="D57" s="2" t="s">
        <v>145</v>
      </c>
      <c r="E57" s="2">
        <v>4</v>
      </c>
      <c r="F57" s="2" t="s">
        <v>114</v>
      </c>
      <c r="G57" s="2" t="s">
        <v>113</v>
      </c>
      <c r="H57" s="2" t="b">
        <v>0</v>
      </c>
      <c r="I57" s="2" t="s">
        <v>119</v>
      </c>
      <c r="J57" s="2" t="s">
        <v>119</v>
      </c>
      <c r="K57" s="2" t="s">
        <v>128</v>
      </c>
      <c r="L57" s="2" t="b">
        <v>1</v>
      </c>
      <c r="M57" s="2" t="b">
        <v>0</v>
      </c>
    </row>
    <row r="58" spans="1:13" x14ac:dyDescent="0.2">
      <c r="A58" s="2" t="s">
        <v>96</v>
      </c>
      <c r="B58" s="2" t="s">
        <v>221</v>
      </c>
      <c r="C58" s="2" t="s">
        <v>220</v>
      </c>
      <c r="D58" s="2" t="s">
        <v>151</v>
      </c>
      <c r="E58" s="2">
        <v>3</v>
      </c>
      <c r="F58" s="2" t="s">
        <v>114</v>
      </c>
      <c r="G58" s="2" t="s">
        <v>121</v>
      </c>
      <c r="H58" s="2" t="b">
        <v>1</v>
      </c>
      <c r="I58" s="2" t="s">
        <v>219</v>
      </c>
      <c r="J58" s="2" t="s">
        <v>119</v>
      </c>
      <c r="K58" s="2" t="s">
        <v>118</v>
      </c>
      <c r="L58" s="2" t="b">
        <v>1</v>
      </c>
      <c r="M58" s="2" t="b">
        <v>0</v>
      </c>
    </row>
    <row r="59" spans="1:13" x14ac:dyDescent="0.2">
      <c r="A59" s="2" t="s">
        <v>67</v>
      </c>
      <c r="B59" s="2" t="s">
        <v>218</v>
      </c>
      <c r="C59" s="2" t="s">
        <v>217</v>
      </c>
      <c r="D59" s="2" t="s">
        <v>145</v>
      </c>
      <c r="E59" s="2">
        <v>3</v>
      </c>
      <c r="F59" s="2" t="s">
        <v>114</v>
      </c>
      <c r="G59" s="2" t="s">
        <v>121</v>
      </c>
      <c r="H59" s="2" t="b">
        <v>0</v>
      </c>
      <c r="I59" s="2" t="s">
        <v>119</v>
      </c>
      <c r="J59" s="2" t="s">
        <v>119</v>
      </c>
      <c r="K59" s="2" t="s">
        <v>128</v>
      </c>
      <c r="L59" s="2" t="b">
        <v>1</v>
      </c>
      <c r="M59" s="2" t="b">
        <v>0</v>
      </c>
    </row>
    <row r="60" spans="1:13" x14ac:dyDescent="0.2">
      <c r="A60" s="2" t="s">
        <v>21</v>
      </c>
      <c r="B60" s="2" t="s">
        <v>216</v>
      </c>
      <c r="C60" s="2" t="s">
        <v>215</v>
      </c>
      <c r="D60" s="2" t="s">
        <v>122</v>
      </c>
      <c r="E60" s="2">
        <v>3</v>
      </c>
      <c r="F60" s="2" t="s">
        <v>125</v>
      </c>
      <c r="G60" s="2" t="s">
        <v>121</v>
      </c>
      <c r="H60" s="2" t="b">
        <v>0</v>
      </c>
      <c r="J60" s="2" t="s">
        <v>119</v>
      </c>
      <c r="K60" s="2" t="s">
        <v>118</v>
      </c>
      <c r="L60" s="2" t="b">
        <v>1</v>
      </c>
      <c r="M60" s="2" t="b">
        <v>0</v>
      </c>
    </row>
    <row r="61" spans="1:13" x14ac:dyDescent="0.2">
      <c r="A61" s="2" t="s">
        <v>30</v>
      </c>
      <c r="B61" s="2" t="s">
        <v>214</v>
      </c>
      <c r="C61" s="2" t="s">
        <v>213</v>
      </c>
      <c r="D61" s="2" t="s">
        <v>115</v>
      </c>
      <c r="E61" s="2">
        <v>4</v>
      </c>
      <c r="F61" s="2" t="s">
        <v>125</v>
      </c>
      <c r="G61" s="2" t="s">
        <v>113</v>
      </c>
      <c r="H61" s="2" t="b">
        <v>0</v>
      </c>
      <c r="J61" s="2" t="s">
        <v>119</v>
      </c>
      <c r="K61" s="2" t="s">
        <v>150</v>
      </c>
      <c r="L61" s="2" t="b">
        <v>1</v>
      </c>
      <c r="M61" s="2" t="b">
        <v>0</v>
      </c>
    </row>
    <row r="62" spans="1:13" x14ac:dyDescent="0.2">
      <c r="A62" s="2" t="s">
        <v>82</v>
      </c>
      <c r="B62" s="2" t="s">
        <v>212</v>
      </c>
      <c r="C62" s="2" t="s">
        <v>211</v>
      </c>
      <c r="D62" s="2" t="s">
        <v>115</v>
      </c>
      <c r="E62" s="2">
        <v>2</v>
      </c>
      <c r="F62" s="2" t="s">
        <v>114</v>
      </c>
      <c r="G62" s="2" t="s">
        <v>121</v>
      </c>
      <c r="H62" s="2" t="b">
        <v>1</v>
      </c>
      <c r="I62" s="2" t="s">
        <v>119</v>
      </c>
      <c r="J62" s="2" t="s">
        <v>119</v>
      </c>
      <c r="K62" s="2" t="s">
        <v>111</v>
      </c>
      <c r="L62" s="2" t="b">
        <v>1</v>
      </c>
      <c r="M62" s="2" t="b">
        <v>0</v>
      </c>
    </row>
    <row r="63" spans="1:13" x14ac:dyDescent="0.2">
      <c r="A63" s="2" t="s">
        <v>59</v>
      </c>
      <c r="B63" s="2" t="s">
        <v>210</v>
      </c>
      <c r="C63" s="2" t="s">
        <v>209</v>
      </c>
      <c r="D63" s="2" t="s">
        <v>115</v>
      </c>
      <c r="E63" s="2">
        <v>3</v>
      </c>
      <c r="F63" s="2" t="s">
        <v>114</v>
      </c>
      <c r="G63" s="2" t="s">
        <v>121</v>
      </c>
      <c r="H63" s="2" t="b">
        <v>0</v>
      </c>
      <c r="I63" s="2" t="s">
        <v>119</v>
      </c>
      <c r="J63" s="2" t="s">
        <v>119</v>
      </c>
      <c r="K63" s="2" t="s">
        <v>150</v>
      </c>
      <c r="L63" s="2" t="b">
        <v>1</v>
      </c>
      <c r="M63" s="2" t="b">
        <v>0</v>
      </c>
    </row>
    <row r="64" spans="1:13" x14ac:dyDescent="0.2">
      <c r="A64" s="2" t="s">
        <v>49</v>
      </c>
      <c r="B64" s="2" t="s">
        <v>208</v>
      </c>
      <c r="C64" s="2" t="s">
        <v>207</v>
      </c>
      <c r="D64" s="2" t="s">
        <v>115</v>
      </c>
      <c r="E64" s="2">
        <v>2</v>
      </c>
      <c r="F64" s="2" t="s">
        <v>114</v>
      </c>
      <c r="G64" s="2" t="s">
        <v>113</v>
      </c>
      <c r="H64" s="2" t="b">
        <v>1</v>
      </c>
      <c r="I64" s="2" t="s">
        <v>112</v>
      </c>
      <c r="J64" s="2" t="s">
        <v>112</v>
      </c>
      <c r="K64" s="2" t="s">
        <v>150</v>
      </c>
      <c r="L64" s="2" t="b">
        <v>1</v>
      </c>
      <c r="M64" s="2" t="b">
        <v>1</v>
      </c>
    </row>
    <row r="65" spans="1:13" x14ac:dyDescent="0.2">
      <c r="A65" s="2" t="s">
        <v>73</v>
      </c>
      <c r="B65" s="2" t="s">
        <v>206</v>
      </c>
      <c r="C65" s="2" t="s">
        <v>205</v>
      </c>
      <c r="D65" s="2" t="s">
        <v>145</v>
      </c>
      <c r="E65" s="2">
        <v>3</v>
      </c>
      <c r="F65" s="2" t="s">
        <v>114</v>
      </c>
      <c r="G65" s="2" t="s">
        <v>113</v>
      </c>
      <c r="H65" s="2" t="b">
        <v>1</v>
      </c>
      <c r="I65" s="2" t="s">
        <v>135</v>
      </c>
      <c r="J65" s="2" t="s">
        <v>135</v>
      </c>
      <c r="K65" s="2" t="s">
        <v>160</v>
      </c>
      <c r="L65" s="2" t="b">
        <v>1</v>
      </c>
      <c r="M65" s="2" t="b">
        <v>0</v>
      </c>
    </row>
    <row r="66" spans="1:13" x14ac:dyDescent="0.2">
      <c r="A66" s="2" t="s">
        <v>48</v>
      </c>
      <c r="B66" s="2" t="s">
        <v>204</v>
      </c>
      <c r="C66" s="2" t="s">
        <v>203</v>
      </c>
      <c r="D66" s="2" t="s">
        <v>142</v>
      </c>
      <c r="E66" s="2">
        <v>1</v>
      </c>
      <c r="F66" s="2" t="s">
        <v>114</v>
      </c>
      <c r="G66" s="2" t="s">
        <v>121</v>
      </c>
      <c r="H66" s="2" t="b">
        <v>0</v>
      </c>
      <c r="I66" s="2" t="s">
        <v>112</v>
      </c>
      <c r="J66" s="2" t="s">
        <v>112</v>
      </c>
      <c r="K66" s="2" t="s">
        <v>134</v>
      </c>
      <c r="L66" s="2" t="b">
        <v>1</v>
      </c>
      <c r="M66" s="2" t="b">
        <v>0</v>
      </c>
    </row>
    <row r="67" spans="1:13" x14ac:dyDescent="0.2">
      <c r="A67" s="2" t="s">
        <v>75</v>
      </c>
      <c r="B67" s="2" t="s">
        <v>202</v>
      </c>
      <c r="C67" s="2" t="s">
        <v>201</v>
      </c>
      <c r="D67" s="2" t="s">
        <v>115</v>
      </c>
      <c r="E67" s="2">
        <v>3</v>
      </c>
      <c r="F67" s="2" t="s">
        <v>114</v>
      </c>
      <c r="G67" s="2" t="s">
        <v>121</v>
      </c>
      <c r="H67" s="2" t="b">
        <v>0</v>
      </c>
      <c r="I67" s="2" t="s">
        <v>135</v>
      </c>
      <c r="J67" s="2" t="s">
        <v>135</v>
      </c>
      <c r="K67" s="2" t="s">
        <v>134</v>
      </c>
      <c r="L67" s="2" t="b">
        <v>1</v>
      </c>
      <c r="M67" s="2" t="b">
        <v>0</v>
      </c>
    </row>
    <row r="68" spans="1:13" x14ac:dyDescent="0.2">
      <c r="A68" s="2" t="s">
        <v>76</v>
      </c>
      <c r="B68" s="2" t="s">
        <v>200</v>
      </c>
      <c r="C68" s="2" t="s">
        <v>199</v>
      </c>
      <c r="D68" s="2" t="s">
        <v>145</v>
      </c>
      <c r="E68" s="2">
        <v>3</v>
      </c>
      <c r="F68" s="2" t="s">
        <v>114</v>
      </c>
      <c r="G68" s="2" t="s">
        <v>121</v>
      </c>
      <c r="H68" s="2" t="b">
        <v>0</v>
      </c>
      <c r="I68" s="2" t="s">
        <v>135</v>
      </c>
      <c r="J68" s="2" t="s">
        <v>135</v>
      </c>
      <c r="K68" s="2" t="s">
        <v>111</v>
      </c>
      <c r="L68" s="2" t="b">
        <v>1</v>
      </c>
      <c r="M68" s="2" t="b">
        <v>0</v>
      </c>
    </row>
    <row r="69" spans="1:13" x14ac:dyDescent="0.2">
      <c r="A69" s="2" t="s">
        <v>54</v>
      </c>
      <c r="B69" s="2" t="s">
        <v>198</v>
      </c>
      <c r="C69" s="2" t="s">
        <v>197</v>
      </c>
      <c r="D69" s="2" t="s">
        <v>115</v>
      </c>
      <c r="E69" s="2">
        <v>3</v>
      </c>
      <c r="F69" s="2" t="s">
        <v>114</v>
      </c>
      <c r="G69" s="2" t="s">
        <v>113</v>
      </c>
      <c r="H69" s="2" t="b">
        <v>0</v>
      </c>
      <c r="I69" s="2" t="s">
        <v>119</v>
      </c>
      <c r="J69" s="2" t="s">
        <v>119</v>
      </c>
      <c r="K69" s="2" t="s">
        <v>118</v>
      </c>
      <c r="L69" s="2" t="b">
        <v>1</v>
      </c>
      <c r="M69" s="2" t="b">
        <v>0</v>
      </c>
    </row>
    <row r="70" spans="1:13" x14ac:dyDescent="0.2">
      <c r="A70" s="2" t="s">
        <v>4</v>
      </c>
      <c r="B70" s="2" t="s">
        <v>196</v>
      </c>
      <c r="C70" s="2" t="s">
        <v>195</v>
      </c>
      <c r="D70" s="2" t="s">
        <v>142</v>
      </c>
      <c r="E70" s="2">
        <v>3</v>
      </c>
      <c r="F70" s="2" t="s">
        <v>125</v>
      </c>
      <c r="G70" s="2" t="s">
        <v>121</v>
      </c>
      <c r="H70" s="2" t="b">
        <v>1</v>
      </c>
      <c r="J70" s="2" t="s">
        <v>119</v>
      </c>
      <c r="K70" s="2" t="s">
        <v>128</v>
      </c>
      <c r="L70" s="2" t="b">
        <v>1</v>
      </c>
      <c r="M70" s="2" t="b">
        <v>0</v>
      </c>
    </row>
    <row r="71" spans="1:13" x14ac:dyDescent="0.2">
      <c r="A71" s="2" t="s">
        <v>68</v>
      </c>
      <c r="B71" s="2" t="s">
        <v>194</v>
      </c>
      <c r="C71" s="2" t="s">
        <v>193</v>
      </c>
      <c r="D71" s="2" t="s">
        <v>115</v>
      </c>
      <c r="E71" s="2">
        <v>4</v>
      </c>
      <c r="F71" s="2" t="s">
        <v>114</v>
      </c>
      <c r="G71" s="2" t="s">
        <v>121</v>
      </c>
      <c r="H71" s="2" t="b">
        <v>0</v>
      </c>
      <c r="I71" s="2" t="s">
        <v>119</v>
      </c>
      <c r="J71" s="2" t="s">
        <v>119</v>
      </c>
      <c r="K71" s="2" t="s">
        <v>150</v>
      </c>
      <c r="L71" s="2" t="b">
        <v>1</v>
      </c>
      <c r="M71" s="2" t="b">
        <v>0</v>
      </c>
    </row>
    <row r="72" spans="1:13" x14ac:dyDescent="0.2">
      <c r="A72" s="2" t="s">
        <v>78</v>
      </c>
      <c r="B72" s="2" t="s">
        <v>192</v>
      </c>
      <c r="C72" s="2" t="s">
        <v>191</v>
      </c>
      <c r="D72" s="2" t="s">
        <v>142</v>
      </c>
      <c r="E72" s="2">
        <v>3</v>
      </c>
      <c r="F72" s="2" t="s">
        <v>114</v>
      </c>
      <c r="G72" s="2" t="s">
        <v>113</v>
      </c>
      <c r="H72" s="2" t="b">
        <v>1</v>
      </c>
      <c r="I72" s="2" t="s">
        <v>112</v>
      </c>
      <c r="J72" s="2" t="s">
        <v>112</v>
      </c>
      <c r="K72" s="2" t="s">
        <v>111</v>
      </c>
      <c r="L72" s="2" t="b">
        <v>1</v>
      </c>
      <c r="M72" s="2" t="b">
        <v>0</v>
      </c>
    </row>
    <row r="73" spans="1:13" x14ac:dyDescent="0.2">
      <c r="A73" s="2" t="s">
        <v>62</v>
      </c>
      <c r="B73" s="2" t="s">
        <v>190</v>
      </c>
      <c r="C73" s="2" t="s">
        <v>189</v>
      </c>
      <c r="D73" s="2" t="s">
        <v>142</v>
      </c>
      <c r="E73" s="2">
        <v>2</v>
      </c>
      <c r="F73" s="2" t="s">
        <v>114</v>
      </c>
      <c r="G73" s="2" t="s">
        <v>121</v>
      </c>
      <c r="H73" s="2" t="b">
        <v>1</v>
      </c>
      <c r="I73" s="2" t="s">
        <v>119</v>
      </c>
      <c r="J73" s="2" t="s">
        <v>119</v>
      </c>
      <c r="K73" s="2" t="s">
        <v>111</v>
      </c>
      <c r="L73" s="2" t="b">
        <v>1</v>
      </c>
      <c r="M73" s="2" t="b">
        <v>0</v>
      </c>
    </row>
    <row r="74" spans="1:13" x14ac:dyDescent="0.2">
      <c r="A74" s="2" t="s">
        <v>79</v>
      </c>
      <c r="B74" s="2" t="s">
        <v>188</v>
      </c>
      <c r="C74" s="2" t="s">
        <v>187</v>
      </c>
      <c r="D74" s="2" t="s">
        <v>151</v>
      </c>
      <c r="E74" s="2">
        <v>4</v>
      </c>
      <c r="F74" s="2" t="s">
        <v>114</v>
      </c>
      <c r="G74" s="2" t="s">
        <v>113</v>
      </c>
      <c r="H74" s="2" t="b">
        <v>0</v>
      </c>
      <c r="I74" s="2" t="s">
        <v>119</v>
      </c>
      <c r="J74" s="2" t="s">
        <v>119</v>
      </c>
      <c r="K74" s="2" t="s">
        <v>150</v>
      </c>
      <c r="L74" s="2" t="b">
        <v>1</v>
      </c>
      <c r="M74" s="2" t="b">
        <v>0</v>
      </c>
    </row>
    <row r="75" spans="1:13" x14ac:dyDescent="0.2">
      <c r="A75" s="2" t="s">
        <v>2</v>
      </c>
      <c r="B75" s="2" t="s">
        <v>186</v>
      </c>
      <c r="C75" s="2" t="s">
        <v>185</v>
      </c>
      <c r="D75" s="2" t="s">
        <v>122</v>
      </c>
      <c r="E75" s="2">
        <v>2</v>
      </c>
      <c r="F75" s="2" t="s">
        <v>125</v>
      </c>
      <c r="G75" s="2" t="s">
        <v>121</v>
      </c>
      <c r="H75" s="2" t="b">
        <v>1</v>
      </c>
      <c r="J75" s="2" t="s">
        <v>135</v>
      </c>
      <c r="K75" s="2" t="s">
        <v>118</v>
      </c>
      <c r="L75" s="2" t="b">
        <v>1</v>
      </c>
      <c r="M75" s="2" t="b">
        <v>0</v>
      </c>
    </row>
    <row r="76" spans="1:13" x14ac:dyDescent="0.2">
      <c r="A76" s="2" t="s">
        <v>47</v>
      </c>
      <c r="B76" s="2" t="s">
        <v>184</v>
      </c>
      <c r="C76" s="2" t="s">
        <v>183</v>
      </c>
      <c r="D76" s="2" t="s">
        <v>137</v>
      </c>
      <c r="E76" s="2">
        <v>2</v>
      </c>
      <c r="F76" s="2" t="s">
        <v>114</v>
      </c>
      <c r="G76" s="2" t="s">
        <v>121</v>
      </c>
      <c r="H76" s="2" t="b">
        <v>0</v>
      </c>
      <c r="I76" s="2" t="s">
        <v>135</v>
      </c>
      <c r="J76" s="2" t="s">
        <v>135</v>
      </c>
      <c r="K76" s="2" t="s">
        <v>128</v>
      </c>
      <c r="L76" s="2" t="b">
        <v>1</v>
      </c>
      <c r="M76" s="2" t="b">
        <v>0</v>
      </c>
    </row>
    <row r="77" spans="1:13" x14ac:dyDescent="0.2">
      <c r="A77" s="2" t="s">
        <v>13</v>
      </c>
      <c r="B77" s="2" t="s">
        <v>182</v>
      </c>
      <c r="C77" s="2" t="s">
        <v>181</v>
      </c>
      <c r="D77" s="2" t="s">
        <v>145</v>
      </c>
      <c r="E77" s="2">
        <v>3</v>
      </c>
      <c r="F77" s="2" t="s">
        <v>125</v>
      </c>
      <c r="G77" s="2" t="s">
        <v>121</v>
      </c>
      <c r="H77" s="2" t="b">
        <v>0</v>
      </c>
      <c r="J77" s="2" t="s">
        <v>112</v>
      </c>
      <c r="K77" s="2" t="s">
        <v>160</v>
      </c>
      <c r="L77" s="2" t="b">
        <v>1</v>
      </c>
      <c r="M77" s="2" t="b">
        <v>0</v>
      </c>
    </row>
    <row r="78" spans="1:13" x14ac:dyDescent="0.2">
      <c r="A78" s="2" t="s">
        <v>53</v>
      </c>
      <c r="B78" s="2" t="s">
        <v>180</v>
      </c>
      <c r="C78" s="2" t="s">
        <v>179</v>
      </c>
      <c r="D78" s="2" t="s">
        <v>115</v>
      </c>
      <c r="E78" s="2">
        <v>3</v>
      </c>
      <c r="F78" s="2" t="s">
        <v>114</v>
      </c>
      <c r="G78" s="2" t="s">
        <v>121</v>
      </c>
      <c r="H78" s="2" t="b">
        <v>1</v>
      </c>
      <c r="I78" s="2" t="s">
        <v>135</v>
      </c>
      <c r="J78" s="2" t="s">
        <v>135</v>
      </c>
      <c r="K78" s="2" t="s">
        <v>128</v>
      </c>
      <c r="L78" s="2" t="b">
        <v>1</v>
      </c>
      <c r="M78" s="2" t="b">
        <v>0</v>
      </c>
    </row>
    <row r="79" spans="1:13" x14ac:dyDescent="0.2">
      <c r="A79" s="2" t="s">
        <v>34</v>
      </c>
      <c r="B79" s="2" t="s">
        <v>178</v>
      </c>
      <c r="C79" s="2" t="s">
        <v>177</v>
      </c>
      <c r="D79" s="2" t="s">
        <v>129</v>
      </c>
      <c r="E79" s="2">
        <v>2</v>
      </c>
      <c r="F79" s="2" t="s">
        <v>114</v>
      </c>
      <c r="G79" s="2" t="s">
        <v>121</v>
      </c>
      <c r="H79" s="2" t="b">
        <v>0</v>
      </c>
      <c r="I79" s="2" t="s">
        <v>135</v>
      </c>
      <c r="J79" s="2" t="s">
        <v>135</v>
      </c>
      <c r="K79" s="2" t="s">
        <v>128</v>
      </c>
      <c r="L79" s="2" t="b">
        <v>1</v>
      </c>
      <c r="M79" s="2" t="b">
        <v>0</v>
      </c>
    </row>
    <row r="80" spans="1:13" x14ac:dyDescent="0.2">
      <c r="A80" s="2" t="s">
        <v>12</v>
      </c>
      <c r="B80" s="2" t="s">
        <v>176</v>
      </c>
      <c r="C80" s="2" t="s">
        <v>175</v>
      </c>
      <c r="D80" s="2" t="s">
        <v>129</v>
      </c>
      <c r="E80" s="2">
        <v>3</v>
      </c>
      <c r="F80" s="2" t="s">
        <v>125</v>
      </c>
      <c r="G80" s="2" t="s">
        <v>121</v>
      </c>
      <c r="H80" s="2" t="b">
        <v>0</v>
      </c>
      <c r="J80" s="2" t="s">
        <v>119</v>
      </c>
      <c r="K80" s="2" t="s">
        <v>118</v>
      </c>
      <c r="L80" s="2" t="b">
        <v>1</v>
      </c>
      <c r="M80" s="2" t="b">
        <v>0</v>
      </c>
    </row>
    <row r="81" spans="1:13" x14ac:dyDescent="0.2">
      <c r="A81" s="2" t="s">
        <v>44</v>
      </c>
      <c r="B81" s="2" t="s">
        <v>174</v>
      </c>
      <c r="C81" s="2" t="s">
        <v>173</v>
      </c>
      <c r="D81" s="2" t="s">
        <v>129</v>
      </c>
      <c r="E81" s="2">
        <v>2</v>
      </c>
      <c r="F81" s="2" t="s">
        <v>114</v>
      </c>
      <c r="G81" s="2" t="s">
        <v>113</v>
      </c>
      <c r="H81" s="2" t="b">
        <v>0</v>
      </c>
      <c r="I81" s="2" t="s">
        <v>120</v>
      </c>
      <c r="J81" s="2" t="s">
        <v>119</v>
      </c>
      <c r="K81" s="2" t="s">
        <v>128</v>
      </c>
      <c r="L81" s="2" t="b">
        <v>1</v>
      </c>
      <c r="M81" s="2" t="b">
        <v>0</v>
      </c>
    </row>
    <row r="82" spans="1:13" x14ac:dyDescent="0.2">
      <c r="A82" s="2" t="s">
        <v>7</v>
      </c>
      <c r="B82" s="2" t="s">
        <v>172</v>
      </c>
      <c r="C82" s="2" t="s">
        <v>171</v>
      </c>
      <c r="D82" s="2" t="s">
        <v>151</v>
      </c>
      <c r="E82" s="2">
        <v>3</v>
      </c>
      <c r="F82" s="2" t="s">
        <v>125</v>
      </c>
      <c r="G82" s="2" t="s">
        <v>121</v>
      </c>
      <c r="H82" s="2" t="b">
        <v>0</v>
      </c>
      <c r="J82" s="2" t="s">
        <v>112</v>
      </c>
      <c r="K82" s="2" t="s">
        <v>118</v>
      </c>
      <c r="L82" s="2" t="b">
        <v>1</v>
      </c>
      <c r="M82" s="2" t="b">
        <v>0</v>
      </c>
    </row>
    <row r="83" spans="1:13" x14ac:dyDescent="0.2">
      <c r="A83" s="2" t="s">
        <v>23</v>
      </c>
      <c r="B83" s="2" t="s">
        <v>170</v>
      </c>
      <c r="C83" s="2" t="s">
        <v>169</v>
      </c>
      <c r="D83" s="2" t="s">
        <v>145</v>
      </c>
      <c r="E83" s="2">
        <v>2</v>
      </c>
      <c r="F83" s="2" t="s">
        <v>125</v>
      </c>
      <c r="G83" s="2" t="s">
        <v>113</v>
      </c>
      <c r="H83" s="2" t="b">
        <v>0</v>
      </c>
      <c r="J83" s="2" t="s">
        <v>135</v>
      </c>
      <c r="K83" s="2" t="s">
        <v>128</v>
      </c>
      <c r="L83" s="2" t="b">
        <v>1</v>
      </c>
      <c r="M83" s="2" t="b">
        <v>0</v>
      </c>
    </row>
    <row r="84" spans="1:13" x14ac:dyDescent="0.2">
      <c r="A84" s="2" t="s">
        <v>41</v>
      </c>
      <c r="B84" s="2" t="s">
        <v>168</v>
      </c>
      <c r="C84" s="2" t="s">
        <v>167</v>
      </c>
      <c r="D84" s="2" t="s">
        <v>145</v>
      </c>
      <c r="E84" s="2">
        <v>2</v>
      </c>
      <c r="F84" s="2" t="s">
        <v>114</v>
      </c>
      <c r="G84" s="2" t="s">
        <v>113</v>
      </c>
      <c r="H84" s="2" t="b">
        <v>0</v>
      </c>
      <c r="I84" s="2" t="s">
        <v>112</v>
      </c>
      <c r="J84" s="2" t="s">
        <v>135</v>
      </c>
      <c r="K84" s="2" t="s">
        <v>128</v>
      </c>
      <c r="L84" s="2" t="b">
        <v>1</v>
      </c>
      <c r="M84" s="2" t="b">
        <v>0</v>
      </c>
    </row>
    <row r="85" spans="1:13" x14ac:dyDescent="0.2">
      <c r="A85" s="2" t="s">
        <v>84</v>
      </c>
      <c r="B85" s="2" t="s">
        <v>166</v>
      </c>
      <c r="C85" s="2" t="s">
        <v>165</v>
      </c>
      <c r="D85" s="2" t="s">
        <v>115</v>
      </c>
      <c r="E85" s="2">
        <v>5</v>
      </c>
      <c r="F85" s="2" t="s">
        <v>114</v>
      </c>
      <c r="G85" s="2" t="s">
        <v>121</v>
      </c>
      <c r="H85" s="2" t="b">
        <v>1</v>
      </c>
      <c r="I85" s="2" t="s">
        <v>136</v>
      </c>
      <c r="J85" s="2" t="s">
        <v>112</v>
      </c>
      <c r="K85" s="2" t="s">
        <v>150</v>
      </c>
      <c r="L85" s="2" t="b">
        <v>1</v>
      </c>
      <c r="M85" s="2" t="b">
        <v>0</v>
      </c>
    </row>
    <row r="86" spans="1:13" x14ac:dyDescent="0.2">
      <c r="A86" s="2" t="s">
        <v>26</v>
      </c>
      <c r="B86" s="2" t="s">
        <v>164</v>
      </c>
      <c r="C86" s="2" t="s">
        <v>163</v>
      </c>
      <c r="D86" s="2" t="s">
        <v>145</v>
      </c>
      <c r="E86" s="2">
        <v>2</v>
      </c>
      <c r="F86" s="2" t="s">
        <v>125</v>
      </c>
      <c r="G86" s="2" t="s">
        <v>113</v>
      </c>
      <c r="H86" s="2" t="b">
        <v>0</v>
      </c>
      <c r="J86" s="2" t="s">
        <v>135</v>
      </c>
      <c r="K86" s="2" t="s">
        <v>134</v>
      </c>
      <c r="L86" s="2" t="b">
        <v>1</v>
      </c>
      <c r="M86" s="2" t="b">
        <v>0</v>
      </c>
    </row>
    <row r="87" spans="1:13" x14ac:dyDescent="0.2">
      <c r="A87" s="2" t="s">
        <v>74</v>
      </c>
      <c r="B87" s="2" t="s">
        <v>162</v>
      </c>
      <c r="C87" s="2" t="s">
        <v>161</v>
      </c>
      <c r="D87" s="2" t="s">
        <v>145</v>
      </c>
      <c r="E87" s="2">
        <v>3</v>
      </c>
      <c r="F87" s="2" t="s">
        <v>114</v>
      </c>
      <c r="G87" s="2" t="s">
        <v>113</v>
      </c>
      <c r="H87" s="2" t="b">
        <v>1</v>
      </c>
      <c r="I87" s="2" t="s">
        <v>136</v>
      </c>
      <c r="J87" s="2" t="s">
        <v>119</v>
      </c>
      <c r="K87" s="2" t="s">
        <v>160</v>
      </c>
      <c r="L87" s="2" t="b">
        <v>1</v>
      </c>
      <c r="M87" s="2" t="b">
        <v>0</v>
      </c>
    </row>
    <row r="88" spans="1:13" x14ac:dyDescent="0.2">
      <c r="A88" s="2" t="s">
        <v>19</v>
      </c>
      <c r="B88" s="2" t="s">
        <v>159</v>
      </c>
      <c r="C88" s="2" t="s">
        <v>158</v>
      </c>
      <c r="D88" s="2" t="s">
        <v>151</v>
      </c>
      <c r="E88" s="2">
        <v>3</v>
      </c>
      <c r="F88" s="2" t="s">
        <v>125</v>
      </c>
      <c r="G88" s="2" t="s">
        <v>121</v>
      </c>
      <c r="H88" s="2" t="b">
        <v>0</v>
      </c>
      <c r="J88" s="2" t="s">
        <v>112</v>
      </c>
      <c r="K88" s="2" t="s">
        <v>134</v>
      </c>
      <c r="L88" s="2" t="b">
        <v>1</v>
      </c>
      <c r="M88" s="2" t="b">
        <v>0</v>
      </c>
    </row>
    <row r="89" spans="1:13" x14ac:dyDescent="0.2">
      <c r="A89" s="2" t="s">
        <v>40</v>
      </c>
      <c r="B89" s="2" t="s">
        <v>157</v>
      </c>
      <c r="C89" s="2" t="s">
        <v>156</v>
      </c>
      <c r="D89" s="2" t="s">
        <v>122</v>
      </c>
      <c r="E89" s="2">
        <v>2</v>
      </c>
      <c r="F89" s="2" t="s">
        <v>114</v>
      </c>
      <c r="G89" s="2" t="s">
        <v>121</v>
      </c>
      <c r="H89" s="2" t="b">
        <v>0</v>
      </c>
      <c r="I89" s="2" t="s">
        <v>112</v>
      </c>
      <c r="J89" s="2" t="s">
        <v>112</v>
      </c>
      <c r="K89" s="2" t="s">
        <v>128</v>
      </c>
      <c r="L89" s="2" t="b">
        <v>1</v>
      </c>
      <c r="M89" s="2" t="b">
        <v>0</v>
      </c>
    </row>
    <row r="90" spans="1:13" x14ac:dyDescent="0.2">
      <c r="A90" s="2" t="s">
        <v>100</v>
      </c>
      <c r="B90" s="2" t="s">
        <v>155</v>
      </c>
      <c r="C90" s="2" t="s">
        <v>154</v>
      </c>
      <c r="D90" s="2" t="s">
        <v>142</v>
      </c>
      <c r="E90" s="2">
        <v>3</v>
      </c>
      <c r="F90" s="2" t="s">
        <v>125</v>
      </c>
      <c r="G90" s="2" t="s">
        <v>121</v>
      </c>
      <c r="H90" s="2" t="b">
        <v>0</v>
      </c>
      <c r="J90" s="2" t="s">
        <v>112</v>
      </c>
      <c r="K90" s="2" t="s">
        <v>128</v>
      </c>
      <c r="L90" s="2" t="b">
        <v>1</v>
      </c>
      <c r="M90" s="2" t="b">
        <v>0</v>
      </c>
    </row>
    <row r="91" spans="1:13" x14ac:dyDescent="0.2">
      <c r="A91" s="2" t="s">
        <v>31</v>
      </c>
      <c r="B91" s="2" t="s">
        <v>153</v>
      </c>
      <c r="C91" s="2" t="s">
        <v>152</v>
      </c>
      <c r="D91" s="2" t="s">
        <v>151</v>
      </c>
      <c r="E91" s="2">
        <v>4</v>
      </c>
      <c r="F91" s="2" t="s">
        <v>125</v>
      </c>
      <c r="G91" s="2" t="s">
        <v>113</v>
      </c>
      <c r="H91" s="2" t="b">
        <v>0</v>
      </c>
      <c r="J91" s="2" t="s">
        <v>135</v>
      </c>
      <c r="K91" s="2" t="s">
        <v>150</v>
      </c>
      <c r="L91" s="2" t="b">
        <v>1</v>
      </c>
      <c r="M91" s="2" t="b">
        <v>0</v>
      </c>
    </row>
    <row r="92" spans="1:13" x14ac:dyDescent="0.2">
      <c r="A92" s="2" t="s">
        <v>57</v>
      </c>
      <c r="B92" s="2" t="s">
        <v>149</v>
      </c>
      <c r="C92" s="2" t="s">
        <v>148</v>
      </c>
      <c r="D92" s="2" t="s">
        <v>129</v>
      </c>
      <c r="E92" s="2">
        <v>3</v>
      </c>
      <c r="F92" s="2" t="s">
        <v>114</v>
      </c>
      <c r="G92" s="2" t="s">
        <v>121</v>
      </c>
      <c r="H92" s="2" t="b">
        <v>0</v>
      </c>
      <c r="I92" s="2" t="s">
        <v>112</v>
      </c>
      <c r="J92" s="2" t="s">
        <v>112</v>
      </c>
      <c r="K92" s="2" t="s">
        <v>118</v>
      </c>
      <c r="L92" s="2" t="b">
        <v>1</v>
      </c>
      <c r="M92" s="2" t="b">
        <v>0</v>
      </c>
    </row>
    <row r="93" spans="1:13" x14ac:dyDescent="0.2">
      <c r="A93" s="2" t="s">
        <v>22</v>
      </c>
      <c r="B93" s="2" t="s">
        <v>147</v>
      </c>
      <c r="C93" s="2" t="s">
        <v>146</v>
      </c>
      <c r="D93" s="2" t="s">
        <v>145</v>
      </c>
      <c r="E93" s="2">
        <v>3</v>
      </c>
      <c r="F93" s="2" t="s">
        <v>125</v>
      </c>
      <c r="G93" s="2" t="s">
        <v>113</v>
      </c>
      <c r="H93" s="2" t="b">
        <v>0</v>
      </c>
      <c r="J93" s="2" t="s">
        <v>135</v>
      </c>
      <c r="K93" s="2" t="s">
        <v>118</v>
      </c>
      <c r="L93" s="2" t="b">
        <v>1</v>
      </c>
      <c r="M93" s="2" t="b">
        <v>0</v>
      </c>
    </row>
    <row r="94" spans="1:13" x14ac:dyDescent="0.2">
      <c r="A94" s="2" t="s">
        <v>39</v>
      </c>
      <c r="B94" s="2" t="s">
        <v>144</v>
      </c>
      <c r="C94" s="2" t="s">
        <v>143</v>
      </c>
      <c r="D94" s="2" t="s">
        <v>142</v>
      </c>
      <c r="E94" s="2">
        <v>2</v>
      </c>
      <c r="F94" s="2" t="s">
        <v>114</v>
      </c>
      <c r="G94" s="2" t="s">
        <v>121</v>
      </c>
      <c r="H94" s="2" t="b">
        <v>0</v>
      </c>
      <c r="I94" s="2" t="s">
        <v>135</v>
      </c>
      <c r="J94" s="2" t="s">
        <v>135</v>
      </c>
      <c r="K94" s="2" t="s">
        <v>128</v>
      </c>
      <c r="L94" s="2" t="b">
        <v>1</v>
      </c>
      <c r="M94" s="2" t="b">
        <v>0</v>
      </c>
    </row>
    <row r="95" spans="1:13" x14ac:dyDescent="0.2">
      <c r="A95" s="2" t="s">
        <v>6</v>
      </c>
      <c r="B95" s="2" t="s">
        <v>141</v>
      </c>
      <c r="C95" s="2" t="s">
        <v>140</v>
      </c>
      <c r="D95" s="2" t="s">
        <v>122</v>
      </c>
      <c r="E95" s="2">
        <v>3</v>
      </c>
      <c r="F95" s="2" t="s">
        <v>125</v>
      </c>
      <c r="G95" s="2" t="s">
        <v>121</v>
      </c>
      <c r="H95" s="2" t="b">
        <v>0</v>
      </c>
      <c r="J95" s="2" t="s">
        <v>135</v>
      </c>
      <c r="K95" s="2" t="s">
        <v>128</v>
      </c>
      <c r="L95" s="2" t="b">
        <v>1</v>
      </c>
      <c r="M95" s="2" t="b">
        <v>0</v>
      </c>
    </row>
    <row r="96" spans="1:13" x14ac:dyDescent="0.2">
      <c r="A96" s="2" t="s">
        <v>95</v>
      </c>
      <c r="B96" s="2" t="s">
        <v>139</v>
      </c>
      <c r="C96" s="2" t="s">
        <v>138</v>
      </c>
      <c r="D96" s="2" t="s">
        <v>137</v>
      </c>
      <c r="E96" s="2">
        <v>4</v>
      </c>
      <c r="F96" s="2" t="s">
        <v>114</v>
      </c>
      <c r="G96" s="2" t="s">
        <v>121</v>
      </c>
      <c r="H96" s="2" t="b">
        <v>0</v>
      </c>
      <c r="I96" s="2" t="s">
        <v>136</v>
      </c>
      <c r="J96" s="2" t="s">
        <v>135</v>
      </c>
      <c r="K96" s="2" t="s">
        <v>134</v>
      </c>
      <c r="L96" s="2" t="b">
        <v>1</v>
      </c>
      <c r="M96" s="2" t="b">
        <v>1</v>
      </c>
    </row>
    <row r="97" spans="1:13" x14ac:dyDescent="0.2">
      <c r="A97" s="2" t="s">
        <v>33</v>
      </c>
      <c r="B97" s="2" t="s">
        <v>133</v>
      </c>
      <c r="C97" s="2" t="s">
        <v>132</v>
      </c>
      <c r="D97" s="2" t="s">
        <v>129</v>
      </c>
      <c r="E97" s="2">
        <v>1</v>
      </c>
      <c r="F97" s="2" t="s">
        <v>114</v>
      </c>
      <c r="G97" s="2" t="s">
        <v>121</v>
      </c>
      <c r="H97" s="2" t="b">
        <v>0</v>
      </c>
      <c r="I97" s="2" t="s">
        <v>119</v>
      </c>
      <c r="J97" s="2" t="s">
        <v>119</v>
      </c>
      <c r="K97" s="2" t="s">
        <v>128</v>
      </c>
      <c r="L97" s="2" t="b">
        <v>1</v>
      </c>
      <c r="M97" s="2" t="b">
        <v>0</v>
      </c>
    </row>
    <row r="98" spans="1:13" x14ac:dyDescent="0.2">
      <c r="A98" s="2" t="s">
        <v>1</v>
      </c>
      <c r="B98" s="2" t="s">
        <v>131</v>
      </c>
      <c r="C98" s="2" t="s">
        <v>130</v>
      </c>
      <c r="D98" s="2" t="s">
        <v>129</v>
      </c>
      <c r="E98" s="2">
        <v>2</v>
      </c>
      <c r="F98" s="2" t="s">
        <v>125</v>
      </c>
      <c r="G98" s="2" t="s">
        <v>121</v>
      </c>
      <c r="H98" s="2" t="b">
        <v>0</v>
      </c>
      <c r="J98" s="2" t="s">
        <v>112</v>
      </c>
      <c r="K98" s="2" t="s">
        <v>128</v>
      </c>
      <c r="L98" s="2" t="b">
        <v>1</v>
      </c>
      <c r="M98" s="2" t="b">
        <v>0</v>
      </c>
    </row>
    <row r="99" spans="1:13" x14ac:dyDescent="0.2">
      <c r="A99" s="2" t="s">
        <v>29</v>
      </c>
      <c r="B99" s="2" t="s">
        <v>127</v>
      </c>
      <c r="C99" s="2" t="s">
        <v>126</v>
      </c>
      <c r="D99" s="2" t="s">
        <v>115</v>
      </c>
      <c r="E99" s="2">
        <v>5</v>
      </c>
      <c r="F99" s="2" t="s">
        <v>125</v>
      </c>
      <c r="G99" s="2" t="s">
        <v>121</v>
      </c>
      <c r="H99" s="2" t="b">
        <v>1</v>
      </c>
      <c r="J99" s="2" t="s">
        <v>119</v>
      </c>
      <c r="K99" s="2" t="s">
        <v>111</v>
      </c>
      <c r="L99" s="2" t="b">
        <v>1</v>
      </c>
      <c r="M99" s="2" t="b">
        <v>0</v>
      </c>
    </row>
    <row r="100" spans="1:13" x14ac:dyDescent="0.2">
      <c r="A100" s="2" t="s">
        <v>35</v>
      </c>
      <c r="B100" s="2" t="s">
        <v>124</v>
      </c>
      <c r="C100" s="2" t="s">
        <v>123</v>
      </c>
      <c r="D100" s="2" t="s">
        <v>122</v>
      </c>
      <c r="E100" s="2">
        <v>2</v>
      </c>
      <c r="F100" s="2" t="s">
        <v>114</v>
      </c>
      <c r="G100" s="2" t="s">
        <v>121</v>
      </c>
      <c r="H100" s="2" t="b">
        <v>1</v>
      </c>
      <c r="I100" s="2" t="s">
        <v>120</v>
      </c>
      <c r="J100" s="2" t="s">
        <v>119</v>
      </c>
      <c r="K100" s="2" t="s">
        <v>118</v>
      </c>
      <c r="L100" s="2" t="b">
        <v>1</v>
      </c>
      <c r="M100" s="2" t="b">
        <v>0</v>
      </c>
    </row>
    <row r="101" spans="1:13" x14ac:dyDescent="0.2">
      <c r="A101" s="2" t="s">
        <v>61</v>
      </c>
      <c r="B101" s="2" t="s">
        <v>117</v>
      </c>
      <c r="C101" s="2" t="s">
        <v>116</v>
      </c>
      <c r="D101" s="2" t="s">
        <v>115</v>
      </c>
      <c r="E101" s="2">
        <v>2</v>
      </c>
      <c r="F101" s="2" t="s">
        <v>114</v>
      </c>
      <c r="G101" s="2" t="s">
        <v>113</v>
      </c>
      <c r="H101" s="2" t="b">
        <v>0</v>
      </c>
      <c r="I101" s="2" t="s">
        <v>112</v>
      </c>
      <c r="J101" s="2" t="s">
        <v>112</v>
      </c>
      <c r="K101" s="2" t="s">
        <v>111</v>
      </c>
      <c r="L101" s="2" t="b">
        <v>1</v>
      </c>
      <c r="M101" s="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1FF40-E5C4-9645-8D5B-43023DAC9703}">
  <dimension ref="A1:H1206"/>
  <sheetViews>
    <sheetView topLeftCell="A7" zoomScaleNormal="100" workbookViewId="0">
      <selection activeCell="F1203" sqref="F1203"/>
    </sheetView>
  </sheetViews>
  <sheetFormatPr baseColWidth="10" defaultRowHeight="14" x14ac:dyDescent="0.2"/>
  <cols>
    <col min="1" max="16384" width="10.83203125" style="1"/>
  </cols>
  <sheetData>
    <row r="1" spans="1:8" x14ac:dyDescent="0.2">
      <c r="A1" s="2" t="s">
        <v>110</v>
      </c>
      <c r="B1" s="2" t="s">
        <v>109</v>
      </c>
      <c r="C1" s="2" t="s">
        <v>108</v>
      </c>
      <c r="D1" s="2" t="s">
        <v>107</v>
      </c>
      <c r="E1" s="2" t="s">
        <v>106</v>
      </c>
      <c r="F1" s="2" t="s">
        <v>105</v>
      </c>
      <c r="H1" s="1" t="s">
        <v>345</v>
      </c>
    </row>
    <row r="2" spans="1:8" x14ac:dyDescent="0.2">
      <c r="A2" s="2" t="s">
        <v>32</v>
      </c>
      <c r="B2" s="2">
        <v>17</v>
      </c>
      <c r="C2" s="2">
        <v>12</v>
      </c>
      <c r="D2" s="2">
        <v>2020</v>
      </c>
      <c r="E2" s="1" t="s">
        <v>94</v>
      </c>
      <c r="F2" s="2">
        <v>244.9</v>
      </c>
      <c r="H2" s="1">
        <f>_xlfn.XLOOKUP('Data Source 1_customer readings'!A2,'Data Source 1_customer readings'!A2:A2400,'Data Source 1_customer readings'!J2:J2400)</f>
        <v>0</v>
      </c>
    </row>
    <row r="3" spans="1:8" x14ac:dyDescent="0.2">
      <c r="A3" s="2" t="s">
        <v>29</v>
      </c>
      <c r="B3" s="2">
        <v>20</v>
      </c>
      <c r="C3" s="2">
        <v>12</v>
      </c>
      <c r="D3" s="2">
        <v>2020</v>
      </c>
      <c r="E3" s="1" t="s">
        <v>94</v>
      </c>
      <c r="F3" s="2">
        <v>206.46</v>
      </c>
      <c r="H3" s="1">
        <f>_xlfn.XLOOKUP('Data Source 1_customer readings'!A3,'Data Source 1_customer readings'!A3:A2401,'Data Source 1_customer readings'!J3:J2401)</f>
        <v>0</v>
      </c>
    </row>
    <row r="4" spans="1:8" x14ac:dyDescent="0.2">
      <c r="A4" s="2" t="s">
        <v>28</v>
      </c>
      <c r="B4" s="2">
        <v>5</v>
      </c>
      <c r="C4" s="2">
        <v>11</v>
      </c>
      <c r="D4" s="2">
        <v>2020</v>
      </c>
      <c r="E4" s="1" t="s">
        <v>94</v>
      </c>
      <c r="F4" s="2">
        <v>206.1</v>
      </c>
      <c r="H4" s="1">
        <f>_xlfn.XLOOKUP('Data Source 1_customer readings'!A4,'Data Source 1_customer readings'!A4:A2402,'Data Source 1_customer readings'!J4:J2402)</f>
        <v>0</v>
      </c>
    </row>
    <row r="5" spans="1:8" x14ac:dyDescent="0.2">
      <c r="A5" s="2" t="s">
        <v>22</v>
      </c>
      <c r="B5" s="2">
        <v>22</v>
      </c>
      <c r="C5" s="2">
        <v>2</v>
      </c>
      <c r="D5" s="2">
        <v>2020</v>
      </c>
      <c r="E5" s="1" t="s">
        <v>94</v>
      </c>
      <c r="F5" s="2">
        <v>204.12</v>
      </c>
      <c r="H5" s="1" t="b">
        <f>_xlfn.XLOOKUP('Data Source 1_customer readings'!A5,'Data Source 1_customer readings'!A5:A2403,'Data Source 1_customer readings'!J5:J2403)</f>
        <v>0</v>
      </c>
    </row>
    <row r="6" spans="1:8" x14ac:dyDescent="0.2">
      <c r="A6" s="2" t="s">
        <v>27</v>
      </c>
      <c r="B6" s="2">
        <v>1</v>
      </c>
      <c r="C6" s="2">
        <v>12</v>
      </c>
      <c r="D6" s="2">
        <v>2020</v>
      </c>
      <c r="E6" s="1" t="s">
        <v>94</v>
      </c>
      <c r="F6" s="2">
        <v>203.05</v>
      </c>
      <c r="H6" s="1">
        <f>_xlfn.XLOOKUP('Data Source 1_customer readings'!A6,'Data Source 1_customer readings'!A6:A2404,'Data Source 1_customer readings'!J6:J2404)</f>
        <v>0</v>
      </c>
    </row>
    <row r="7" spans="1:8" x14ac:dyDescent="0.2">
      <c r="A7" s="2" t="s">
        <v>29</v>
      </c>
      <c r="B7" s="2">
        <v>20</v>
      </c>
      <c r="C7" s="2">
        <v>1</v>
      </c>
      <c r="D7" s="2">
        <v>2020</v>
      </c>
      <c r="E7" s="1" t="s">
        <v>94</v>
      </c>
      <c r="F7" s="2">
        <v>202.43</v>
      </c>
      <c r="H7" s="1">
        <f>_xlfn.XLOOKUP('Data Source 1_customer readings'!A7,'Data Source 1_customer readings'!A7:A2405,'Data Source 1_customer readings'!J7:J2405)</f>
        <v>0</v>
      </c>
    </row>
    <row r="8" spans="1:8" x14ac:dyDescent="0.2">
      <c r="A8" s="2" t="s">
        <v>26</v>
      </c>
      <c r="B8" s="2">
        <v>22</v>
      </c>
      <c r="C8" s="2">
        <v>1</v>
      </c>
      <c r="D8" s="2">
        <v>2020</v>
      </c>
      <c r="E8" s="1" t="s">
        <v>94</v>
      </c>
      <c r="F8" s="2">
        <v>199.33</v>
      </c>
      <c r="H8" s="1">
        <f>_xlfn.XLOOKUP('Data Source 1_customer readings'!A8,'Data Source 1_customer readings'!A8:A2406,'Data Source 1_customer readings'!J8:J2406)</f>
        <v>0</v>
      </c>
    </row>
    <row r="9" spans="1:8" x14ac:dyDescent="0.2">
      <c r="A9" s="2" t="s">
        <v>100</v>
      </c>
      <c r="B9" s="2">
        <v>1</v>
      </c>
      <c r="C9" s="2">
        <v>1</v>
      </c>
      <c r="D9" s="2">
        <v>2020</v>
      </c>
      <c r="E9" s="1" t="s">
        <v>94</v>
      </c>
      <c r="F9" s="2">
        <v>198.09</v>
      </c>
      <c r="H9" s="1">
        <f>_xlfn.XLOOKUP('Data Source 1_customer readings'!A9,'Data Source 1_customer readings'!A9:A2407,'Data Source 1_customer readings'!J9:J2407)</f>
        <v>0</v>
      </c>
    </row>
    <row r="10" spans="1:8" x14ac:dyDescent="0.2">
      <c r="A10" s="2" t="s">
        <v>100</v>
      </c>
      <c r="B10" s="2">
        <v>1</v>
      </c>
      <c r="C10" s="2">
        <v>12</v>
      </c>
      <c r="D10" s="2">
        <v>2020</v>
      </c>
      <c r="E10" s="1" t="s">
        <v>94</v>
      </c>
      <c r="F10" s="2">
        <v>194.06</v>
      </c>
      <c r="H10" s="1">
        <f>_xlfn.XLOOKUP('Data Source 1_customer readings'!A10,'Data Source 1_customer readings'!A10:A2408,'Data Source 1_customer readings'!J10:J2408)</f>
        <v>0</v>
      </c>
    </row>
    <row r="11" spans="1:8" x14ac:dyDescent="0.2">
      <c r="A11" s="2" t="s">
        <v>26</v>
      </c>
      <c r="B11" s="2">
        <v>22</v>
      </c>
      <c r="C11" s="2">
        <v>12</v>
      </c>
      <c r="D11" s="2">
        <v>2020</v>
      </c>
      <c r="E11" s="1" t="s">
        <v>94</v>
      </c>
      <c r="F11" s="2">
        <v>193.13</v>
      </c>
      <c r="H11" s="1">
        <f>_xlfn.XLOOKUP('Data Source 1_customer readings'!A11,'Data Source 1_customer readings'!A11:A2409,'Data Source 1_customer readings'!J11:J2409)</f>
        <v>0</v>
      </c>
    </row>
    <row r="12" spans="1:8" x14ac:dyDescent="0.2">
      <c r="A12" s="2" t="s">
        <v>27</v>
      </c>
      <c r="B12" s="2">
        <v>1</v>
      </c>
      <c r="C12" s="2">
        <v>1</v>
      </c>
      <c r="D12" s="2">
        <v>2020</v>
      </c>
      <c r="E12" s="1" t="s">
        <v>94</v>
      </c>
      <c r="F12" s="2">
        <v>192.2</v>
      </c>
      <c r="H12" s="1">
        <f>_xlfn.XLOOKUP('Data Source 1_customer readings'!A12,'Data Source 1_customer readings'!A12:A2410,'Data Source 1_customer readings'!J12:J2410)</f>
        <v>0</v>
      </c>
    </row>
    <row r="13" spans="1:8" x14ac:dyDescent="0.2">
      <c r="A13" s="2" t="s">
        <v>15</v>
      </c>
      <c r="B13" s="2">
        <v>5</v>
      </c>
      <c r="C13" s="2">
        <v>11</v>
      </c>
      <c r="D13" s="2">
        <v>2020</v>
      </c>
      <c r="E13" s="1" t="s">
        <v>94</v>
      </c>
      <c r="F13" s="2">
        <v>187.8</v>
      </c>
      <c r="H13" s="1">
        <f>_xlfn.XLOOKUP('Data Source 1_customer readings'!A13,'Data Source 1_customer readings'!A13:A2411,'Data Source 1_customer readings'!J13:J2411)</f>
        <v>0</v>
      </c>
    </row>
    <row r="14" spans="1:8" x14ac:dyDescent="0.2">
      <c r="A14" s="2" t="s">
        <v>23</v>
      </c>
      <c r="B14" s="2">
        <v>5</v>
      </c>
      <c r="C14" s="2">
        <v>2</v>
      </c>
      <c r="D14" s="2">
        <v>2020</v>
      </c>
      <c r="E14" s="1" t="s">
        <v>94</v>
      </c>
      <c r="F14" s="2">
        <v>186.48</v>
      </c>
      <c r="H14" s="1">
        <f>_xlfn.XLOOKUP('Data Source 1_customer readings'!A14,'Data Source 1_customer readings'!A14:A2412,'Data Source 1_customer readings'!J14:J2412)</f>
        <v>0</v>
      </c>
    </row>
    <row r="15" spans="1:8" x14ac:dyDescent="0.2">
      <c r="A15" s="2" t="s">
        <v>20</v>
      </c>
      <c r="B15" s="2">
        <v>12</v>
      </c>
      <c r="C15" s="2">
        <v>2</v>
      </c>
      <c r="D15" s="2">
        <v>2020</v>
      </c>
      <c r="E15" s="1" t="s">
        <v>94</v>
      </c>
      <c r="F15" s="2">
        <v>185.64</v>
      </c>
      <c r="H15" s="1">
        <f>_xlfn.XLOOKUP('Data Source 1_customer readings'!A15,'Data Source 1_customer readings'!A15:A2413,'Data Source 1_customer readings'!J15:J2413)</f>
        <v>0</v>
      </c>
    </row>
    <row r="16" spans="1:8" x14ac:dyDescent="0.2">
      <c r="A16" s="2" t="s">
        <v>99</v>
      </c>
      <c r="B16" s="2">
        <v>10</v>
      </c>
      <c r="C16" s="2">
        <v>12</v>
      </c>
      <c r="D16" s="2">
        <v>2020</v>
      </c>
      <c r="E16" s="1" t="s">
        <v>94</v>
      </c>
      <c r="F16" s="2">
        <v>183.52</v>
      </c>
      <c r="H16" s="1">
        <f>_xlfn.XLOOKUP('Data Source 1_customer readings'!A16,'Data Source 1_customer readings'!A16:A2414,'Data Source 1_customer readings'!J16:J2414)</f>
        <v>0</v>
      </c>
    </row>
    <row r="17" spans="1:8" x14ac:dyDescent="0.2">
      <c r="A17" s="2" t="s">
        <v>98</v>
      </c>
      <c r="B17" s="2">
        <v>21</v>
      </c>
      <c r="C17" s="2">
        <v>11</v>
      </c>
      <c r="D17" s="2">
        <v>2020</v>
      </c>
      <c r="E17" s="1" t="s">
        <v>94</v>
      </c>
      <c r="F17" s="2">
        <v>181.5</v>
      </c>
      <c r="H17" s="1">
        <f>_xlfn.XLOOKUP('Data Source 1_customer readings'!A17,'Data Source 1_customer readings'!A17:A2415,'Data Source 1_customer readings'!J17:J2415)</f>
        <v>0</v>
      </c>
    </row>
    <row r="18" spans="1:8" x14ac:dyDescent="0.2">
      <c r="A18" s="2" t="s">
        <v>4</v>
      </c>
      <c r="B18" s="2">
        <v>1</v>
      </c>
      <c r="C18" s="2">
        <v>1</v>
      </c>
      <c r="D18" s="2">
        <v>2020</v>
      </c>
      <c r="E18" s="1" t="s">
        <v>94</v>
      </c>
      <c r="F18" s="2">
        <v>180.73</v>
      </c>
      <c r="H18" s="1">
        <f>_xlfn.XLOOKUP('Data Source 1_customer readings'!A18,'Data Source 1_customer readings'!A18:A2416,'Data Source 1_customer readings'!J18:J2416)</f>
        <v>0</v>
      </c>
    </row>
    <row r="19" spans="1:8" x14ac:dyDescent="0.2">
      <c r="A19" s="2" t="s">
        <v>14</v>
      </c>
      <c r="B19" s="2">
        <v>10</v>
      </c>
      <c r="C19" s="2">
        <v>2</v>
      </c>
      <c r="D19" s="2">
        <v>2020</v>
      </c>
      <c r="E19" s="1" t="s">
        <v>94</v>
      </c>
      <c r="F19" s="2">
        <v>179.2</v>
      </c>
      <c r="H19" s="1">
        <f>_xlfn.XLOOKUP('Data Source 1_customer readings'!A19,'Data Source 1_customer readings'!A19:A2417,'Data Source 1_customer readings'!J19:J2417)</f>
        <v>0</v>
      </c>
    </row>
    <row r="20" spans="1:8" x14ac:dyDescent="0.2">
      <c r="A20" s="2" t="s">
        <v>98</v>
      </c>
      <c r="B20" s="2">
        <v>21</v>
      </c>
      <c r="C20" s="2">
        <v>1</v>
      </c>
      <c r="D20" s="2">
        <v>2020</v>
      </c>
      <c r="E20" s="1" t="s">
        <v>94</v>
      </c>
      <c r="F20" s="2">
        <v>178.25</v>
      </c>
      <c r="H20" s="1">
        <f>_xlfn.XLOOKUP('Data Source 1_customer readings'!A20,'Data Source 1_customer readings'!A20:A2418,'Data Source 1_customer readings'!J20:J2418)</f>
        <v>0</v>
      </c>
    </row>
    <row r="21" spans="1:8" x14ac:dyDescent="0.2">
      <c r="A21" s="2" t="s">
        <v>19</v>
      </c>
      <c r="B21" s="2">
        <v>24</v>
      </c>
      <c r="C21" s="2">
        <v>1</v>
      </c>
      <c r="D21" s="2">
        <v>2020</v>
      </c>
      <c r="E21" s="1" t="s">
        <v>94</v>
      </c>
      <c r="F21" s="2">
        <v>175.15</v>
      </c>
      <c r="H21" s="1">
        <f>_xlfn.XLOOKUP('Data Source 1_customer readings'!A21,'Data Source 1_customer readings'!A21:A2419,'Data Source 1_customer readings'!J21:J2419)</f>
        <v>0</v>
      </c>
    </row>
    <row r="22" spans="1:8" x14ac:dyDescent="0.2">
      <c r="A22" s="2" t="s">
        <v>100</v>
      </c>
      <c r="B22" s="2">
        <v>1</v>
      </c>
      <c r="C22" s="2">
        <v>2</v>
      </c>
      <c r="D22" s="2">
        <v>2020</v>
      </c>
      <c r="E22" s="1" t="s">
        <v>94</v>
      </c>
      <c r="F22" s="2">
        <v>174.44</v>
      </c>
      <c r="H22" s="1">
        <f>_xlfn.XLOOKUP('Data Source 1_customer readings'!A22,'Data Source 1_customer readings'!A22:A2420,'Data Source 1_customer readings'!J22:J2420)</f>
        <v>0</v>
      </c>
    </row>
    <row r="23" spans="1:8" x14ac:dyDescent="0.2">
      <c r="A23" s="2" t="s">
        <v>99</v>
      </c>
      <c r="B23" s="2">
        <v>10</v>
      </c>
      <c r="C23" s="2">
        <v>1</v>
      </c>
      <c r="D23" s="2">
        <v>2020</v>
      </c>
      <c r="E23" s="1" t="s">
        <v>94</v>
      </c>
      <c r="F23" s="2">
        <v>172.05</v>
      </c>
      <c r="H23" s="1">
        <f>_xlfn.XLOOKUP('Data Source 1_customer readings'!A23,'Data Source 1_customer readings'!A23:A2421,'Data Source 1_customer readings'!J23:J2421)</f>
        <v>0</v>
      </c>
    </row>
    <row r="24" spans="1:8" x14ac:dyDescent="0.2">
      <c r="A24" s="2" t="s">
        <v>16</v>
      </c>
      <c r="B24" s="2">
        <v>14</v>
      </c>
      <c r="C24" s="2">
        <v>11</v>
      </c>
      <c r="D24" s="2">
        <v>2020</v>
      </c>
      <c r="E24" s="1" t="s">
        <v>94</v>
      </c>
      <c r="F24" s="2">
        <v>170.1</v>
      </c>
      <c r="H24" s="1">
        <f>_xlfn.XLOOKUP('Data Source 1_customer readings'!A24,'Data Source 1_customer readings'!A24:A2422,'Data Source 1_customer readings'!J24:J2422)</f>
        <v>0</v>
      </c>
    </row>
    <row r="25" spans="1:8" x14ac:dyDescent="0.2">
      <c r="A25" s="2" t="s">
        <v>6</v>
      </c>
      <c r="B25" s="2">
        <v>7</v>
      </c>
      <c r="C25" s="2">
        <v>12</v>
      </c>
      <c r="D25" s="2">
        <v>2020</v>
      </c>
      <c r="E25" s="1" t="s">
        <v>94</v>
      </c>
      <c r="F25" s="2">
        <v>169.88</v>
      </c>
      <c r="H25" s="1">
        <f>_xlfn.XLOOKUP('Data Source 1_customer readings'!A25,'Data Source 1_customer readings'!A25:A2423,'Data Source 1_customer readings'!J25:J2423)</f>
        <v>0</v>
      </c>
    </row>
    <row r="26" spans="1:8" x14ac:dyDescent="0.2">
      <c r="A26" s="2" t="s">
        <v>21</v>
      </c>
      <c r="B26" s="2">
        <v>15</v>
      </c>
      <c r="C26" s="2">
        <v>1</v>
      </c>
      <c r="D26" s="2">
        <v>2020</v>
      </c>
      <c r="E26" s="1" t="s">
        <v>94</v>
      </c>
      <c r="F26" s="2">
        <v>169.57</v>
      </c>
      <c r="H26" s="1">
        <f>_xlfn.XLOOKUP('Data Source 1_customer readings'!A26,'Data Source 1_customer readings'!A26:A2424,'Data Source 1_customer readings'!J26:J2424)</f>
        <v>0</v>
      </c>
    </row>
    <row r="27" spans="1:8" x14ac:dyDescent="0.2">
      <c r="A27" s="2" t="s">
        <v>97</v>
      </c>
      <c r="B27" s="2">
        <v>12</v>
      </c>
      <c r="C27" s="2">
        <v>12</v>
      </c>
      <c r="D27" s="2">
        <v>2020</v>
      </c>
      <c r="E27" s="1" t="s">
        <v>94</v>
      </c>
      <c r="F27" s="2">
        <v>168.64</v>
      </c>
      <c r="H27" s="1">
        <f>_xlfn.XLOOKUP('Data Source 1_customer readings'!A27,'Data Source 1_customer readings'!A27:A2425,'Data Source 1_customer readings'!J27:J2425)</f>
        <v>0</v>
      </c>
    </row>
    <row r="28" spans="1:8" x14ac:dyDescent="0.2">
      <c r="A28" s="2" t="s">
        <v>98</v>
      </c>
      <c r="B28" s="2">
        <v>21</v>
      </c>
      <c r="C28" s="2">
        <v>12</v>
      </c>
      <c r="D28" s="2">
        <v>2020</v>
      </c>
      <c r="E28" s="1" t="s">
        <v>94</v>
      </c>
      <c r="F28" s="2">
        <v>168.64</v>
      </c>
      <c r="H28" s="1">
        <f>_xlfn.XLOOKUP('Data Source 1_customer readings'!A28,'Data Source 1_customer readings'!A28:A2426,'Data Source 1_customer readings'!J28:J2426)</f>
        <v>0</v>
      </c>
    </row>
    <row r="29" spans="1:8" x14ac:dyDescent="0.2">
      <c r="A29" s="2" t="s">
        <v>28</v>
      </c>
      <c r="B29" s="2">
        <v>5</v>
      </c>
      <c r="C29" s="2">
        <v>3</v>
      </c>
      <c r="D29" s="2">
        <v>2020</v>
      </c>
      <c r="E29" s="1" t="s">
        <v>94</v>
      </c>
      <c r="F29" s="2">
        <v>166.47</v>
      </c>
      <c r="H29" s="1">
        <f>_xlfn.XLOOKUP('Data Source 1_customer readings'!A29,'Data Source 1_customer readings'!A29:A2427,'Data Source 1_customer readings'!J29:J2427)</f>
        <v>0</v>
      </c>
    </row>
    <row r="30" spans="1:8" x14ac:dyDescent="0.2">
      <c r="A30" s="2" t="s">
        <v>20</v>
      </c>
      <c r="B30" s="2">
        <v>12</v>
      </c>
      <c r="C30" s="2">
        <v>12</v>
      </c>
      <c r="D30" s="2">
        <v>2020</v>
      </c>
      <c r="E30" s="1" t="s">
        <v>94</v>
      </c>
      <c r="F30" s="2">
        <v>166.16</v>
      </c>
      <c r="H30" s="1">
        <f>_xlfn.XLOOKUP('Data Source 1_customer readings'!A30,'Data Source 1_customer readings'!A30:A2428,'Data Source 1_customer readings'!J30:J2428)</f>
        <v>0</v>
      </c>
    </row>
    <row r="31" spans="1:8" x14ac:dyDescent="0.2">
      <c r="A31" s="2" t="s">
        <v>100</v>
      </c>
      <c r="B31" s="2">
        <v>1</v>
      </c>
      <c r="C31" s="2">
        <v>11</v>
      </c>
      <c r="D31" s="2">
        <v>2020</v>
      </c>
      <c r="E31" s="1" t="s">
        <v>94</v>
      </c>
      <c r="F31" s="2">
        <v>164.4</v>
      </c>
      <c r="H31" s="1">
        <f>_xlfn.XLOOKUP('Data Source 1_customer readings'!A31,'Data Source 1_customer readings'!A31:A2429,'Data Source 1_customer readings'!J31:J2429)</f>
        <v>0</v>
      </c>
    </row>
    <row r="32" spans="1:8" x14ac:dyDescent="0.2">
      <c r="A32" s="2" t="s">
        <v>99</v>
      </c>
      <c r="B32" s="2">
        <v>10</v>
      </c>
      <c r="C32" s="2">
        <v>2</v>
      </c>
      <c r="D32" s="2">
        <v>2020</v>
      </c>
      <c r="E32" s="1" t="s">
        <v>94</v>
      </c>
      <c r="F32" s="2">
        <v>162.4</v>
      </c>
      <c r="H32" s="1" t="b">
        <f>_xlfn.XLOOKUP('Data Source 1_customer readings'!A32,'Data Source 1_customer readings'!A32:A2430,'Data Source 1_customer readings'!J32:J2430)</f>
        <v>0</v>
      </c>
    </row>
    <row r="33" spans="1:8" x14ac:dyDescent="0.2">
      <c r="A33" s="2" t="s">
        <v>27</v>
      </c>
      <c r="B33" s="2">
        <v>1</v>
      </c>
      <c r="C33" s="2">
        <v>4</v>
      </c>
      <c r="D33" s="2">
        <v>2020</v>
      </c>
      <c r="E33" s="1" t="s">
        <v>94</v>
      </c>
      <c r="F33" s="2">
        <v>161.4</v>
      </c>
      <c r="H33" s="1">
        <f>_xlfn.XLOOKUP('Data Source 1_customer readings'!A33,'Data Source 1_customer readings'!A33:A2431,'Data Source 1_customer readings'!J33:J2431)</f>
        <v>0</v>
      </c>
    </row>
    <row r="34" spans="1:8" x14ac:dyDescent="0.2">
      <c r="A34" s="2" t="s">
        <v>20</v>
      </c>
      <c r="B34" s="2">
        <v>12</v>
      </c>
      <c r="C34" s="2">
        <v>1</v>
      </c>
      <c r="D34" s="2">
        <v>2020</v>
      </c>
      <c r="E34" s="1" t="s">
        <v>94</v>
      </c>
      <c r="F34" s="2">
        <v>160.88999999999999</v>
      </c>
      <c r="H34" s="1" t="b">
        <f>_xlfn.XLOOKUP('Data Source 1_customer readings'!A34,'Data Source 1_customer readings'!A34:A2432,'Data Source 1_customer readings'!J34:J2432)</f>
        <v>0</v>
      </c>
    </row>
    <row r="35" spans="1:8" x14ac:dyDescent="0.2">
      <c r="A35" s="2" t="s">
        <v>10</v>
      </c>
      <c r="B35" s="2">
        <v>18</v>
      </c>
      <c r="C35" s="2">
        <v>2</v>
      </c>
      <c r="D35" s="2">
        <v>2020</v>
      </c>
      <c r="E35" s="1" t="s">
        <v>94</v>
      </c>
      <c r="F35" s="2">
        <v>160.72</v>
      </c>
      <c r="H35" s="1">
        <f>_xlfn.XLOOKUP('Data Source 1_customer readings'!A35,'Data Source 1_customer readings'!A35:A2433,'Data Source 1_customer readings'!J35:J2433)</f>
        <v>0</v>
      </c>
    </row>
    <row r="36" spans="1:8" x14ac:dyDescent="0.2">
      <c r="A36" s="2" t="s">
        <v>7</v>
      </c>
      <c r="B36" s="2">
        <v>20</v>
      </c>
      <c r="C36" s="2">
        <v>12</v>
      </c>
      <c r="D36" s="2">
        <v>2020</v>
      </c>
      <c r="E36" s="1" t="s">
        <v>94</v>
      </c>
      <c r="F36" s="2">
        <v>160.58000000000001</v>
      </c>
      <c r="H36" s="1">
        <f>_xlfn.XLOOKUP('Data Source 1_customer readings'!A36,'Data Source 1_customer readings'!A36:A2434,'Data Source 1_customer readings'!J36:J2434)</f>
        <v>0</v>
      </c>
    </row>
    <row r="37" spans="1:8" x14ac:dyDescent="0.2">
      <c r="A37" s="2" t="s">
        <v>97</v>
      </c>
      <c r="B37" s="2">
        <v>12</v>
      </c>
      <c r="C37" s="2">
        <v>1</v>
      </c>
      <c r="D37" s="2">
        <v>2020</v>
      </c>
      <c r="E37" s="1" t="s">
        <v>94</v>
      </c>
      <c r="F37" s="2">
        <v>160.27000000000001</v>
      </c>
      <c r="H37" s="1">
        <f>_xlfn.XLOOKUP('Data Source 1_customer readings'!A37,'Data Source 1_customer readings'!A37:A2435,'Data Source 1_customer readings'!J37:J2435)</f>
        <v>0</v>
      </c>
    </row>
    <row r="38" spans="1:8" x14ac:dyDescent="0.2">
      <c r="A38" s="2" t="s">
        <v>22</v>
      </c>
      <c r="B38" s="2">
        <v>22</v>
      </c>
      <c r="C38" s="2">
        <v>10</v>
      </c>
      <c r="D38" s="2">
        <v>2020</v>
      </c>
      <c r="E38" s="1" t="s">
        <v>94</v>
      </c>
      <c r="F38" s="2">
        <v>159.65</v>
      </c>
      <c r="H38" s="1">
        <f>_xlfn.XLOOKUP('Data Source 1_customer readings'!A38,'Data Source 1_customer readings'!A38:A2436,'Data Source 1_customer readings'!J38:J2436)</f>
        <v>0</v>
      </c>
    </row>
    <row r="39" spans="1:8" x14ac:dyDescent="0.2">
      <c r="A39" s="2" t="s">
        <v>25</v>
      </c>
      <c r="B39" s="2">
        <v>8</v>
      </c>
      <c r="C39" s="2">
        <v>3</v>
      </c>
      <c r="D39" s="2">
        <v>2020</v>
      </c>
      <c r="E39" s="1" t="s">
        <v>94</v>
      </c>
      <c r="F39" s="2">
        <v>159.03</v>
      </c>
      <c r="H39" s="1">
        <f>_xlfn.XLOOKUP('Data Source 1_customer readings'!A39,'Data Source 1_customer readings'!A39:A2437,'Data Source 1_customer readings'!J39:J2437)</f>
        <v>0</v>
      </c>
    </row>
    <row r="40" spans="1:8" x14ac:dyDescent="0.2">
      <c r="A40" s="2" t="s">
        <v>100</v>
      </c>
      <c r="B40" s="2">
        <v>1</v>
      </c>
      <c r="C40" s="2">
        <v>4</v>
      </c>
      <c r="D40" s="2">
        <v>2020</v>
      </c>
      <c r="E40" s="1" t="s">
        <v>94</v>
      </c>
      <c r="F40" s="2">
        <v>156.6</v>
      </c>
      <c r="H40" s="1">
        <f>_xlfn.XLOOKUP('Data Source 1_customer readings'!A40,'Data Source 1_customer readings'!A40:A2438,'Data Source 1_customer readings'!J40:J2438)</f>
        <v>0</v>
      </c>
    </row>
    <row r="41" spans="1:8" x14ac:dyDescent="0.2">
      <c r="A41" s="2" t="s">
        <v>13</v>
      </c>
      <c r="B41" s="2">
        <v>7</v>
      </c>
      <c r="C41" s="2">
        <v>3</v>
      </c>
      <c r="D41" s="2">
        <v>2020</v>
      </c>
      <c r="E41" s="1" t="s">
        <v>94</v>
      </c>
      <c r="F41" s="2">
        <v>156.55000000000001</v>
      </c>
      <c r="H41" s="1">
        <f>_xlfn.XLOOKUP('Data Source 1_customer readings'!A41,'Data Source 1_customer readings'!A41:A2439,'Data Source 1_customer readings'!J41:J2439)</f>
        <v>0</v>
      </c>
    </row>
    <row r="42" spans="1:8" x14ac:dyDescent="0.2">
      <c r="A42" s="2" t="s">
        <v>99</v>
      </c>
      <c r="B42" s="2">
        <v>10</v>
      </c>
      <c r="C42" s="2">
        <v>10</v>
      </c>
      <c r="D42" s="2">
        <v>2020</v>
      </c>
      <c r="E42" s="1" t="s">
        <v>94</v>
      </c>
      <c r="F42" s="2">
        <v>155.93</v>
      </c>
      <c r="H42" s="1" t="b">
        <f>_xlfn.XLOOKUP('Data Source 1_customer readings'!A42,'Data Source 1_customer readings'!A42:A2440,'Data Source 1_customer readings'!J42:J2440)</f>
        <v>0</v>
      </c>
    </row>
    <row r="43" spans="1:8" x14ac:dyDescent="0.2">
      <c r="A43" s="2" t="s">
        <v>25</v>
      </c>
      <c r="B43" s="2">
        <v>8</v>
      </c>
      <c r="C43" s="2">
        <v>4</v>
      </c>
      <c r="D43" s="2">
        <v>2020</v>
      </c>
      <c r="E43" s="1" t="s">
        <v>94</v>
      </c>
      <c r="F43" s="2">
        <v>154.5</v>
      </c>
      <c r="H43" s="1">
        <f>_xlfn.XLOOKUP('Data Source 1_customer readings'!A43,'Data Source 1_customer readings'!A43:A2441,'Data Source 1_customer readings'!J43:J2441)</f>
        <v>0</v>
      </c>
    </row>
    <row r="44" spans="1:8" x14ac:dyDescent="0.2">
      <c r="A44" s="2" t="s">
        <v>99</v>
      </c>
      <c r="B44" s="2">
        <v>10</v>
      </c>
      <c r="C44" s="2">
        <v>11</v>
      </c>
      <c r="D44" s="2">
        <v>2020</v>
      </c>
      <c r="E44" s="1" t="s">
        <v>94</v>
      </c>
      <c r="F44" s="2">
        <v>154.5</v>
      </c>
      <c r="H44" s="1">
        <f>_xlfn.XLOOKUP('Data Source 1_customer readings'!A44,'Data Source 1_customer readings'!A44:A2442,'Data Source 1_customer readings'!J44:J2442)</f>
        <v>0</v>
      </c>
    </row>
    <row r="45" spans="1:8" x14ac:dyDescent="0.2">
      <c r="A45" s="2" t="s">
        <v>15</v>
      </c>
      <c r="B45" s="2">
        <v>5</v>
      </c>
      <c r="C45" s="2">
        <v>3</v>
      </c>
      <c r="D45" s="2">
        <v>2020</v>
      </c>
      <c r="E45" s="1" t="s">
        <v>94</v>
      </c>
      <c r="F45" s="2">
        <v>153.44999999999999</v>
      </c>
      <c r="H45" s="1">
        <f>_xlfn.XLOOKUP('Data Source 1_customer readings'!A45,'Data Source 1_customer readings'!A45:A2443,'Data Source 1_customer readings'!J45:J2443)</f>
        <v>0</v>
      </c>
    </row>
    <row r="46" spans="1:8" x14ac:dyDescent="0.2">
      <c r="A46" s="2" t="s">
        <v>99</v>
      </c>
      <c r="B46" s="2">
        <v>10</v>
      </c>
      <c r="C46" s="2">
        <v>3</v>
      </c>
      <c r="D46" s="2">
        <v>2020</v>
      </c>
      <c r="E46" s="1" t="s">
        <v>94</v>
      </c>
      <c r="F46" s="2">
        <v>153.13999999999999</v>
      </c>
      <c r="H46" s="1">
        <f>_xlfn.XLOOKUP('Data Source 1_customer readings'!A46,'Data Source 1_customer readings'!A46:A2444,'Data Source 1_customer readings'!J46:J2444)</f>
        <v>0</v>
      </c>
    </row>
    <row r="47" spans="1:8" x14ac:dyDescent="0.2">
      <c r="A47" s="2" t="s">
        <v>100</v>
      </c>
      <c r="B47" s="2">
        <v>1</v>
      </c>
      <c r="C47" s="2">
        <v>3</v>
      </c>
      <c r="D47" s="2">
        <v>2020</v>
      </c>
      <c r="E47" s="1" t="s">
        <v>94</v>
      </c>
      <c r="F47" s="2">
        <v>152.52000000000001</v>
      </c>
      <c r="H47" s="1" t="b">
        <f>_xlfn.XLOOKUP('Data Source 1_customer readings'!A47,'Data Source 1_customer readings'!A47:A2445,'Data Source 1_customer readings'!J47:J2445)</f>
        <v>0</v>
      </c>
    </row>
    <row r="48" spans="1:8" x14ac:dyDescent="0.2">
      <c r="A48" s="2" t="s">
        <v>100</v>
      </c>
      <c r="B48" s="2">
        <v>1</v>
      </c>
      <c r="C48" s="2">
        <v>10</v>
      </c>
      <c r="D48" s="2">
        <v>2020</v>
      </c>
      <c r="E48" s="1" t="s">
        <v>94</v>
      </c>
      <c r="F48" s="2">
        <v>150.66</v>
      </c>
      <c r="H48" s="1">
        <f>_xlfn.XLOOKUP('Data Source 1_customer readings'!A48,'Data Source 1_customer readings'!A48:A2446,'Data Source 1_customer readings'!J48:J2446)</f>
        <v>0</v>
      </c>
    </row>
    <row r="49" spans="1:8" x14ac:dyDescent="0.2">
      <c r="A49" s="2" t="s">
        <v>28</v>
      </c>
      <c r="B49" s="2">
        <v>5</v>
      </c>
      <c r="C49" s="2">
        <v>7</v>
      </c>
      <c r="D49" s="2">
        <v>2020</v>
      </c>
      <c r="E49" s="1" t="s">
        <v>94</v>
      </c>
      <c r="F49" s="2">
        <v>148.80000000000001</v>
      </c>
      <c r="H49" s="1">
        <f>_xlfn.XLOOKUP('Data Source 1_customer readings'!A49,'Data Source 1_customer readings'!A49:A2447,'Data Source 1_customer readings'!J49:J2447)</f>
        <v>0</v>
      </c>
    </row>
    <row r="50" spans="1:8" x14ac:dyDescent="0.2">
      <c r="A50" s="2" t="s">
        <v>1</v>
      </c>
      <c r="B50" s="2">
        <v>21</v>
      </c>
      <c r="C50" s="2">
        <v>12</v>
      </c>
      <c r="D50" s="2">
        <v>2020</v>
      </c>
      <c r="E50" s="1" t="s">
        <v>94</v>
      </c>
      <c r="F50" s="2">
        <v>148.80000000000001</v>
      </c>
      <c r="H50" s="1">
        <f>_xlfn.XLOOKUP('Data Source 1_customer readings'!A50,'Data Source 1_customer readings'!A50:A2448,'Data Source 1_customer readings'!J50:J2448)</f>
        <v>0</v>
      </c>
    </row>
    <row r="51" spans="1:8" x14ac:dyDescent="0.2">
      <c r="A51" s="2" t="s">
        <v>29</v>
      </c>
      <c r="B51" s="2">
        <v>20</v>
      </c>
      <c r="C51" s="2">
        <v>5</v>
      </c>
      <c r="D51" s="2">
        <v>2020</v>
      </c>
      <c r="E51" s="1" t="s">
        <v>94</v>
      </c>
      <c r="F51" s="2">
        <v>146.63</v>
      </c>
      <c r="H51" s="1" t="b">
        <f>_xlfn.XLOOKUP('Data Source 1_customer readings'!A51,'Data Source 1_customer readings'!A51:A2449,'Data Source 1_customer readings'!J51:J2449)</f>
        <v>0</v>
      </c>
    </row>
    <row r="52" spans="1:8" x14ac:dyDescent="0.2">
      <c r="A52" s="2" t="s">
        <v>98</v>
      </c>
      <c r="B52" s="2">
        <v>21</v>
      </c>
      <c r="C52" s="2">
        <v>2</v>
      </c>
      <c r="D52" s="2">
        <v>2020</v>
      </c>
      <c r="E52" s="1" t="s">
        <v>94</v>
      </c>
      <c r="F52" s="2">
        <v>145.88</v>
      </c>
      <c r="H52" s="1">
        <f>_xlfn.XLOOKUP('Data Source 1_customer readings'!A52,'Data Source 1_customer readings'!A52:A2450,'Data Source 1_customer readings'!J52:J2450)</f>
        <v>0</v>
      </c>
    </row>
    <row r="53" spans="1:8" x14ac:dyDescent="0.2">
      <c r="A53" s="2" t="s">
        <v>97</v>
      </c>
      <c r="B53" s="2">
        <v>12</v>
      </c>
      <c r="C53" s="2">
        <v>11</v>
      </c>
      <c r="D53" s="2">
        <v>2020</v>
      </c>
      <c r="E53" s="1" t="s">
        <v>94</v>
      </c>
      <c r="F53" s="2">
        <v>145.80000000000001</v>
      </c>
      <c r="H53" s="1">
        <f>_xlfn.XLOOKUP('Data Source 1_customer readings'!A53,'Data Source 1_customer readings'!A53:A2451,'Data Source 1_customer readings'!J53:J2451)</f>
        <v>0</v>
      </c>
    </row>
    <row r="54" spans="1:8" x14ac:dyDescent="0.2">
      <c r="A54" s="2" t="s">
        <v>8</v>
      </c>
      <c r="B54" s="2">
        <v>5</v>
      </c>
      <c r="C54" s="2">
        <v>10</v>
      </c>
      <c r="D54" s="2">
        <v>2020</v>
      </c>
      <c r="E54" s="1" t="s">
        <v>94</v>
      </c>
      <c r="F54" s="2">
        <v>144.46</v>
      </c>
      <c r="H54" s="1">
        <f>_xlfn.XLOOKUP('Data Source 1_customer readings'!A54,'Data Source 1_customer readings'!A54:A2452,'Data Source 1_customer readings'!J54:J2452)</f>
        <v>0</v>
      </c>
    </row>
    <row r="55" spans="1:8" x14ac:dyDescent="0.2">
      <c r="A55" s="2" t="s">
        <v>30</v>
      </c>
      <c r="B55" s="2">
        <v>2</v>
      </c>
      <c r="C55" s="2">
        <v>7</v>
      </c>
      <c r="D55" s="2">
        <v>2020</v>
      </c>
      <c r="E55" s="1" t="s">
        <v>94</v>
      </c>
      <c r="F55" s="2">
        <v>142.91</v>
      </c>
      <c r="H55" s="1">
        <f>_xlfn.XLOOKUP('Data Source 1_customer readings'!A55,'Data Source 1_customer readings'!A55:A2453,'Data Source 1_customer readings'!J55:J2453)</f>
        <v>0</v>
      </c>
    </row>
    <row r="56" spans="1:8" x14ac:dyDescent="0.2">
      <c r="A56" s="2" t="s">
        <v>98</v>
      </c>
      <c r="B56" s="2">
        <v>21</v>
      </c>
      <c r="C56" s="2">
        <v>3</v>
      </c>
      <c r="D56" s="2">
        <v>2020</v>
      </c>
      <c r="E56" s="1" t="s">
        <v>94</v>
      </c>
      <c r="F56" s="2">
        <v>141.97999999999999</v>
      </c>
      <c r="H56" s="1">
        <f>_xlfn.XLOOKUP('Data Source 1_customer readings'!A56,'Data Source 1_customer readings'!A56:A2454,'Data Source 1_customer readings'!J56:J2454)</f>
        <v>0</v>
      </c>
    </row>
    <row r="57" spans="1:8" x14ac:dyDescent="0.2">
      <c r="A57" s="2" t="s">
        <v>99</v>
      </c>
      <c r="B57" s="2">
        <v>10</v>
      </c>
      <c r="C57" s="2">
        <v>4</v>
      </c>
      <c r="D57" s="2">
        <v>2020</v>
      </c>
      <c r="E57" s="1" t="s">
        <v>94</v>
      </c>
      <c r="F57" s="2">
        <v>139.5</v>
      </c>
      <c r="H57" s="1">
        <f>_xlfn.XLOOKUP('Data Source 1_customer readings'!A57,'Data Source 1_customer readings'!A57:A2455,'Data Source 1_customer readings'!J57:J2455)</f>
        <v>0</v>
      </c>
    </row>
    <row r="58" spans="1:8" x14ac:dyDescent="0.2">
      <c r="A58" s="2" t="s">
        <v>30</v>
      </c>
      <c r="B58" s="2">
        <v>2</v>
      </c>
      <c r="C58" s="2">
        <v>6</v>
      </c>
      <c r="D58" s="2">
        <v>2020</v>
      </c>
      <c r="E58" s="1" t="s">
        <v>94</v>
      </c>
      <c r="F58" s="2">
        <v>139.19999999999999</v>
      </c>
      <c r="H58" s="1" t="b">
        <f>_xlfn.XLOOKUP('Data Source 1_customer readings'!A58,'Data Source 1_customer readings'!A58:A2456,'Data Source 1_customer readings'!J58:J2456)</f>
        <v>0</v>
      </c>
    </row>
    <row r="59" spans="1:8" x14ac:dyDescent="0.2">
      <c r="A59" s="2" t="s">
        <v>98</v>
      </c>
      <c r="B59" s="2">
        <v>21</v>
      </c>
      <c r="C59" s="2">
        <v>4</v>
      </c>
      <c r="D59" s="2">
        <v>2020</v>
      </c>
      <c r="E59" s="1" t="s">
        <v>94</v>
      </c>
      <c r="F59" s="2">
        <v>137.4</v>
      </c>
      <c r="H59" s="1">
        <f>_xlfn.XLOOKUP('Data Source 1_customer readings'!A59,'Data Source 1_customer readings'!A59:A2457,'Data Source 1_customer readings'!J59:J2457)</f>
        <v>0</v>
      </c>
    </row>
    <row r="60" spans="1:8" x14ac:dyDescent="0.2">
      <c r="A60" s="2" t="s">
        <v>97</v>
      </c>
      <c r="B60" s="2">
        <v>12</v>
      </c>
      <c r="C60" s="2">
        <v>3</v>
      </c>
      <c r="D60" s="2">
        <v>2020</v>
      </c>
      <c r="E60" s="1" t="s">
        <v>94</v>
      </c>
      <c r="F60" s="2">
        <v>136.09</v>
      </c>
      <c r="H60" s="1">
        <f>_xlfn.XLOOKUP('Data Source 1_customer readings'!A60,'Data Source 1_customer readings'!A60:A2458,'Data Source 1_customer readings'!J60:J2458)</f>
        <v>0</v>
      </c>
    </row>
    <row r="61" spans="1:8" x14ac:dyDescent="0.2">
      <c r="A61" s="2" t="s">
        <v>29</v>
      </c>
      <c r="B61" s="2">
        <v>20</v>
      </c>
      <c r="C61" s="2">
        <v>8</v>
      </c>
      <c r="D61" s="2">
        <v>2020</v>
      </c>
      <c r="E61" s="1" t="s">
        <v>94</v>
      </c>
      <c r="F61" s="2">
        <v>136.09</v>
      </c>
      <c r="H61" s="1">
        <f>_xlfn.XLOOKUP('Data Source 1_customer readings'!A61,'Data Source 1_customer readings'!A61:A2459,'Data Source 1_customer readings'!J61:J2459)</f>
        <v>0</v>
      </c>
    </row>
    <row r="62" spans="1:8" x14ac:dyDescent="0.2">
      <c r="A62" s="2" t="s">
        <v>24</v>
      </c>
      <c r="B62" s="2">
        <v>22</v>
      </c>
      <c r="C62" s="2">
        <v>9</v>
      </c>
      <c r="D62" s="2">
        <v>2020</v>
      </c>
      <c r="E62" s="1" t="s">
        <v>94</v>
      </c>
      <c r="F62" s="2">
        <v>135.6</v>
      </c>
      <c r="H62" s="1">
        <f>_xlfn.XLOOKUP('Data Source 1_customer readings'!A62,'Data Source 1_customer readings'!A62:A2460,'Data Source 1_customer readings'!J62:J2460)</f>
        <v>0</v>
      </c>
    </row>
    <row r="63" spans="1:8" x14ac:dyDescent="0.2">
      <c r="A63" s="2" t="s">
        <v>29</v>
      </c>
      <c r="B63" s="2">
        <v>20</v>
      </c>
      <c r="C63" s="2">
        <v>7</v>
      </c>
      <c r="D63" s="2">
        <v>2020</v>
      </c>
      <c r="E63" s="1" t="s">
        <v>94</v>
      </c>
      <c r="F63" s="2">
        <v>135.16</v>
      </c>
      <c r="H63" s="1">
        <f>_xlfn.XLOOKUP('Data Source 1_customer readings'!A63,'Data Source 1_customer readings'!A63:A2461,'Data Source 1_customer readings'!J63:J2461)</f>
        <v>0</v>
      </c>
    </row>
    <row r="64" spans="1:8" x14ac:dyDescent="0.2">
      <c r="A64" s="2" t="s">
        <v>10</v>
      </c>
      <c r="B64" s="2">
        <v>18</v>
      </c>
      <c r="C64" s="2">
        <v>4</v>
      </c>
      <c r="D64" s="2">
        <v>2020</v>
      </c>
      <c r="E64" s="1" t="s">
        <v>94</v>
      </c>
      <c r="F64" s="2">
        <v>135</v>
      </c>
      <c r="H64" s="1">
        <f>_xlfn.XLOOKUP('Data Source 1_customer readings'!A64,'Data Source 1_customer readings'!A64:A2462,'Data Source 1_customer readings'!J64:J2462)</f>
        <v>0</v>
      </c>
    </row>
    <row r="65" spans="1:8" x14ac:dyDescent="0.2">
      <c r="A65" s="2" t="s">
        <v>22</v>
      </c>
      <c r="B65" s="2">
        <v>22</v>
      </c>
      <c r="C65" s="2">
        <v>5</v>
      </c>
      <c r="D65" s="2">
        <v>2020</v>
      </c>
      <c r="E65" s="1" t="s">
        <v>94</v>
      </c>
      <c r="F65" s="2">
        <v>134.85</v>
      </c>
      <c r="H65" s="1">
        <f>_xlfn.XLOOKUP('Data Source 1_customer readings'!A65,'Data Source 1_customer readings'!A65:A2463,'Data Source 1_customer readings'!J65:J2463)</f>
        <v>0</v>
      </c>
    </row>
    <row r="66" spans="1:8" x14ac:dyDescent="0.2">
      <c r="A66" s="2" t="s">
        <v>1</v>
      </c>
      <c r="B66" s="2">
        <v>21</v>
      </c>
      <c r="C66" s="2">
        <v>4</v>
      </c>
      <c r="D66" s="2">
        <v>2020</v>
      </c>
      <c r="E66" s="1" t="s">
        <v>94</v>
      </c>
      <c r="F66" s="2">
        <v>134.4</v>
      </c>
      <c r="H66" s="1" t="b">
        <f>_xlfn.XLOOKUP('Data Source 1_customer readings'!A66,'Data Source 1_customer readings'!A66:A2464,'Data Source 1_customer readings'!J66:J2464)</f>
        <v>0</v>
      </c>
    </row>
    <row r="67" spans="1:8" x14ac:dyDescent="0.2">
      <c r="A67" s="2" t="s">
        <v>5</v>
      </c>
      <c r="B67" s="2">
        <v>7</v>
      </c>
      <c r="C67" s="2">
        <v>11</v>
      </c>
      <c r="D67" s="2">
        <v>2020</v>
      </c>
      <c r="E67" s="1" t="s">
        <v>94</v>
      </c>
      <c r="F67" s="2">
        <v>132.30000000000001</v>
      </c>
      <c r="H67" s="1">
        <f>_xlfn.XLOOKUP('Data Source 1_customer readings'!A67,'Data Source 1_customer readings'!A67:A2465,'Data Source 1_customer readings'!J67:J2465)</f>
        <v>0</v>
      </c>
    </row>
    <row r="68" spans="1:8" x14ac:dyDescent="0.2">
      <c r="A68" s="2" t="s">
        <v>19</v>
      </c>
      <c r="B68" s="2">
        <v>24</v>
      </c>
      <c r="C68" s="2">
        <v>8</v>
      </c>
      <c r="D68" s="2">
        <v>2020</v>
      </c>
      <c r="E68" s="1" t="s">
        <v>94</v>
      </c>
      <c r="F68" s="2">
        <v>131.13</v>
      </c>
      <c r="H68" s="1">
        <f>_xlfn.XLOOKUP('Data Source 1_customer readings'!A68,'Data Source 1_customer readings'!A68:A2466,'Data Source 1_customer readings'!J68:J2466)</f>
        <v>0</v>
      </c>
    </row>
    <row r="69" spans="1:8" x14ac:dyDescent="0.2">
      <c r="A69" s="2" t="s">
        <v>97</v>
      </c>
      <c r="B69" s="2">
        <v>12</v>
      </c>
      <c r="C69" s="2">
        <v>10</v>
      </c>
      <c r="D69" s="2">
        <v>2020</v>
      </c>
      <c r="E69" s="1" t="s">
        <v>94</v>
      </c>
      <c r="F69" s="2">
        <v>130.82</v>
      </c>
      <c r="H69" s="1">
        <f>_xlfn.XLOOKUP('Data Source 1_customer readings'!A69,'Data Source 1_customer readings'!A69:A2467,'Data Source 1_customer readings'!J69:J2467)</f>
        <v>0</v>
      </c>
    </row>
    <row r="70" spans="1:8" x14ac:dyDescent="0.2">
      <c r="A70" s="2" t="s">
        <v>100</v>
      </c>
      <c r="B70" s="2">
        <v>1</v>
      </c>
      <c r="C70" s="2">
        <v>9</v>
      </c>
      <c r="D70" s="2">
        <v>2020</v>
      </c>
      <c r="E70" s="1" t="s">
        <v>94</v>
      </c>
      <c r="F70" s="2">
        <v>130.80000000000001</v>
      </c>
      <c r="H70" s="1">
        <f>_xlfn.XLOOKUP('Data Source 1_customer readings'!A70,'Data Source 1_customer readings'!A70:A2468,'Data Source 1_customer readings'!J70:J2468)</f>
        <v>0</v>
      </c>
    </row>
    <row r="71" spans="1:8" x14ac:dyDescent="0.2">
      <c r="A71" s="2" t="s">
        <v>97</v>
      </c>
      <c r="B71" s="2">
        <v>12</v>
      </c>
      <c r="C71" s="2">
        <v>2</v>
      </c>
      <c r="D71" s="2">
        <v>2020</v>
      </c>
      <c r="E71" s="1" t="s">
        <v>94</v>
      </c>
      <c r="F71" s="2">
        <v>130.19999999999999</v>
      </c>
      <c r="H71" s="1">
        <f>_xlfn.XLOOKUP('Data Source 1_customer readings'!A71,'Data Source 1_customer readings'!A71:A2469,'Data Source 1_customer readings'!J71:J2469)</f>
        <v>0</v>
      </c>
    </row>
    <row r="72" spans="1:8" x14ac:dyDescent="0.2">
      <c r="A72" s="2" t="s">
        <v>100</v>
      </c>
      <c r="B72" s="2">
        <v>1</v>
      </c>
      <c r="C72" s="2">
        <v>7</v>
      </c>
      <c r="D72" s="2">
        <v>2020</v>
      </c>
      <c r="E72" s="1" t="s">
        <v>94</v>
      </c>
      <c r="F72" s="2">
        <v>128.34</v>
      </c>
      <c r="H72" s="1">
        <f>_xlfn.XLOOKUP('Data Source 1_customer readings'!A72,'Data Source 1_customer readings'!A72:A2470,'Data Source 1_customer readings'!J72:J2470)</f>
        <v>0</v>
      </c>
    </row>
    <row r="73" spans="1:8" x14ac:dyDescent="0.2">
      <c r="A73" s="2" t="s">
        <v>6</v>
      </c>
      <c r="B73" s="2">
        <v>7</v>
      </c>
      <c r="C73" s="2">
        <v>4</v>
      </c>
      <c r="D73" s="2">
        <v>2020</v>
      </c>
      <c r="E73" s="1" t="s">
        <v>94</v>
      </c>
      <c r="F73" s="2">
        <v>125.7</v>
      </c>
      <c r="H73" s="1">
        <f>_xlfn.XLOOKUP('Data Source 1_customer readings'!A73,'Data Source 1_customer readings'!A73:A2471,'Data Source 1_customer readings'!J73:J2471)</f>
        <v>0</v>
      </c>
    </row>
    <row r="74" spans="1:8" x14ac:dyDescent="0.2">
      <c r="A74" s="2" t="s">
        <v>98</v>
      </c>
      <c r="B74" s="2">
        <v>21</v>
      </c>
      <c r="C74" s="2">
        <v>10</v>
      </c>
      <c r="D74" s="2">
        <v>2020</v>
      </c>
      <c r="E74" s="1" t="s">
        <v>94</v>
      </c>
      <c r="F74" s="2">
        <v>125.55</v>
      </c>
      <c r="H74" s="1">
        <f>_xlfn.XLOOKUP('Data Source 1_customer readings'!A74,'Data Source 1_customer readings'!A74:A2472,'Data Source 1_customer readings'!J74:J2472)</f>
        <v>0</v>
      </c>
    </row>
    <row r="75" spans="1:8" x14ac:dyDescent="0.2">
      <c r="A75" s="2" t="s">
        <v>15</v>
      </c>
      <c r="B75" s="2">
        <v>5</v>
      </c>
      <c r="C75" s="2">
        <v>8</v>
      </c>
      <c r="D75" s="2">
        <v>2020</v>
      </c>
      <c r="E75" s="1" t="s">
        <v>94</v>
      </c>
      <c r="F75" s="2">
        <v>124.93</v>
      </c>
      <c r="H75" s="1">
        <f>_xlfn.XLOOKUP('Data Source 1_customer readings'!A75,'Data Source 1_customer readings'!A75:A2473,'Data Source 1_customer readings'!J75:J2473)</f>
        <v>0</v>
      </c>
    </row>
    <row r="76" spans="1:8" x14ac:dyDescent="0.2">
      <c r="A76" s="2" t="s">
        <v>99</v>
      </c>
      <c r="B76" s="2">
        <v>10</v>
      </c>
      <c r="C76" s="2">
        <v>5</v>
      </c>
      <c r="D76" s="2">
        <v>2020</v>
      </c>
      <c r="E76" s="1" t="s">
        <v>94</v>
      </c>
      <c r="F76" s="2">
        <v>124.62</v>
      </c>
      <c r="H76" s="1">
        <f>_xlfn.XLOOKUP('Data Source 1_customer readings'!A76,'Data Source 1_customer readings'!A76:A2474,'Data Source 1_customer readings'!J76:J2474)</f>
        <v>0</v>
      </c>
    </row>
    <row r="77" spans="1:8" x14ac:dyDescent="0.2">
      <c r="A77" s="2" t="s">
        <v>98</v>
      </c>
      <c r="B77" s="2">
        <v>21</v>
      </c>
      <c r="C77" s="2">
        <v>9</v>
      </c>
      <c r="D77" s="2">
        <v>2020</v>
      </c>
      <c r="E77" s="1" t="s">
        <v>94</v>
      </c>
      <c r="F77" s="2">
        <v>122.7</v>
      </c>
      <c r="H77" s="1">
        <f>_xlfn.XLOOKUP('Data Source 1_customer readings'!A77,'Data Source 1_customer readings'!A77:A2475,'Data Source 1_customer readings'!J77:J2475)</f>
        <v>0</v>
      </c>
    </row>
    <row r="78" spans="1:8" x14ac:dyDescent="0.2">
      <c r="A78" s="2" t="s">
        <v>21</v>
      </c>
      <c r="B78" s="2">
        <v>15</v>
      </c>
      <c r="C78" s="2">
        <v>5</v>
      </c>
      <c r="D78" s="2">
        <v>2020</v>
      </c>
      <c r="E78" s="1" t="s">
        <v>94</v>
      </c>
      <c r="F78" s="2">
        <v>122.14</v>
      </c>
      <c r="H78" s="1">
        <f>_xlfn.XLOOKUP('Data Source 1_customer readings'!A78,'Data Source 1_customer readings'!A78:A2476,'Data Source 1_customer readings'!J78:J2476)</f>
        <v>0</v>
      </c>
    </row>
    <row r="79" spans="1:8" x14ac:dyDescent="0.2">
      <c r="A79" s="2" t="s">
        <v>100</v>
      </c>
      <c r="B79" s="2">
        <v>1</v>
      </c>
      <c r="C79" s="2">
        <v>5</v>
      </c>
      <c r="D79" s="2">
        <v>2020</v>
      </c>
      <c r="E79" s="1" t="s">
        <v>94</v>
      </c>
      <c r="F79" s="2">
        <v>121.83</v>
      </c>
      <c r="H79" s="1">
        <f>_xlfn.XLOOKUP('Data Source 1_customer readings'!A79,'Data Source 1_customer readings'!A79:A2477,'Data Source 1_customer readings'!J79:J2477)</f>
        <v>0</v>
      </c>
    </row>
    <row r="80" spans="1:8" x14ac:dyDescent="0.2">
      <c r="A80" s="2" t="s">
        <v>18</v>
      </c>
      <c r="B80" s="2">
        <v>5</v>
      </c>
      <c r="C80" s="2">
        <v>8</v>
      </c>
      <c r="D80" s="2">
        <v>2020</v>
      </c>
      <c r="E80" s="1" t="s">
        <v>94</v>
      </c>
      <c r="F80" s="2">
        <v>121.83</v>
      </c>
      <c r="H80" s="1">
        <f>_xlfn.XLOOKUP('Data Source 1_customer readings'!A80,'Data Source 1_customer readings'!A80:A2478,'Data Source 1_customer readings'!J80:J2478)</f>
        <v>0</v>
      </c>
    </row>
    <row r="81" spans="1:8" x14ac:dyDescent="0.2">
      <c r="A81" s="2" t="s">
        <v>97</v>
      </c>
      <c r="B81" s="2">
        <v>12</v>
      </c>
      <c r="C81" s="2">
        <v>4</v>
      </c>
      <c r="D81" s="2">
        <v>2020</v>
      </c>
      <c r="E81" s="1" t="s">
        <v>94</v>
      </c>
      <c r="F81" s="2">
        <v>120</v>
      </c>
      <c r="H81" s="1">
        <f>_xlfn.XLOOKUP('Data Source 1_customer readings'!A81,'Data Source 1_customer readings'!A81:A2479,'Data Source 1_customer readings'!J81:J2479)</f>
        <v>0</v>
      </c>
    </row>
    <row r="82" spans="1:8" x14ac:dyDescent="0.2">
      <c r="A82" s="2" t="s">
        <v>99</v>
      </c>
      <c r="B82" s="2">
        <v>10</v>
      </c>
      <c r="C82" s="2">
        <v>9</v>
      </c>
      <c r="D82" s="2">
        <v>2020</v>
      </c>
      <c r="E82" s="1" t="s">
        <v>94</v>
      </c>
      <c r="F82" s="2">
        <v>119.7</v>
      </c>
      <c r="H82" s="1">
        <f>_xlfn.XLOOKUP('Data Source 1_customer readings'!A82,'Data Source 1_customer readings'!A82:A2480,'Data Source 1_customer readings'!J82:J2480)</f>
        <v>0</v>
      </c>
    </row>
    <row r="83" spans="1:8" x14ac:dyDescent="0.2">
      <c r="A83" s="2" t="s">
        <v>99</v>
      </c>
      <c r="B83" s="2">
        <v>10</v>
      </c>
      <c r="C83" s="2">
        <v>7</v>
      </c>
      <c r="D83" s="2">
        <v>2020</v>
      </c>
      <c r="E83" s="1" t="s">
        <v>94</v>
      </c>
      <c r="F83" s="2">
        <v>119.66</v>
      </c>
      <c r="H83" s="1">
        <f>_xlfn.XLOOKUP('Data Source 1_customer readings'!A83,'Data Source 1_customer readings'!A83:A2481,'Data Source 1_customer readings'!J83:J2481)</f>
        <v>0</v>
      </c>
    </row>
    <row r="84" spans="1:8" x14ac:dyDescent="0.2">
      <c r="A84" s="2" t="s">
        <v>99</v>
      </c>
      <c r="B84" s="2">
        <v>10</v>
      </c>
      <c r="C84" s="2">
        <v>6</v>
      </c>
      <c r="D84" s="2">
        <v>2020</v>
      </c>
      <c r="E84" s="1" t="s">
        <v>94</v>
      </c>
      <c r="F84" s="2">
        <v>118.8</v>
      </c>
      <c r="H84" s="1" t="b">
        <f>_xlfn.XLOOKUP('Data Source 1_customer readings'!A84,'Data Source 1_customer readings'!A84:A2482,'Data Source 1_customer readings'!J84:J2482)</f>
        <v>0</v>
      </c>
    </row>
    <row r="85" spans="1:8" x14ac:dyDescent="0.2">
      <c r="A85" s="2" t="s">
        <v>99</v>
      </c>
      <c r="B85" s="2">
        <v>10</v>
      </c>
      <c r="C85" s="2">
        <v>8</v>
      </c>
      <c r="D85" s="2">
        <v>2020</v>
      </c>
      <c r="E85" s="1" t="s">
        <v>94</v>
      </c>
      <c r="F85" s="2">
        <v>118.11</v>
      </c>
      <c r="H85" s="1">
        <f>_xlfn.XLOOKUP('Data Source 1_customer readings'!A85,'Data Source 1_customer readings'!A85:A2483,'Data Source 1_customer readings'!J85:J2483)</f>
        <v>0</v>
      </c>
    </row>
    <row r="86" spans="1:8" x14ac:dyDescent="0.2">
      <c r="A86" s="2" t="s">
        <v>23</v>
      </c>
      <c r="B86" s="2">
        <v>5</v>
      </c>
      <c r="C86" s="2">
        <v>9</v>
      </c>
      <c r="D86" s="2">
        <v>2020</v>
      </c>
      <c r="E86" s="1" t="s">
        <v>94</v>
      </c>
      <c r="F86" s="2">
        <v>115.5</v>
      </c>
      <c r="H86" s="1">
        <f>_xlfn.XLOOKUP('Data Source 1_customer readings'!A86,'Data Source 1_customer readings'!A86:A2484,'Data Source 1_customer readings'!J86:J2484)</f>
        <v>0</v>
      </c>
    </row>
    <row r="87" spans="1:8" x14ac:dyDescent="0.2">
      <c r="A87" s="2" t="s">
        <v>8</v>
      </c>
      <c r="B87" s="2">
        <v>5</v>
      </c>
      <c r="C87" s="2">
        <v>5</v>
      </c>
      <c r="D87" s="2">
        <v>2020</v>
      </c>
      <c r="E87" s="1" t="s">
        <v>94</v>
      </c>
      <c r="F87" s="2">
        <v>114.39</v>
      </c>
      <c r="H87" s="1" t="b">
        <f>_xlfn.XLOOKUP('Data Source 1_customer readings'!A87,'Data Source 1_customer readings'!A87:A2485,'Data Source 1_customer readings'!J87:J2485)</f>
        <v>0</v>
      </c>
    </row>
    <row r="88" spans="1:8" x14ac:dyDescent="0.2">
      <c r="A88" s="2" t="s">
        <v>98</v>
      </c>
      <c r="B88" s="2">
        <v>21</v>
      </c>
      <c r="C88" s="2">
        <v>6</v>
      </c>
      <c r="D88" s="2">
        <v>2020</v>
      </c>
      <c r="E88" s="1" t="s">
        <v>94</v>
      </c>
      <c r="F88" s="2">
        <v>114.3</v>
      </c>
      <c r="H88" s="1">
        <f>_xlfn.XLOOKUP('Data Source 1_customer readings'!A88,'Data Source 1_customer readings'!A88:A2486,'Data Source 1_customer readings'!J88:J2486)</f>
        <v>0</v>
      </c>
    </row>
    <row r="89" spans="1:8" x14ac:dyDescent="0.2">
      <c r="A89" s="2" t="s">
        <v>21</v>
      </c>
      <c r="B89" s="2">
        <v>15</v>
      </c>
      <c r="C89" s="2">
        <v>7</v>
      </c>
      <c r="D89" s="2">
        <v>2020</v>
      </c>
      <c r="E89" s="1" t="s">
        <v>94</v>
      </c>
      <c r="F89" s="2">
        <v>114.08</v>
      </c>
      <c r="H89" s="1">
        <f>_xlfn.XLOOKUP('Data Source 1_customer readings'!A89,'Data Source 1_customer readings'!A89:A2487,'Data Source 1_customer readings'!J89:J2487)</f>
        <v>0</v>
      </c>
    </row>
    <row r="90" spans="1:8" x14ac:dyDescent="0.2">
      <c r="A90" s="2" t="s">
        <v>20</v>
      </c>
      <c r="B90" s="2">
        <v>12</v>
      </c>
      <c r="C90" s="2">
        <v>7</v>
      </c>
      <c r="D90" s="2">
        <v>2020</v>
      </c>
      <c r="E90" s="1" t="s">
        <v>94</v>
      </c>
      <c r="F90" s="2">
        <v>113.77</v>
      </c>
      <c r="H90" s="1">
        <f>_xlfn.XLOOKUP('Data Source 1_customer readings'!A90,'Data Source 1_customer readings'!A90:A2488,'Data Source 1_customer readings'!J90:J2488)</f>
        <v>0</v>
      </c>
    </row>
    <row r="91" spans="1:8" x14ac:dyDescent="0.2">
      <c r="A91" s="2" t="s">
        <v>97</v>
      </c>
      <c r="B91" s="2">
        <v>12</v>
      </c>
      <c r="C91" s="2">
        <v>5</v>
      </c>
      <c r="D91" s="2">
        <v>2020</v>
      </c>
      <c r="E91" s="1" t="s">
        <v>94</v>
      </c>
      <c r="F91" s="2">
        <v>112.84</v>
      </c>
      <c r="H91" s="1">
        <f>_xlfn.XLOOKUP('Data Source 1_customer readings'!A91,'Data Source 1_customer readings'!A91:A2489,'Data Source 1_customer readings'!J91:J2489)</f>
        <v>0</v>
      </c>
    </row>
    <row r="92" spans="1:8" x14ac:dyDescent="0.2">
      <c r="A92" s="2" t="s">
        <v>97</v>
      </c>
      <c r="B92" s="2">
        <v>12</v>
      </c>
      <c r="C92" s="2">
        <v>9</v>
      </c>
      <c r="D92" s="2">
        <v>2020</v>
      </c>
      <c r="E92" s="1" t="s">
        <v>94</v>
      </c>
      <c r="F92" s="2">
        <v>112.2</v>
      </c>
      <c r="H92" s="1">
        <f>_xlfn.XLOOKUP('Data Source 1_customer readings'!A92,'Data Source 1_customer readings'!A92:A2490,'Data Source 1_customer readings'!J92:J2490)</f>
        <v>0</v>
      </c>
    </row>
    <row r="93" spans="1:8" x14ac:dyDescent="0.2">
      <c r="A93" s="2" t="s">
        <v>2</v>
      </c>
      <c r="B93" s="2">
        <v>18</v>
      </c>
      <c r="C93" s="2">
        <v>5</v>
      </c>
      <c r="D93" s="2">
        <v>2020</v>
      </c>
      <c r="E93" s="1" t="s">
        <v>94</v>
      </c>
      <c r="F93" s="2">
        <v>111.6</v>
      </c>
      <c r="H93" s="1" t="b">
        <f>_xlfn.XLOOKUP('Data Source 1_customer readings'!A93,'Data Source 1_customer readings'!A93:A2491,'Data Source 1_customer readings'!J93:J2491)</f>
        <v>0</v>
      </c>
    </row>
    <row r="94" spans="1:8" x14ac:dyDescent="0.2">
      <c r="A94" s="2" t="s">
        <v>5</v>
      </c>
      <c r="B94" s="2">
        <v>7</v>
      </c>
      <c r="C94" s="2">
        <v>7</v>
      </c>
      <c r="D94" s="2">
        <v>2020</v>
      </c>
      <c r="E94" s="1" t="s">
        <v>94</v>
      </c>
      <c r="F94" s="2">
        <v>111.29</v>
      </c>
      <c r="H94" s="1">
        <f>_xlfn.XLOOKUP('Data Source 1_customer readings'!A94,'Data Source 1_customer readings'!A94:A2492,'Data Source 1_customer readings'!J94:J2492)</f>
        <v>0</v>
      </c>
    </row>
    <row r="95" spans="1:8" x14ac:dyDescent="0.2">
      <c r="A95" s="2" t="s">
        <v>97</v>
      </c>
      <c r="B95" s="2">
        <v>12</v>
      </c>
      <c r="C95" s="2">
        <v>7</v>
      </c>
      <c r="D95" s="2">
        <v>2020</v>
      </c>
      <c r="E95" s="1" t="s">
        <v>94</v>
      </c>
      <c r="F95" s="2">
        <v>110.05</v>
      </c>
      <c r="H95" s="1">
        <f>_xlfn.XLOOKUP('Data Source 1_customer readings'!A95,'Data Source 1_customer readings'!A95:A2493,'Data Source 1_customer readings'!J95:J2493)</f>
        <v>0</v>
      </c>
    </row>
    <row r="96" spans="1:8" x14ac:dyDescent="0.2">
      <c r="A96" s="2" t="s">
        <v>100</v>
      </c>
      <c r="B96" s="2">
        <v>1</v>
      </c>
      <c r="C96" s="2">
        <v>8</v>
      </c>
      <c r="D96" s="2">
        <v>2020</v>
      </c>
      <c r="E96" s="1" t="s">
        <v>94</v>
      </c>
      <c r="F96" s="2">
        <v>109.74</v>
      </c>
      <c r="H96" s="1">
        <f>_xlfn.XLOOKUP('Data Source 1_customer readings'!A96,'Data Source 1_customer readings'!A96:A2494,'Data Source 1_customer readings'!J96:J2494)</f>
        <v>0</v>
      </c>
    </row>
    <row r="97" spans="1:8" x14ac:dyDescent="0.2">
      <c r="A97" s="2" t="s">
        <v>97</v>
      </c>
      <c r="B97" s="2">
        <v>12</v>
      </c>
      <c r="C97" s="2">
        <v>8</v>
      </c>
      <c r="D97" s="2">
        <v>2020</v>
      </c>
      <c r="E97" s="1" t="s">
        <v>94</v>
      </c>
      <c r="F97" s="2">
        <v>108.81</v>
      </c>
      <c r="H97" s="1">
        <f>_xlfn.XLOOKUP('Data Source 1_customer readings'!A97,'Data Source 1_customer readings'!A97:A2495,'Data Source 1_customer readings'!J97:J2495)</f>
        <v>0</v>
      </c>
    </row>
    <row r="98" spans="1:8" x14ac:dyDescent="0.2">
      <c r="A98" s="2" t="s">
        <v>98</v>
      </c>
      <c r="B98" s="2">
        <v>21</v>
      </c>
      <c r="C98" s="2">
        <v>5</v>
      </c>
      <c r="D98" s="2">
        <v>2020</v>
      </c>
      <c r="E98" s="1" t="s">
        <v>94</v>
      </c>
      <c r="F98" s="2">
        <v>108.5</v>
      </c>
      <c r="H98" s="1">
        <f>_xlfn.XLOOKUP('Data Source 1_customer readings'!A98,'Data Source 1_customer readings'!A98:A2496,'Data Source 1_customer readings'!J98:J2496)</f>
        <v>0</v>
      </c>
    </row>
    <row r="99" spans="1:8" x14ac:dyDescent="0.2">
      <c r="A99" s="2" t="s">
        <v>10</v>
      </c>
      <c r="B99" s="2">
        <v>18</v>
      </c>
      <c r="C99" s="2">
        <v>9</v>
      </c>
      <c r="D99" s="2">
        <v>2020</v>
      </c>
      <c r="E99" s="1" t="s">
        <v>94</v>
      </c>
      <c r="F99" s="2">
        <v>105</v>
      </c>
      <c r="H99" s="1">
        <f>_xlfn.XLOOKUP('Data Source 1_customer readings'!A99,'Data Source 1_customer readings'!A99:A2497,'Data Source 1_customer readings'!J99:J2497)</f>
        <v>0</v>
      </c>
    </row>
    <row r="100" spans="1:8" x14ac:dyDescent="0.2">
      <c r="A100" s="2" t="s">
        <v>4</v>
      </c>
      <c r="B100" s="2">
        <v>1</v>
      </c>
      <c r="C100" s="2">
        <v>7</v>
      </c>
      <c r="D100" s="2">
        <v>2020</v>
      </c>
      <c r="E100" s="1" t="s">
        <v>94</v>
      </c>
      <c r="F100" s="2">
        <v>104.78</v>
      </c>
      <c r="H100" s="1">
        <f>_xlfn.XLOOKUP('Data Source 1_customer readings'!A100,'Data Source 1_customer readings'!A100:A2498,'Data Source 1_customer readings'!J100:J2498)</f>
        <v>0</v>
      </c>
    </row>
    <row r="101" spans="1:8" x14ac:dyDescent="0.2">
      <c r="A101" s="2" t="s">
        <v>20</v>
      </c>
      <c r="B101" s="2">
        <v>12</v>
      </c>
      <c r="C101" s="2">
        <v>6</v>
      </c>
      <c r="D101" s="2">
        <v>2020</v>
      </c>
      <c r="E101" s="1" t="s">
        <v>94</v>
      </c>
      <c r="F101" s="2">
        <v>100.8</v>
      </c>
      <c r="H101" s="1">
        <f>_xlfn.XLOOKUP('Data Source 1_customer readings'!A101,'Data Source 1_customer readings'!A101:A2499,'Data Source 1_customer readings'!J101:J2499)</f>
        <v>0</v>
      </c>
    </row>
    <row r="102" spans="1:8" x14ac:dyDescent="0.2">
      <c r="A102" s="2" t="s">
        <v>100</v>
      </c>
      <c r="B102" s="2">
        <v>1</v>
      </c>
      <c r="C102" s="2">
        <v>6</v>
      </c>
      <c r="D102" s="2">
        <v>2020</v>
      </c>
      <c r="E102" s="1" t="s">
        <v>94</v>
      </c>
      <c r="F102" s="2">
        <v>100.5</v>
      </c>
      <c r="H102" s="1">
        <f>_xlfn.XLOOKUP('Data Source 1_customer readings'!A102,'Data Source 1_customer readings'!A102:A2500,'Data Source 1_customer readings'!J102:J2500)</f>
        <v>0</v>
      </c>
    </row>
    <row r="103" spans="1:8" x14ac:dyDescent="0.2">
      <c r="A103" s="2" t="s">
        <v>97</v>
      </c>
      <c r="B103" s="2">
        <v>12</v>
      </c>
      <c r="C103" s="2">
        <v>6</v>
      </c>
      <c r="D103" s="2">
        <v>2020</v>
      </c>
      <c r="E103" s="1" t="s">
        <v>94</v>
      </c>
      <c r="F103" s="2">
        <v>97.2</v>
      </c>
      <c r="H103" s="1">
        <f>_xlfn.XLOOKUP('Data Source 1_customer readings'!A103,'Data Source 1_customer readings'!A103:A2501,'Data Source 1_customer readings'!J103:J2501)</f>
        <v>0</v>
      </c>
    </row>
    <row r="104" spans="1:8" x14ac:dyDescent="0.2">
      <c r="A104" s="2" t="s">
        <v>16</v>
      </c>
      <c r="B104" s="2">
        <v>14</v>
      </c>
      <c r="C104" s="2">
        <v>8</v>
      </c>
      <c r="D104" s="2">
        <v>2020</v>
      </c>
      <c r="E104" s="1" t="s">
        <v>94</v>
      </c>
      <c r="F104" s="2">
        <v>97.03</v>
      </c>
      <c r="H104" s="1">
        <f>_xlfn.XLOOKUP('Data Source 1_customer readings'!A104,'Data Source 1_customer readings'!A104:A2502,'Data Source 1_customer readings'!J104:J2502)</f>
        <v>0</v>
      </c>
    </row>
    <row r="105" spans="1:8" x14ac:dyDescent="0.2">
      <c r="A105" s="2" t="s">
        <v>12</v>
      </c>
      <c r="B105" s="2">
        <v>2</v>
      </c>
      <c r="C105" s="2">
        <v>7</v>
      </c>
      <c r="D105" s="2">
        <v>2020</v>
      </c>
      <c r="E105" s="1" t="s">
        <v>94</v>
      </c>
      <c r="F105" s="2">
        <v>96.1</v>
      </c>
      <c r="H105" s="1">
        <f>_xlfn.XLOOKUP('Data Source 1_customer readings'!A105,'Data Source 1_customer readings'!A105:A2503,'Data Source 1_customer readings'!J105:J2503)</f>
        <v>0</v>
      </c>
    </row>
    <row r="106" spans="1:8" x14ac:dyDescent="0.2">
      <c r="A106" s="2" t="s">
        <v>98</v>
      </c>
      <c r="B106" s="2">
        <v>21</v>
      </c>
      <c r="C106" s="2">
        <v>7</v>
      </c>
      <c r="D106" s="2">
        <v>2020</v>
      </c>
      <c r="E106" s="1" t="s">
        <v>94</v>
      </c>
      <c r="F106" s="2">
        <v>94.55</v>
      </c>
      <c r="H106" s="1" t="b">
        <f>_xlfn.XLOOKUP('Data Source 1_customer readings'!A106,'Data Source 1_customer readings'!A106:A2504,'Data Source 1_customer readings'!J106:J2504)</f>
        <v>0</v>
      </c>
    </row>
    <row r="107" spans="1:8" x14ac:dyDescent="0.2">
      <c r="A107" s="2" t="s">
        <v>5</v>
      </c>
      <c r="B107" s="2">
        <v>7</v>
      </c>
      <c r="C107" s="2">
        <v>5</v>
      </c>
      <c r="D107" s="2">
        <v>2020</v>
      </c>
      <c r="E107" s="1" t="s">
        <v>94</v>
      </c>
      <c r="F107" s="2">
        <v>93.31</v>
      </c>
      <c r="H107" s="1">
        <f>_xlfn.XLOOKUP('Data Source 1_customer readings'!A107,'Data Source 1_customer readings'!A107:A2505,'Data Source 1_customer readings'!J107:J2505)</f>
        <v>0</v>
      </c>
    </row>
    <row r="108" spans="1:8" x14ac:dyDescent="0.2">
      <c r="A108" s="2" t="s">
        <v>98</v>
      </c>
      <c r="B108" s="2">
        <v>21</v>
      </c>
      <c r="C108" s="2">
        <v>8</v>
      </c>
      <c r="D108" s="2">
        <v>2020</v>
      </c>
      <c r="E108" s="1" t="s">
        <v>94</v>
      </c>
      <c r="F108" s="2">
        <v>92.38</v>
      </c>
      <c r="H108" s="1">
        <f>_xlfn.XLOOKUP('Data Source 1_customer readings'!A108,'Data Source 1_customer readings'!A108:A2506,'Data Source 1_customer readings'!J108:J2506)</f>
        <v>0</v>
      </c>
    </row>
    <row r="109" spans="1:8" x14ac:dyDescent="0.2">
      <c r="A109" s="2" t="s">
        <v>96</v>
      </c>
      <c r="B109" s="2">
        <v>3</v>
      </c>
      <c r="C109" s="2">
        <v>5</v>
      </c>
      <c r="D109" s="2">
        <v>2020</v>
      </c>
      <c r="E109" s="1" t="s">
        <v>94</v>
      </c>
      <c r="F109" s="2">
        <v>91.45</v>
      </c>
      <c r="H109" s="1">
        <f>_xlfn.XLOOKUP('Data Source 1_customer readings'!A109,'Data Source 1_customer readings'!A109:A2507,'Data Source 1_customer readings'!J109:J2507)</f>
        <v>0</v>
      </c>
    </row>
    <row r="110" spans="1:8" x14ac:dyDescent="0.2">
      <c r="A110" s="2" t="s">
        <v>96</v>
      </c>
      <c r="B110" s="2">
        <v>3</v>
      </c>
      <c r="C110" s="2">
        <v>10</v>
      </c>
      <c r="D110" s="2">
        <v>2020</v>
      </c>
      <c r="E110" s="1" t="s">
        <v>94</v>
      </c>
      <c r="F110" s="2">
        <v>91.14</v>
      </c>
      <c r="H110" s="1">
        <f>_xlfn.XLOOKUP('Data Source 1_customer readings'!A110,'Data Source 1_customer readings'!A110:A2508,'Data Source 1_customer readings'!J110:J2508)</f>
        <v>0</v>
      </c>
    </row>
    <row r="111" spans="1:8" x14ac:dyDescent="0.2">
      <c r="A111" s="2" t="s">
        <v>96</v>
      </c>
      <c r="B111" s="2">
        <v>3</v>
      </c>
      <c r="C111" s="2">
        <v>11</v>
      </c>
      <c r="D111" s="2">
        <v>2020</v>
      </c>
      <c r="E111" s="1" t="s">
        <v>94</v>
      </c>
      <c r="F111" s="2">
        <v>90</v>
      </c>
      <c r="H111" s="1">
        <f>_xlfn.XLOOKUP('Data Source 1_customer readings'!A111,'Data Source 1_customer readings'!A111:A2509,'Data Source 1_customer readings'!J111:J2509)</f>
        <v>0</v>
      </c>
    </row>
    <row r="112" spans="1:8" x14ac:dyDescent="0.2">
      <c r="A112" s="2" t="s">
        <v>96</v>
      </c>
      <c r="B112" s="2">
        <v>3</v>
      </c>
      <c r="C112" s="2">
        <v>3</v>
      </c>
      <c r="D112" s="2">
        <v>2020</v>
      </c>
      <c r="E112" s="1" t="s">
        <v>94</v>
      </c>
      <c r="F112" s="2">
        <v>88.04</v>
      </c>
      <c r="H112" s="1">
        <f>_xlfn.XLOOKUP('Data Source 1_customer readings'!A112,'Data Source 1_customer readings'!A112:A2510,'Data Source 1_customer readings'!J112:J2510)</f>
        <v>0</v>
      </c>
    </row>
    <row r="113" spans="1:8" x14ac:dyDescent="0.2">
      <c r="A113" s="2" t="s">
        <v>1</v>
      </c>
      <c r="B113" s="2">
        <v>21</v>
      </c>
      <c r="C113" s="2">
        <v>6</v>
      </c>
      <c r="D113" s="2">
        <v>2020</v>
      </c>
      <c r="E113" s="1" t="s">
        <v>94</v>
      </c>
      <c r="F113" s="2">
        <v>87.6</v>
      </c>
      <c r="H113" s="1">
        <f>_xlfn.XLOOKUP('Data Source 1_customer readings'!A113,'Data Source 1_customer readings'!A113:A2511,'Data Source 1_customer readings'!J113:J2511)</f>
        <v>0</v>
      </c>
    </row>
    <row r="114" spans="1:8" x14ac:dyDescent="0.2">
      <c r="A114" s="2" t="s">
        <v>96</v>
      </c>
      <c r="B114" s="2">
        <v>3</v>
      </c>
      <c r="C114" s="2">
        <v>9</v>
      </c>
      <c r="D114" s="2">
        <v>2020</v>
      </c>
      <c r="E114" s="1" t="s">
        <v>94</v>
      </c>
      <c r="F114" s="2">
        <v>87.3</v>
      </c>
      <c r="H114" s="1">
        <f>_xlfn.XLOOKUP('Data Source 1_customer readings'!A114,'Data Source 1_customer readings'!A114:A2512,'Data Source 1_customer readings'!J114:J2512)</f>
        <v>0</v>
      </c>
    </row>
    <row r="115" spans="1:8" x14ac:dyDescent="0.2">
      <c r="A115" s="2" t="s">
        <v>0</v>
      </c>
      <c r="B115" s="2">
        <v>25</v>
      </c>
      <c r="C115" s="2">
        <v>5</v>
      </c>
      <c r="D115" s="2">
        <v>2020</v>
      </c>
      <c r="E115" s="1" t="s">
        <v>94</v>
      </c>
      <c r="F115" s="2">
        <v>84.63</v>
      </c>
      <c r="H115" s="1">
        <f>_xlfn.XLOOKUP('Data Source 1_customer readings'!A115,'Data Source 1_customer readings'!A115:A2513,'Data Source 1_customer readings'!J115:J2513)</f>
        <v>0</v>
      </c>
    </row>
    <row r="116" spans="1:8" x14ac:dyDescent="0.2">
      <c r="A116" s="2" t="s">
        <v>0</v>
      </c>
      <c r="B116" s="2">
        <v>25</v>
      </c>
      <c r="C116" s="2">
        <v>4</v>
      </c>
      <c r="D116" s="2">
        <v>2020</v>
      </c>
      <c r="E116" s="1" t="s">
        <v>94</v>
      </c>
      <c r="F116" s="2">
        <v>84.6</v>
      </c>
      <c r="H116" s="1" t="b">
        <f>_xlfn.XLOOKUP('Data Source 1_customer readings'!A116,'Data Source 1_customer readings'!A116:A2514,'Data Source 1_customer readings'!J116:J2514)</f>
        <v>1</v>
      </c>
    </row>
    <row r="117" spans="1:8" x14ac:dyDescent="0.2">
      <c r="A117" s="2" t="s">
        <v>96</v>
      </c>
      <c r="B117" s="2">
        <v>3</v>
      </c>
      <c r="C117" s="2">
        <v>7</v>
      </c>
      <c r="D117" s="2">
        <v>2020</v>
      </c>
      <c r="E117" s="1" t="s">
        <v>94</v>
      </c>
      <c r="F117" s="2">
        <v>83.08</v>
      </c>
      <c r="H117" s="1">
        <f>_xlfn.XLOOKUP('Data Source 1_customer readings'!A117,'Data Source 1_customer readings'!A117:A2515,'Data Source 1_customer readings'!J117:J2515)</f>
        <v>0</v>
      </c>
    </row>
    <row r="118" spans="1:8" x14ac:dyDescent="0.2">
      <c r="A118" s="2" t="s">
        <v>0</v>
      </c>
      <c r="B118" s="2">
        <v>25</v>
      </c>
      <c r="C118" s="2">
        <v>1</v>
      </c>
      <c r="D118" s="2">
        <v>2020</v>
      </c>
      <c r="E118" s="1" t="s">
        <v>94</v>
      </c>
      <c r="F118" s="2">
        <v>82.46</v>
      </c>
      <c r="H118" s="1">
        <f>_xlfn.XLOOKUP('Data Source 1_customer readings'!A118,'Data Source 1_customer readings'!A118:A2516,'Data Source 1_customer readings'!J118:J2516)</f>
        <v>0</v>
      </c>
    </row>
    <row r="119" spans="1:8" x14ac:dyDescent="0.2">
      <c r="A119" s="2" t="s">
        <v>96</v>
      </c>
      <c r="B119" s="2">
        <v>3</v>
      </c>
      <c r="C119" s="2">
        <v>2</v>
      </c>
      <c r="D119" s="2">
        <v>2020</v>
      </c>
      <c r="E119" s="1" t="s">
        <v>94</v>
      </c>
      <c r="F119" s="2">
        <v>81.760000000000005</v>
      </c>
      <c r="H119" s="1">
        <f>_xlfn.XLOOKUP('Data Source 1_customer readings'!A119,'Data Source 1_customer readings'!A119:A2517,'Data Source 1_customer readings'!J119:J2517)</f>
        <v>0</v>
      </c>
    </row>
    <row r="120" spans="1:8" x14ac:dyDescent="0.2">
      <c r="A120" s="2" t="s">
        <v>0</v>
      </c>
      <c r="B120" s="2">
        <v>25</v>
      </c>
      <c r="C120" s="2">
        <v>7</v>
      </c>
      <c r="D120" s="2">
        <v>2020</v>
      </c>
      <c r="E120" s="1" t="s">
        <v>94</v>
      </c>
      <c r="F120" s="2">
        <v>80.290000000000006</v>
      </c>
      <c r="H120" s="1">
        <f>_xlfn.XLOOKUP('Data Source 1_customer readings'!A120,'Data Source 1_customer readings'!A120:A2518,'Data Source 1_customer readings'!J120:J2518)</f>
        <v>0</v>
      </c>
    </row>
    <row r="121" spans="1:8" x14ac:dyDescent="0.2">
      <c r="A121" s="2" t="s">
        <v>0</v>
      </c>
      <c r="B121" s="2">
        <v>25</v>
      </c>
      <c r="C121" s="2">
        <v>10</v>
      </c>
      <c r="D121" s="2">
        <v>2020</v>
      </c>
      <c r="E121" s="1" t="s">
        <v>94</v>
      </c>
      <c r="F121" s="2">
        <v>80.290000000000006</v>
      </c>
      <c r="H121" s="1">
        <f>_xlfn.XLOOKUP('Data Source 1_customer readings'!A121,'Data Source 1_customer readings'!A121:A2519,'Data Source 1_customer readings'!J121:J2519)</f>
        <v>0</v>
      </c>
    </row>
    <row r="122" spans="1:8" x14ac:dyDescent="0.2">
      <c r="A122" s="2" t="s">
        <v>0</v>
      </c>
      <c r="B122" s="2">
        <v>25</v>
      </c>
      <c r="C122" s="2">
        <v>8</v>
      </c>
      <c r="D122" s="2">
        <v>2020</v>
      </c>
      <c r="E122" s="1" t="s">
        <v>94</v>
      </c>
      <c r="F122" s="2">
        <v>79.67</v>
      </c>
      <c r="H122" s="1">
        <f>_xlfn.XLOOKUP('Data Source 1_customer readings'!A122,'Data Source 1_customer readings'!A122:A2520,'Data Source 1_customer readings'!J122:J2520)</f>
        <v>0</v>
      </c>
    </row>
    <row r="123" spans="1:8" x14ac:dyDescent="0.2">
      <c r="A123" s="2" t="s">
        <v>96</v>
      </c>
      <c r="B123" s="2">
        <v>3</v>
      </c>
      <c r="C123" s="2">
        <v>6</v>
      </c>
      <c r="D123" s="2">
        <v>2020</v>
      </c>
      <c r="E123" s="1" t="s">
        <v>94</v>
      </c>
      <c r="F123" s="2">
        <v>79.5</v>
      </c>
      <c r="H123" s="1" t="b">
        <f>_xlfn.XLOOKUP('Data Source 1_customer readings'!A123,'Data Source 1_customer readings'!A123:A2521,'Data Source 1_customer readings'!J123:J2521)</f>
        <v>0</v>
      </c>
    </row>
    <row r="124" spans="1:8" x14ac:dyDescent="0.2">
      <c r="A124" s="2" t="s">
        <v>0</v>
      </c>
      <c r="B124" s="2">
        <v>25</v>
      </c>
      <c r="C124" s="2">
        <v>12</v>
      </c>
      <c r="D124" s="2">
        <v>2020</v>
      </c>
      <c r="E124" s="1" t="s">
        <v>94</v>
      </c>
      <c r="F124" s="2">
        <v>79.36</v>
      </c>
      <c r="H124" s="1">
        <f>_xlfn.XLOOKUP('Data Source 1_customer readings'!A124,'Data Source 1_customer readings'!A124:A2522,'Data Source 1_customer readings'!J124:J2522)</f>
        <v>0</v>
      </c>
    </row>
    <row r="125" spans="1:8" x14ac:dyDescent="0.2">
      <c r="A125" s="2" t="s">
        <v>0</v>
      </c>
      <c r="B125" s="2">
        <v>25</v>
      </c>
      <c r="C125" s="2">
        <v>11</v>
      </c>
      <c r="D125" s="2">
        <v>2020</v>
      </c>
      <c r="E125" s="1" t="s">
        <v>94</v>
      </c>
      <c r="F125" s="2">
        <v>79.2</v>
      </c>
      <c r="H125" s="1">
        <f>_xlfn.XLOOKUP('Data Source 1_customer readings'!A125,'Data Source 1_customer readings'!A125:A2523,'Data Source 1_customer readings'!J125:J2523)</f>
        <v>0</v>
      </c>
    </row>
    <row r="126" spans="1:8" x14ac:dyDescent="0.2">
      <c r="A126" s="2" t="s">
        <v>96</v>
      </c>
      <c r="B126" s="2">
        <v>3</v>
      </c>
      <c r="C126" s="2">
        <v>12</v>
      </c>
      <c r="D126" s="2">
        <v>2020</v>
      </c>
      <c r="E126" s="1" t="s">
        <v>94</v>
      </c>
      <c r="F126" s="2">
        <v>78.739999999999995</v>
      </c>
      <c r="H126" s="1">
        <f>_xlfn.XLOOKUP('Data Source 1_customer readings'!A126,'Data Source 1_customer readings'!A126:A2524,'Data Source 1_customer readings'!J126:J2524)</f>
        <v>0</v>
      </c>
    </row>
    <row r="127" spans="1:8" x14ac:dyDescent="0.2">
      <c r="A127" s="2" t="s">
        <v>96</v>
      </c>
      <c r="B127" s="2">
        <v>3</v>
      </c>
      <c r="C127" s="2">
        <v>8</v>
      </c>
      <c r="D127" s="2">
        <v>2020</v>
      </c>
      <c r="E127" s="1" t="s">
        <v>94</v>
      </c>
      <c r="F127" s="2">
        <v>77.5</v>
      </c>
      <c r="H127" s="1">
        <f>_xlfn.XLOOKUP('Data Source 1_customer readings'!A127,'Data Source 1_customer readings'!A127:A2525,'Data Source 1_customer readings'!J127:J2525)</f>
        <v>0</v>
      </c>
    </row>
    <row r="128" spans="1:8" x14ac:dyDescent="0.2">
      <c r="A128" s="2" t="s">
        <v>0</v>
      </c>
      <c r="B128" s="2">
        <v>25</v>
      </c>
      <c r="C128" s="2">
        <v>9</v>
      </c>
      <c r="D128" s="2">
        <v>2020</v>
      </c>
      <c r="E128" s="1" t="s">
        <v>94</v>
      </c>
      <c r="F128" s="2">
        <v>77.400000000000006</v>
      </c>
      <c r="H128" s="1">
        <f>_xlfn.XLOOKUP('Data Source 1_customer readings'!A128,'Data Source 1_customer readings'!A128:A2526,'Data Source 1_customer readings'!J128:J2526)</f>
        <v>0</v>
      </c>
    </row>
    <row r="129" spans="1:8" x14ac:dyDescent="0.2">
      <c r="A129" s="2" t="s">
        <v>96</v>
      </c>
      <c r="B129" s="2">
        <v>3</v>
      </c>
      <c r="C129" s="2">
        <v>1</v>
      </c>
      <c r="D129" s="2">
        <v>2020</v>
      </c>
      <c r="E129" s="1" t="s">
        <v>94</v>
      </c>
      <c r="F129" s="2">
        <v>74.400000000000006</v>
      </c>
      <c r="H129" s="1">
        <f>_xlfn.XLOOKUP('Data Source 1_customer readings'!A129,'Data Source 1_customer readings'!A129:A2527,'Data Source 1_customer readings'!J129:J2527)</f>
        <v>0</v>
      </c>
    </row>
    <row r="130" spans="1:8" x14ac:dyDescent="0.2">
      <c r="A130" s="2" t="s">
        <v>0</v>
      </c>
      <c r="B130" s="2">
        <v>25</v>
      </c>
      <c r="C130" s="2">
        <v>6</v>
      </c>
      <c r="D130" s="2">
        <v>2020</v>
      </c>
      <c r="E130" s="1" t="s">
        <v>94</v>
      </c>
      <c r="F130" s="2">
        <v>73.2</v>
      </c>
      <c r="H130" s="1">
        <f>_xlfn.XLOOKUP('Data Source 1_customer readings'!A130,'Data Source 1_customer readings'!A130:A2528,'Data Source 1_customer readings'!J130:J2528)</f>
        <v>0</v>
      </c>
    </row>
    <row r="131" spans="1:8" x14ac:dyDescent="0.2">
      <c r="A131" s="2" t="s">
        <v>95</v>
      </c>
      <c r="B131" s="2">
        <v>24</v>
      </c>
      <c r="C131" s="2">
        <v>1</v>
      </c>
      <c r="D131" s="2">
        <v>2020</v>
      </c>
      <c r="E131" s="1" t="s">
        <v>94</v>
      </c>
      <c r="F131" s="2">
        <v>73.16</v>
      </c>
      <c r="H131" s="1">
        <f>_xlfn.XLOOKUP('Data Source 1_customer readings'!A131,'Data Source 1_customer readings'!A131:A2529,'Data Source 1_customer readings'!J131:J2529)</f>
        <v>0</v>
      </c>
    </row>
    <row r="132" spans="1:8" x14ac:dyDescent="0.2">
      <c r="A132" s="2" t="s">
        <v>95</v>
      </c>
      <c r="B132" s="2">
        <v>24</v>
      </c>
      <c r="C132" s="2">
        <v>12</v>
      </c>
      <c r="D132" s="2">
        <v>2020</v>
      </c>
      <c r="E132" s="1" t="s">
        <v>94</v>
      </c>
      <c r="F132" s="2">
        <v>72.540000000000006</v>
      </c>
      <c r="H132" s="1">
        <f>_xlfn.XLOOKUP('Data Source 1_customer readings'!A132,'Data Source 1_customer readings'!A132:A2530,'Data Source 1_customer readings'!J132:J2530)</f>
        <v>0</v>
      </c>
    </row>
    <row r="133" spans="1:8" x14ac:dyDescent="0.2">
      <c r="A133" s="2" t="s">
        <v>0</v>
      </c>
      <c r="B133" s="2">
        <v>25</v>
      </c>
      <c r="C133" s="2">
        <v>2</v>
      </c>
      <c r="D133" s="2">
        <v>2020</v>
      </c>
      <c r="E133" s="1" t="s">
        <v>94</v>
      </c>
      <c r="F133" s="2">
        <v>72.52</v>
      </c>
      <c r="H133" s="1">
        <f>_xlfn.XLOOKUP('Data Source 1_customer readings'!A133,'Data Source 1_customer readings'!A133:A2531,'Data Source 1_customer readings'!J133:J2531)</f>
        <v>0</v>
      </c>
    </row>
    <row r="134" spans="1:8" x14ac:dyDescent="0.2">
      <c r="A134" s="2" t="s">
        <v>95</v>
      </c>
      <c r="B134" s="2">
        <v>24</v>
      </c>
      <c r="C134" s="2">
        <v>10</v>
      </c>
      <c r="D134" s="2">
        <v>2020</v>
      </c>
      <c r="E134" s="1" t="s">
        <v>94</v>
      </c>
      <c r="F134" s="2">
        <v>72.23</v>
      </c>
      <c r="H134" s="1">
        <f>_xlfn.XLOOKUP('Data Source 1_customer readings'!A134,'Data Source 1_customer readings'!A134:A2532,'Data Source 1_customer readings'!J134:J2532)</f>
        <v>0</v>
      </c>
    </row>
    <row r="135" spans="1:8" x14ac:dyDescent="0.2">
      <c r="A135" s="2" t="s">
        <v>95</v>
      </c>
      <c r="B135" s="2">
        <v>24</v>
      </c>
      <c r="C135" s="2">
        <v>11</v>
      </c>
      <c r="D135" s="2">
        <v>2020</v>
      </c>
      <c r="E135" s="1" t="s">
        <v>94</v>
      </c>
      <c r="F135" s="2">
        <v>70.8</v>
      </c>
      <c r="H135" s="1" t="b">
        <f>_xlfn.XLOOKUP('Data Source 1_customer readings'!A135,'Data Source 1_customer readings'!A135:A2533,'Data Source 1_customer readings'!J135:J2533)</f>
        <v>0</v>
      </c>
    </row>
    <row r="136" spans="1:8" x14ac:dyDescent="0.2">
      <c r="A136" s="2" t="s">
        <v>95</v>
      </c>
      <c r="B136" s="2">
        <v>24</v>
      </c>
      <c r="C136" s="2">
        <v>4</v>
      </c>
      <c r="D136" s="2">
        <v>2020</v>
      </c>
      <c r="E136" s="1" t="s">
        <v>94</v>
      </c>
      <c r="F136" s="2">
        <v>69.3</v>
      </c>
      <c r="H136" s="1">
        <f>_xlfn.XLOOKUP('Data Source 1_customer readings'!A136,'Data Source 1_customer readings'!A136:A2534,'Data Source 1_customer readings'!J136:J2534)</f>
        <v>0</v>
      </c>
    </row>
    <row r="137" spans="1:8" x14ac:dyDescent="0.2">
      <c r="A137" s="2" t="s">
        <v>95</v>
      </c>
      <c r="B137" s="2">
        <v>24</v>
      </c>
      <c r="C137" s="2">
        <v>3</v>
      </c>
      <c r="D137" s="2">
        <v>2020</v>
      </c>
      <c r="E137" s="1" t="s">
        <v>94</v>
      </c>
      <c r="F137" s="2">
        <v>69.13</v>
      </c>
      <c r="H137" s="1">
        <f>_xlfn.XLOOKUP('Data Source 1_customer readings'!A137,'Data Source 1_customer readings'!A137:A2535,'Data Source 1_customer readings'!J137:J2535)</f>
        <v>0</v>
      </c>
    </row>
    <row r="138" spans="1:8" x14ac:dyDescent="0.2">
      <c r="A138" s="2" t="s">
        <v>96</v>
      </c>
      <c r="B138" s="2">
        <v>3</v>
      </c>
      <c r="C138" s="2">
        <v>4</v>
      </c>
      <c r="D138" s="2">
        <v>2020</v>
      </c>
      <c r="E138" s="1" t="s">
        <v>94</v>
      </c>
      <c r="F138" s="2">
        <v>69</v>
      </c>
      <c r="H138" s="1">
        <f>_xlfn.XLOOKUP('Data Source 1_customer readings'!A138,'Data Source 1_customer readings'!A138:A2536,'Data Source 1_customer readings'!J138:J2536)</f>
        <v>0</v>
      </c>
    </row>
    <row r="139" spans="1:8" x14ac:dyDescent="0.2">
      <c r="A139" s="2" t="s">
        <v>95</v>
      </c>
      <c r="B139" s="2">
        <v>24</v>
      </c>
      <c r="C139" s="2">
        <v>5</v>
      </c>
      <c r="D139" s="2">
        <v>2020</v>
      </c>
      <c r="E139" s="1" t="s">
        <v>94</v>
      </c>
      <c r="F139" s="2">
        <v>68.2</v>
      </c>
      <c r="H139" s="1">
        <f>_xlfn.XLOOKUP('Data Source 1_customer readings'!A139,'Data Source 1_customer readings'!A139:A2537,'Data Source 1_customer readings'!J139:J2537)</f>
        <v>0</v>
      </c>
    </row>
    <row r="140" spans="1:8" x14ac:dyDescent="0.2">
      <c r="A140" s="2" t="s">
        <v>95</v>
      </c>
      <c r="B140" s="2">
        <v>24</v>
      </c>
      <c r="C140" s="2">
        <v>7</v>
      </c>
      <c r="D140" s="2">
        <v>2020</v>
      </c>
      <c r="E140" s="1" t="s">
        <v>94</v>
      </c>
      <c r="F140" s="2">
        <v>65.72</v>
      </c>
      <c r="H140" s="1">
        <f>_xlfn.XLOOKUP('Data Source 1_customer readings'!A140,'Data Source 1_customer readings'!A140:A2538,'Data Source 1_customer readings'!J140:J2538)</f>
        <v>0</v>
      </c>
    </row>
    <row r="141" spans="1:8" x14ac:dyDescent="0.2">
      <c r="A141" s="2" t="s">
        <v>95</v>
      </c>
      <c r="B141" s="2">
        <v>24</v>
      </c>
      <c r="C141" s="2">
        <v>6</v>
      </c>
      <c r="D141" s="2">
        <v>2020</v>
      </c>
      <c r="E141" s="1" t="s">
        <v>94</v>
      </c>
      <c r="F141" s="2">
        <v>62.7</v>
      </c>
      <c r="H141" s="1">
        <f>_xlfn.XLOOKUP('Data Source 1_customer readings'!A141,'Data Source 1_customer readings'!A141:A2539,'Data Source 1_customer readings'!J141:J2539)</f>
        <v>0</v>
      </c>
    </row>
    <row r="142" spans="1:8" x14ac:dyDescent="0.2">
      <c r="A142" s="2" t="s">
        <v>95</v>
      </c>
      <c r="B142" s="2">
        <v>24</v>
      </c>
      <c r="C142" s="2">
        <v>8</v>
      </c>
      <c r="D142" s="2">
        <v>2020</v>
      </c>
      <c r="E142" s="1" t="s">
        <v>94</v>
      </c>
      <c r="F142" s="2">
        <v>59.83</v>
      </c>
      <c r="H142" s="1">
        <f>_xlfn.XLOOKUP('Data Source 1_customer readings'!A142,'Data Source 1_customer readings'!A142:A2540,'Data Source 1_customer readings'!J142:J2540)</f>
        <v>0</v>
      </c>
    </row>
    <row r="143" spans="1:8" x14ac:dyDescent="0.2">
      <c r="A143" s="2" t="s">
        <v>95</v>
      </c>
      <c r="B143" s="2">
        <v>24</v>
      </c>
      <c r="C143" s="2">
        <v>2</v>
      </c>
      <c r="D143" s="2">
        <v>2020</v>
      </c>
      <c r="E143" s="1" t="s">
        <v>94</v>
      </c>
      <c r="F143" s="2">
        <v>53.76</v>
      </c>
      <c r="H143" s="1">
        <f>_xlfn.XLOOKUP('Data Source 1_customer readings'!A143,'Data Source 1_customer readings'!A143:A2541,'Data Source 1_customer readings'!J143:J2541)</f>
        <v>0</v>
      </c>
    </row>
    <row r="144" spans="1:8" x14ac:dyDescent="0.2">
      <c r="A144" s="2" t="s">
        <v>95</v>
      </c>
      <c r="B144" s="2">
        <v>24</v>
      </c>
      <c r="C144" s="2">
        <v>9</v>
      </c>
      <c r="D144" s="2">
        <v>2020</v>
      </c>
      <c r="E144" s="1" t="s">
        <v>94</v>
      </c>
      <c r="F144" s="2">
        <v>53.7</v>
      </c>
      <c r="H144" s="1">
        <f>_xlfn.XLOOKUP('Data Source 1_customer readings'!A144,'Data Source 1_customer readings'!A144:A2542,'Data Source 1_customer readings'!J144:J2542)</f>
        <v>0</v>
      </c>
    </row>
    <row r="145" spans="1:8" x14ac:dyDescent="0.2">
      <c r="A145" s="2" t="s">
        <v>93</v>
      </c>
      <c r="B145" s="2">
        <v>3</v>
      </c>
      <c r="C145" s="2">
        <v>1</v>
      </c>
      <c r="D145" s="2">
        <v>2020</v>
      </c>
      <c r="E145" s="2">
        <v>177.01</v>
      </c>
      <c r="F145" s="2">
        <v>87.73</v>
      </c>
      <c r="H145" s="1">
        <f>_xlfn.XLOOKUP('Data Source 1_customer readings'!A145,'Data Source 1_customer readings'!A145:A2543,'Data Source 1_customer readings'!J145:J2543)</f>
        <v>0</v>
      </c>
    </row>
    <row r="146" spans="1:8" x14ac:dyDescent="0.2">
      <c r="A146" s="2" t="s">
        <v>93</v>
      </c>
      <c r="B146" s="2">
        <v>3</v>
      </c>
      <c r="C146" s="2">
        <v>12</v>
      </c>
      <c r="D146" s="2">
        <v>2020</v>
      </c>
      <c r="E146" s="2">
        <v>177.01</v>
      </c>
      <c r="F146" s="2">
        <v>77.5</v>
      </c>
      <c r="H146" s="1">
        <f>_xlfn.XLOOKUP('Data Source 1_customer readings'!A146,'Data Source 1_customer readings'!A146:A2544,'Data Source 1_customer readings'!J146:J2544)</f>
        <v>0</v>
      </c>
    </row>
    <row r="147" spans="1:8" x14ac:dyDescent="0.2">
      <c r="A147" s="2" t="s">
        <v>92</v>
      </c>
      <c r="B147" s="2">
        <v>7</v>
      </c>
      <c r="C147" s="2">
        <v>11</v>
      </c>
      <c r="D147" s="2">
        <v>2020</v>
      </c>
      <c r="E147" s="2">
        <v>162.9</v>
      </c>
      <c r="F147" s="2">
        <v>79.2</v>
      </c>
      <c r="H147" s="1">
        <f>_xlfn.XLOOKUP('Data Source 1_customer readings'!A147,'Data Source 1_customer readings'!A147:A2545,'Data Source 1_customer readings'!J147:J2545)</f>
        <v>0</v>
      </c>
    </row>
    <row r="148" spans="1:8" x14ac:dyDescent="0.2">
      <c r="A148" s="2" t="s">
        <v>92</v>
      </c>
      <c r="B148" s="2">
        <v>7</v>
      </c>
      <c r="C148" s="2">
        <v>12</v>
      </c>
      <c r="D148" s="2">
        <v>2020</v>
      </c>
      <c r="E148" s="2">
        <v>160.58000000000001</v>
      </c>
      <c r="F148" s="2">
        <v>84.01</v>
      </c>
      <c r="H148" s="1" t="b">
        <f>_xlfn.XLOOKUP('Data Source 1_customer readings'!A148,'Data Source 1_customer readings'!A148:A2546,'Data Source 1_customer readings'!J148:J2546)</f>
        <v>0</v>
      </c>
    </row>
    <row r="149" spans="1:8" x14ac:dyDescent="0.2">
      <c r="A149" s="2" t="s">
        <v>89</v>
      </c>
      <c r="B149" s="2">
        <v>2</v>
      </c>
      <c r="C149" s="2">
        <v>1</v>
      </c>
      <c r="D149" s="2">
        <v>2020</v>
      </c>
      <c r="E149" s="2">
        <v>153.13999999999999</v>
      </c>
      <c r="F149" s="2">
        <v>66.959999999999994</v>
      </c>
      <c r="H149" s="1">
        <f>_xlfn.XLOOKUP('Data Source 1_customer readings'!A149,'Data Source 1_customer readings'!A149:A2547,'Data Source 1_customer readings'!J149:J2547)</f>
        <v>0</v>
      </c>
    </row>
    <row r="150" spans="1:8" x14ac:dyDescent="0.2">
      <c r="A150" s="2" t="s">
        <v>88</v>
      </c>
      <c r="B150" s="2">
        <v>23</v>
      </c>
      <c r="C150" s="2">
        <v>12</v>
      </c>
      <c r="D150" s="2">
        <v>2020</v>
      </c>
      <c r="E150" s="2">
        <v>149.72999999999999</v>
      </c>
      <c r="F150" s="2">
        <v>105.4</v>
      </c>
      <c r="H150" s="1">
        <f>_xlfn.XLOOKUP('Data Source 1_customer readings'!A150,'Data Source 1_customer readings'!A150:A2548,'Data Source 1_customer readings'!J150:J2548)</f>
        <v>0</v>
      </c>
    </row>
    <row r="151" spans="1:8" x14ac:dyDescent="0.2">
      <c r="A151" s="2" t="s">
        <v>93</v>
      </c>
      <c r="B151" s="2">
        <v>3</v>
      </c>
      <c r="C151" s="2">
        <v>2</v>
      </c>
      <c r="D151" s="2">
        <v>2020</v>
      </c>
      <c r="E151" s="2">
        <v>148.96</v>
      </c>
      <c r="F151" s="2">
        <v>82.04</v>
      </c>
      <c r="H151" s="1">
        <f>_xlfn.XLOOKUP('Data Source 1_customer readings'!A151,'Data Source 1_customer readings'!A151:A2549,'Data Source 1_customer readings'!J151:J2549)</f>
        <v>0</v>
      </c>
    </row>
    <row r="152" spans="1:8" x14ac:dyDescent="0.2">
      <c r="A152" s="2" t="s">
        <v>88</v>
      </c>
      <c r="B152" s="2">
        <v>23</v>
      </c>
      <c r="C152" s="2">
        <v>11</v>
      </c>
      <c r="D152" s="2">
        <v>2020</v>
      </c>
      <c r="E152" s="2">
        <v>148.5</v>
      </c>
      <c r="F152" s="2">
        <v>93</v>
      </c>
      <c r="H152" s="1" t="b">
        <f>_xlfn.XLOOKUP('Data Source 1_customer readings'!A152,'Data Source 1_customer readings'!A152:A2550,'Data Source 1_customer readings'!J152:J2550)</f>
        <v>1</v>
      </c>
    </row>
    <row r="153" spans="1:8" x14ac:dyDescent="0.2">
      <c r="A153" s="2" t="s">
        <v>84</v>
      </c>
      <c r="B153" s="2">
        <v>20</v>
      </c>
      <c r="C153" s="2">
        <v>11</v>
      </c>
      <c r="D153" s="2">
        <v>2020</v>
      </c>
      <c r="E153" s="2">
        <v>147.6</v>
      </c>
      <c r="F153" s="2">
        <v>76.8</v>
      </c>
      <c r="H153" s="1">
        <f>_xlfn.XLOOKUP('Data Source 1_customer readings'!A153,'Data Source 1_customer readings'!A153:A2551,'Data Source 1_customer readings'!J153:J2551)</f>
        <v>0</v>
      </c>
    </row>
    <row r="154" spans="1:8" x14ac:dyDescent="0.2">
      <c r="A154" s="2" t="s">
        <v>91</v>
      </c>
      <c r="B154" s="2">
        <v>5</v>
      </c>
      <c r="C154" s="2">
        <v>11</v>
      </c>
      <c r="D154" s="2">
        <v>2020</v>
      </c>
      <c r="E154" s="2">
        <v>147.6</v>
      </c>
      <c r="F154" s="2">
        <v>57.6</v>
      </c>
      <c r="H154" s="1">
        <f>_xlfn.XLOOKUP('Data Source 1_customer readings'!A154,'Data Source 1_customer readings'!A154:A2552,'Data Source 1_customer readings'!J154:J2552)</f>
        <v>0</v>
      </c>
    </row>
    <row r="155" spans="1:8" x14ac:dyDescent="0.2">
      <c r="A155" s="2" t="s">
        <v>92</v>
      </c>
      <c r="B155" s="2">
        <v>7</v>
      </c>
      <c r="C155" s="2">
        <v>1</v>
      </c>
      <c r="D155" s="2">
        <v>2020</v>
      </c>
      <c r="E155" s="2">
        <v>145.38999999999999</v>
      </c>
      <c r="F155" s="2">
        <v>97.03</v>
      </c>
      <c r="H155" s="1">
        <f>_xlfn.XLOOKUP('Data Source 1_customer readings'!A155,'Data Source 1_customer readings'!A155:A2553,'Data Source 1_customer readings'!J155:J2553)</f>
        <v>0</v>
      </c>
    </row>
    <row r="156" spans="1:8" x14ac:dyDescent="0.2">
      <c r="A156" s="2" t="s">
        <v>82</v>
      </c>
      <c r="B156" s="2">
        <v>8</v>
      </c>
      <c r="C156" s="2">
        <v>12</v>
      </c>
      <c r="D156" s="2">
        <v>2020</v>
      </c>
      <c r="E156" s="2">
        <v>144.15</v>
      </c>
      <c r="F156" s="2">
        <v>70.06</v>
      </c>
      <c r="H156" s="1">
        <f>_xlfn.XLOOKUP('Data Source 1_customer readings'!A156,'Data Source 1_customer readings'!A156:A2554,'Data Source 1_customer readings'!J156:J2554)</f>
        <v>0</v>
      </c>
    </row>
    <row r="157" spans="1:8" x14ac:dyDescent="0.2">
      <c r="A157" s="2" t="s">
        <v>92</v>
      </c>
      <c r="B157" s="2">
        <v>7</v>
      </c>
      <c r="C157" s="2">
        <v>2</v>
      </c>
      <c r="D157" s="2">
        <v>2020</v>
      </c>
      <c r="E157" s="2">
        <v>143.63999999999999</v>
      </c>
      <c r="F157" s="2">
        <v>72.52</v>
      </c>
      <c r="H157" s="1">
        <f>_xlfn.XLOOKUP('Data Source 1_customer readings'!A157,'Data Source 1_customer readings'!A157:A2555,'Data Source 1_customer readings'!J157:J2555)</f>
        <v>0</v>
      </c>
    </row>
    <row r="158" spans="1:8" x14ac:dyDescent="0.2">
      <c r="A158" s="2" t="s">
        <v>86</v>
      </c>
      <c r="B158" s="2">
        <v>6</v>
      </c>
      <c r="C158" s="2">
        <v>12</v>
      </c>
      <c r="D158" s="2">
        <v>2020</v>
      </c>
      <c r="E158" s="2">
        <v>142.6</v>
      </c>
      <c r="F158" s="2">
        <v>108.5</v>
      </c>
      <c r="H158" s="1">
        <f>_xlfn.XLOOKUP('Data Source 1_customer readings'!A158,'Data Source 1_customer readings'!A158:A2556,'Data Source 1_customer readings'!J158:J2556)</f>
        <v>0</v>
      </c>
    </row>
    <row r="159" spans="1:8" x14ac:dyDescent="0.2">
      <c r="A159" s="2" t="s">
        <v>62</v>
      </c>
      <c r="B159" s="2">
        <v>1</v>
      </c>
      <c r="C159" s="2">
        <v>1</v>
      </c>
      <c r="D159" s="2">
        <v>2020</v>
      </c>
      <c r="E159" s="2">
        <v>142.6</v>
      </c>
      <c r="F159" s="2">
        <v>65.41</v>
      </c>
      <c r="H159" s="1">
        <f>_xlfn.XLOOKUP('Data Source 1_customer readings'!A159,'Data Source 1_customer readings'!A159:A2557,'Data Source 1_customer readings'!J159:J2557)</f>
        <v>0</v>
      </c>
    </row>
    <row r="160" spans="1:8" x14ac:dyDescent="0.2">
      <c r="A160" s="2" t="s">
        <v>84</v>
      </c>
      <c r="B160" s="2">
        <v>20</v>
      </c>
      <c r="C160" s="2">
        <v>1</v>
      </c>
      <c r="D160" s="2">
        <v>2020</v>
      </c>
      <c r="E160" s="2">
        <v>142.29</v>
      </c>
      <c r="F160" s="2">
        <v>80.290000000000006</v>
      </c>
      <c r="H160" s="1">
        <f>_xlfn.XLOOKUP('Data Source 1_customer readings'!A160,'Data Source 1_customer readings'!A160:A2558,'Data Source 1_customer readings'!J160:J2558)</f>
        <v>0</v>
      </c>
    </row>
    <row r="161" spans="1:8" x14ac:dyDescent="0.2">
      <c r="A161" s="2" t="s">
        <v>84</v>
      </c>
      <c r="B161" s="2">
        <v>20</v>
      </c>
      <c r="C161" s="2">
        <v>2</v>
      </c>
      <c r="D161" s="2">
        <v>2020</v>
      </c>
      <c r="E161" s="2">
        <v>141.4</v>
      </c>
      <c r="F161" s="2">
        <v>74.48</v>
      </c>
      <c r="H161" s="1">
        <f>_xlfn.XLOOKUP('Data Source 1_customer readings'!A161,'Data Source 1_customer readings'!A161:A2559,'Data Source 1_customer readings'!J161:J2559)</f>
        <v>0</v>
      </c>
    </row>
    <row r="162" spans="1:8" x14ac:dyDescent="0.2">
      <c r="A162" s="2" t="s">
        <v>93</v>
      </c>
      <c r="B162" s="2">
        <v>3</v>
      </c>
      <c r="C162" s="2">
        <v>11</v>
      </c>
      <c r="D162" s="2">
        <v>2020</v>
      </c>
      <c r="E162" s="2">
        <v>140.4</v>
      </c>
      <c r="F162" s="2">
        <v>91.2</v>
      </c>
      <c r="H162" s="1" t="b">
        <f>_xlfn.XLOOKUP('Data Source 1_customer readings'!A162,'Data Source 1_customer readings'!A162:A2560,'Data Source 1_customer readings'!J162:J2560)</f>
        <v>0</v>
      </c>
    </row>
    <row r="163" spans="1:8" x14ac:dyDescent="0.2">
      <c r="A163" s="2" t="s">
        <v>89</v>
      </c>
      <c r="B163" s="2">
        <v>2</v>
      </c>
      <c r="C163" s="2">
        <v>11</v>
      </c>
      <c r="D163" s="2">
        <v>2020</v>
      </c>
      <c r="E163" s="2">
        <v>139.80000000000001</v>
      </c>
      <c r="F163" s="2">
        <v>64.2</v>
      </c>
      <c r="H163" s="1">
        <f>_xlfn.XLOOKUP('Data Source 1_customer readings'!A163,'Data Source 1_customer readings'!A163:A2561,'Data Source 1_customer readings'!J163:J2561)</f>
        <v>0</v>
      </c>
    </row>
    <row r="164" spans="1:8" x14ac:dyDescent="0.2">
      <c r="A164" s="2" t="s">
        <v>90</v>
      </c>
      <c r="B164" s="2">
        <v>18</v>
      </c>
      <c r="C164" s="2">
        <v>12</v>
      </c>
      <c r="D164" s="2">
        <v>2020</v>
      </c>
      <c r="E164" s="2">
        <v>138.88</v>
      </c>
      <c r="F164" s="2">
        <v>98.89</v>
      </c>
      <c r="H164" s="1">
        <f>_xlfn.XLOOKUP('Data Source 1_customer readings'!A164,'Data Source 1_customer readings'!A164:A2562,'Data Source 1_customer readings'!J164:J2562)</f>
        <v>0</v>
      </c>
    </row>
    <row r="165" spans="1:8" x14ac:dyDescent="0.2">
      <c r="A165" s="2" t="s">
        <v>86</v>
      </c>
      <c r="B165" s="2">
        <v>6</v>
      </c>
      <c r="C165" s="2">
        <v>1</v>
      </c>
      <c r="D165" s="2">
        <v>2020</v>
      </c>
      <c r="E165" s="2">
        <v>136.71</v>
      </c>
      <c r="F165" s="2">
        <v>93.93</v>
      </c>
      <c r="H165" s="1">
        <f>_xlfn.XLOOKUP('Data Source 1_customer readings'!A165,'Data Source 1_customer readings'!A165:A2563,'Data Source 1_customer readings'!J165:J2563)</f>
        <v>0</v>
      </c>
    </row>
    <row r="166" spans="1:8" x14ac:dyDescent="0.2">
      <c r="A166" s="2" t="s">
        <v>91</v>
      </c>
      <c r="B166" s="2">
        <v>5</v>
      </c>
      <c r="C166" s="2">
        <v>12</v>
      </c>
      <c r="D166" s="2">
        <v>2020</v>
      </c>
      <c r="E166" s="2">
        <v>136.4</v>
      </c>
      <c r="F166" s="2">
        <v>54.87</v>
      </c>
      <c r="H166" s="1">
        <f>_xlfn.XLOOKUP('Data Source 1_customer readings'!A166,'Data Source 1_customer readings'!A166:A2564,'Data Source 1_customer readings'!J166:J2564)</f>
        <v>0</v>
      </c>
    </row>
    <row r="167" spans="1:8" x14ac:dyDescent="0.2">
      <c r="A167" s="2" t="s">
        <v>77</v>
      </c>
      <c r="B167" s="2">
        <v>16</v>
      </c>
      <c r="C167" s="2">
        <v>12</v>
      </c>
      <c r="D167" s="2">
        <v>2020</v>
      </c>
      <c r="E167" s="2">
        <v>136.09</v>
      </c>
      <c r="F167" s="2">
        <v>111.6</v>
      </c>
      <c r="H167" s="1" t="b">
        <f>_xlfn.XLOOKUP('Data Source 1_customer readings'!A167,'Data Source 1_customer readings'!A167:A2565,'Data Source 1_customer readings'!J167:J2565)</f>
        <v>0</v>
      </c>
    </row>
    <row r="168" spans="1:8" x14ac:dyDescent="0.2">
      <c r="A168" s="2" t="s">
        <v>87</v>
      </c>
      <c r="B168" s="2">
        <v>1</v>
      </c>
      <c r="C168" s="2">
        <v>12</v>
      </c>
      <c r="D168" s="2">
        <v>2020</v>
      </c>
      <c r="E168" s="2">
        <v>135.78</v>
      </c>
      <c r="F168" s="2">
        <v>88.35</v>
      </c>
      <c r="H168" s="1">
        <f>_xlfn.XLOOKUP('Data Source 1_customer readings'!A168,'Data Source 1_customer readings'!A168:A2566,'Data Source 1_customer readings'!J168:J2566)</f>
        <v>0</v>
      </c>
    </row>
    <row r="169" spans="1:8" x14ac:dyDescent="0.2">
      <c r="A169" s="2" t="s">
        <v>84</v>
      </c>
      <c r="B169" s="2">
        <v>20</v>
      </c>
      <c r="C169" s="2">
        <v>12</v>
      </c>
      <c r="D169" s="2">
        <v>2020</v>
      </c>
      <c r="E169" s="2">
        <v>135.16</v>
      </c>
      <c r="F169" s="2">
        <v>88.04</v>
      </c>
      <c r="H169" s="1">
        <f>_xlfn.XLOOKUP('Data Source 1_customer readings'!A169,'Data Source 1_customer readings'!A169:A2567,'Data Source 1_customer readings'!J169:J2567)</f>
        <v>0</v>
      </c>
    </row>
    <row r="170" spans="1:8" x14ac:dyDescent="0.2">
      <c r="A170" s="2" t="s">
        <v>76</v>
      </c>
      <c r="B170" s="2">
        <v>9</v>
      </c>
      <c r="C170" s="2">
        <v>1</v>
      </c>
      <c r="D170" s="2">
        <v>2020</v>
      </c>
      <c r="E170" s="2">
        <v>134.54</v>
      </c>
      <c r="F170" s="2">
        <v>65.099999999999994</v>
      </c>
      <c r="H170" s="1">
        <f>_xlfn.XLOOKUP('Data Source 1_customer readings'!A170,'Data Source 1_customer readings'!A170:A2568,'Data Source 1_customer readings'!J170:J2568)</f>
        <v>0</v>
      </c>
    </row>
    <row r="171" spans="1:8" x14ac:dyDescent="0.2">
      <c r="A171" s="2" t="s">
        <v>78</v>
      </c>
      <c r="B171" s="2">
        <v>18</v>
      </c>
      <c r="C171" s="2">
        <v>2</v>
      </c>
      <c r="D171" s="2">
        <v>2020</v>
      </c>
      <c r="E171" s="2">
        <v>133.84</v>
      </c>
      <c r="F171" s="2">
        <v>67.2</v>
      </c>
      <c r="H171" s="1">
        <f>_xlfn.XLOOKUP('Data Source 1_customer readings'!A171,'Data Source 1_customer readings'!A171:A2569,'Data Source 1_customer readings'!J171:J2569)</f>
        <v>0</v>
      </c>
    </row>
    <row r="172" spans="1:8" x14ac:dyDescent="0.2">
      <c r="A172" s="2" t="s">
        <v>83</v>
      </c>
      <c r="B172" s="2">
        <v>25</v>
      </c>
      <c r="C172" s="2">
        <v>11</v>
      </c>
      <c r="D172" s="2">
        <v>2020</v>
      </c>
      <c r="E172" s="2">
        <v>133.19999999999999</v>
      </c>
      <c r="F172" s="2">
        <v>95.7</v>
      </c>
      <c r="H172" s="1">
        <f>_xlfn.XLOOKUP('Data Source 1_customer readings'!A172,'Data Source 1_customer readings'!A172:A2570,'Data Source 1_customer readings'!J172:J2570)</f>
        <v>0</v>
      </c>
    </row>
    <row r="173" spans="1:8" x14ac:dyDescent="0.2">
      <c r="A173" s="2" t="s">
        <v>89</v>
      </c>
      <c r="B173" s="2">
        <v>2</v>
      </c>
      <c r="C173" s="2">
        <v>12</v>
      </c>
      <c r="D173" s="2">
        <v>2020</v>
      </c>
      <c r="E173" s="2">
        <v>132.06</v>
      </c>
      <c r="F173" s="2">
        <v>55.18</v>
      </c>
      <c r="H173" s="1">
        <f>_xlfn.XLOOKUP('Data Source 1_customer readings'!A173,'Data Source 1_customer readings'!A173:A2571,'Data Source 1_customer readings'!J173:J2571)</f>
        <v>0</v>
      </c>
    </row>
    <row r="174" spans="1:8" x14ac:dyDescent="0.2">
      <c r="A174" s="2" t="s">
        <v>73</v>
      </c>
      <c r="B174" s="2">
        <v>5</v>
      </c>
      <c r="C174" s="2">
        <v>12</v>
      </c>
      <c r="D174" s="2">
        <v>2020</v>
      </c>
      <c r="E174" s="2">
        <v>131.13</v>
      </c>
      <c r="F174" s="2">
        <v>76.260000000000005</v>
      </c>
      <c r="H174" s="1">
        <f>_xlfn.XLOOKUP('Data Source 1_customer readings'!A174,'Data Source 1_customer readings'!A174:A2572,'Data Source 1_customer readings'!J174:J2572)</f>
        <v>0</v>
      </c>
    </row>
    <row r="175" spans="1:8" x14ac:dyDescent="0.2">
      <c r="A175" s="2" t="s">
        <v>74</v>
      </c>
      <c r="B175" s="2">
        <v>5</v>
      </c>
      <c r="C175" s="2">
        <v>12</v>
      </c>
      <c r="D175" s="2">
        <v>2020</v>
      </c>
      <c r="E175" s="2">
        <v>130.82</v>
      </c>
      <c r="F175" s="2">
        <v>87.42</v>
      </c>
      <c r="H175" s="1">
        <f>_xlfn.XLOOKUP('Data Source 1_customer readings'!A175,'Data Source 1_customer readings'!A175:A2573,'Data Source 1_customer readings'!J175:J2573)</f>
        <v>0</v>
      </c>
    </row>
    <row r="176" spans="1:8" x14ac:dyDescent="0.2">
      <c r="A176" s="2" t="s">
        <v>85</v>
      </c>
      <c r="B176" s="2">
        <v>3</v>
      </c>
      <c r="C176" s="2">
        <v>1</v>
      </c>
      <c r="D176" s="2">
        <v>2020</v>
      </c>
      <c r="E176" s="2">
        <v>130.51</v>
      </c>
      <c r="F176" s="2">
        <v>76.260000000000005</v>
      </c>
      <c r="H176" s="1">
        <f>_xlfn.XLOOKUP('Data Source 1_customer readings'!A176,'Data Source 1_customer readings'!A176:A2574,'Data Source 1_customer readings'!J176:J2574)</f>
        <v>0</v>
      </c>
    </row>
    <row r="177" spans="1:8" x14ac:dyDescent="0.2">
      <c r="A177" s="2" t="s">
        <v>79</v>
      </c>
      <c r="B177" s="2">
        <v>3</v>
      </c>
      <c r="C177" s="2">
        <v>12</v>
      </c>
      <c r="D177" s="2">
        <v>2020</v>
      </c>
      <c r="E177" s="2">
        <v>130.19999999999999</v>
      </c>
      <c r="F177" s="2">
        <v>97.03</v>
      </c>
      <c r="H177" s="1">
        <f>_xlfn.XLOOKUP('Data Source 1_customer readings'!A177,'Data Source 1_customer readings'!A177:A2575,'Data Source 1_customer readings'!J177:J2575)</f>
        <v>0</v>
      </c>
    </row>
    <row r="178" spans="1:8" x14ac:dyDescent="0.2">
      <c r="A178" s="2" t="s">
        <v>91</v>
      </c>
      <c r="B178" s="2">
        <v>5</v>
      </c>
      <c r="C178" s="2">
        <v>2</v>
      </c>
      <c r="D178" s="2">
        <v>2020</v>
      </c>
      <c r="E178" s="2">
        <v>129.91999999999999</v>
      </c>
      <c r="F178" s="2">
        <v>53.2</v>
      </c>
      <c r="H178" s="1">
        <f>_xlfn.XLOOKUP('Data Source 1_customer readings'!A178,'Data Source 1_customer readings'!A178:A2576,'Data Source 1_customer readings'!J178:J2576)</f>
        <v>0</v>
      </c>
    </row>
    <row r="179" spans="1:8" x14ac:dyDescent="0.2">
      <c r="A179" s="2" t="s">
        <v>62</v>
      </c>
      <c r="B179" s="2">
        <v>1</v>
      </c>
      <c r="C179" s="2">
        <v>12</v>
      </c>
      <c r="D179" s="2">
        <v>2020</v>
      </c>
      <c r="E179" s="2">
        <v>129.27000000000001</v>
      </c>
      <c r="F179" s="2">
        <v>64.790000000000006</v>
      </c>
      <c r="H179" s="1">
        <f>_xlfn.XLOOKUP('Data Source 1_customer readings'!A179,'Data Source 1_customer readings'!A179:A2577,'Data Source 1_customer readings'!J179:J2577)</f>
        <v>0</v>
      </c>
    </row>
    <row r="180" spans="1:8" x14ac:dyDescent="0.2">
      <c r="A180" s="2" t="s">
        <v>74</v>
      </c>
      <c r="B180" s="2">
        <v>5</v>
      </c>
      <c r="C180" s="2">
        <v>11</v>
      </c>
      <c r="D180" s="2">
        <v>2020</v>
      </c>
      <c r="E180" s="2">
        <v>128.69999999999999</v>
      </c>
      <c r="F180" s="2">
        <v>84</v>
      </c>
      <c r="H180" s="1">
        <f>_xlfn.XLOOKUP('Data Source 1_customer readings'!A180,'Data Source 1_customer readings'!A180:A2578,'Data Source 1_customer readings'!J180:J2578)</f>
        <v>0</v>
      </c>
    </row>
    <row r="181" spans="1:8" x14ac:dyDescent="0.2">
      <c r="A181" s="2" t="s">
        <v>62</v>
      </c>
      <c r="B181" s="2">
        <v>1</v>
      </c>
      <c r="C181" s="2">
        <v>11</v>
      </c>
      <c r="D181" s="2">
        <v>2020</v>
      </c>
      <c r="E181" s="2">
        <v>128.69999999999999</v>
      </c>
      <c r="F181" s="2">
        <v>83.7</v>
      </c>
      <c r="H181" s="1">
        <f>_xlfn.XLOOKUP('Data Source 1_customer readings'!A181,'Data Source 1_customer readings'!A181:A2579,'Data Source 1_customer readings'!J181:J2579)</f>
        <v>0</v>
      </c>
    </row>
    <row r="182" spans="1:8" x14ac:dyDescent="0.2">
      <c r="A182" s="2" t="s">
        <v>78</v>
      </c>
      <c r="B182" s="2">
        <v>18</v>
      </c>
      <c r="C182" s="2">
        <v>1</v>
      </c>
      <c r="D182" s="2">
        <v>2020</v>
      </c>
      <c r="E182" s="2">
        <v>128.34</v>
      </c>
      <c r="F182" s="2">
        <v>77.81</v>
      </c>
      <c r="H182" s="1">
        <f>_xlfn.XLOOKUP('Data Source 1_customer readings'!A182,'Data Source 1_customer readings'!A182:A2580,'Data Source 1_customer readings'!J182:J2580)</f>
        <v>0</v>
      </c>
    </row>
    <row r="183" spans="1:8" x14ac:dyDescent="0.2">
      <c r="A183" s="2" t="s">
        <v>89</v>
      </c>
      <c r="B183" s="2">
        <v>2</v>
      </c>
      <c r="C183" s="2">
        <v>2</v>
      </c>
      <c r="D183" s="2">
        <v>2020</v>
      </c>
      <c r="E183" s="2">
        <v>127.96</v>
      </c>
      <c r="F183" s="2">
        <v>64.959999999999994</v>
      </c>
      <c r="H183" s="1">
        <f>_xlfn.XLOOKUP('Data Source 1_customer readings'!A183,'Data Source 1_customer readings'!A183:A2581,'Data Source 1_customer readings'!J183:J2581)</f>
        <v>0</v>
      </c>
    </row>
    <row r="184" spans="1:8" x14ac:dyDescent="0.2">
      <c r="A184" s="2" t="s">
        <v>82</v>
      </c>
      <c r="B184" s="2">
        <v>8</v>
      </c>
      <c r="C184" s="2">
        <v>11</v>
      </c>
      <c r="D184" s="2">
        <v>2020</v>
      </c>
      <c r="E184" s="2">
        <v>127.2</v>
      </c>
      <c r="F184" s="2">
        <v>78.599999999999994</v>
      </c>
      <c r="H184" s="1">
        <f>_xlfn.XLOOKUP('Data Source 1_customer readings'!A184,'Data Source 1_customer readings'!A184:A2582,'Data Source 1_customer readings'!J184:J2582)</f>
        <v>0</v>
      </c>
    </row>
    <row r="185" spans="1:8" x14ac:dyDescent="0.2">
      <c r="A185" s="2" t="s">
        <v>83</v>
      </c>
      <c r="B185" s="2">
        <v>25</v>
      </c>
      <c r="C185" s="2">
        <v>12</v>
      </c>
      <c r="D185" s="2">
        <v>2020</v>
      </c>
      <c r="E185" s="2">
        <v>126.79</v>
      </c>
      <c r="F185" s="2">
        <v>96.41</v>
      </c>
      <c r="H185" s="1">
        <f>_xlfn.XLOOKUP('Data Source 1_customer readings'!A185,'Data Source 1_customer readings'!A185:A2583,'Data Source 1_customer readings'!J185:J2583)</f>
        <v>0</v>
      </c>
    </row>
    <row r="186" spans="1:8" x14ac:dyDescent="0.2">
      <c r="A186" s="2" t="s">
        <v>83</v>
      </c>
      <c r="B186" s="2">
        <v>25</v>
      </c>
      <c r="C186" s="2">
        <v>2</v>
      </c>
      <c r="D186" s="2">
        <v>2020</v>
      </c>
      <c r="E186" s="2">
        <v>125.72</v>
      </c>
      <c r="F186" s="2">
        <v>108.08</v>
      </c>
      <c r="H186" s="1">
        <f>_xlfn.XLOOKUP('Data Source 1_customer readings'!A186,'Data Source 1_customer readings'!A186:A2584,'Data Source 1_customer readings'!J186:J2584)</f>
        <v>0</v>
      </c>
    </row>
    <row r="187" spans="1:8" x14ac:dyDescent="0.2">
      <c r="A187" s="2" t="s">
        <v>72</v>
      </c>
      <c r="B187" s="2">
        <v>22</v>
      </c>
      <c r="C187" s="2">
        <v>1</v>
      </c>
      <c r="D187" s="2">
        <v>2020</v>
      </c>
      <c r="E187" s="2">
        <v>125.24</v>
      </c>
      <c r="F187" s="2">
        <v>93.62</v>
      </c>
      <c r="H187" s="1">
        <f>_xlfn.XLOOKUP('Data Source 1_customer readings'!A187,'Data Source 1_customer readings'!A187:A2585,'Data Source 1_customer readings'!J187:J2585)</f>
        <v>0</v>
      </c>
    </row>
    <row r="188" spans="1:8" x14ac:dyDescent="0.2">
      <c r="A188" s="2" t="s">
        <v>53</v>
      </c>
      <c r="B188" s="2">
        <v>18</v>
      </c>
      <c r="C188" s="2">
        <v>12</v>
      </c>
      <c r="D188" s="2">
        <v>2020</v>
      </c>
      <c r="E188" s="2">
        <v>124.93</v>
      </c>
      <c r="F188" s="2">
        <v>88.66</v>
      </c>
      <c r="H188" s="1">
        <f>_xlfn.XLOOKUP('Data Source 1_customer readings'!A188,'Data Source 1_customer readings'!A188:A2586,'Data Source 1_customer readings'!J188:J2586)</f>
        <v>0</v>
      </c>
    </row>
    <row r="189" spans="1:8" x14ac:dyDescent="0.2">
      <c r="A189" s="2" t="s">
        <v>87</v>
      </c>
      <c r="B189" s="2">
        <v>1</v>
      </c>
      <c r="C189" s="2">
        <v>11</v>
      </c>
      <c r="D189" s="2">
        <v>2020</v>
      </c>
      <c r="E189" s="2">
        <v>124.8</v>
      </c>
      <c r="F189" s="2">
        <v>89.1</v>
      </c>
      <c r="H189" s="1" t="b">
        <f>_xlfn.XLOOKUP('Data Source 1_customer readings'!A189,'Data Source 1_customer readings'!A189:A2587,'Data Source 1_customer readings'!J189:J2587)</f>
        <v>0</v>
      </c>
    </row>
    <row r="190" spans="1:8" x14ac:dyDescent="0.2">
      <c r="A190" s="2" t="s">
        <v>61</v>
      </c>
      <c r="B190" s="2">
        <v>23</v>
      </c>
      <c r="C190" s="2">
        <v>12</v>
      </c>
      <c r="D190" s="2">
        <v>2020</v>
      </c>
      <c r="E190" s="2">
        <v>124.62</v>
      </c>
      <c r="F190" s="2">
        <v>76.88</v>
      </c>
      <c r="H190" s="1">
        <f>_xlfn.XLOOKUP('Data Source 1_customer readings'!A190,'Data Source 1_customer readings'!A190:A2588,'Data Source 1_customer readings'!J190:J2588)</f>
        <v>0</v>
      </c>
    </row>
    <row r="191" spans="1:8" x14ac:dyDescent="0.2">
      <c r="A191" s="2" t="s">
        <v>77</v>
      </c>
      <c r="B191" s="2">
        <v>16</v>
      </c>
      <c r="C191" s="2">
        <v>1</v>
      </c>
      <c r="D191" s="2">
        <v>2020</v>
      </c>
      <c r="E191" s="2">
        <v>123.38</v>
      </c>
      <c r="F191" s="2">
        <v>98.58</v>
      </c>
      <c r="H191" s="1">
        <f>_xlfn.XLOOKUP('Data Source 1_customer readings'!A191,'Data Source 1_customer readings'!A191:A2589,'Data Source 1_customer readings'!J191:J2589)</f>
        <v>0</v>
      </c>
    </row>
    <row r="192" spans="1:8" x14ac:dyDescent="0.2">
      <c r="A192" s="2" t="s">
        <v>61</v>
      </c>
      <c r="B192" s="2">
        <v>23</v>
      </c>
      <c r="C192" s="2">
        <v>1</v>
      </c>
      <c r="D192" s="2">
        <v>2020</v>
      </c>
      <c r="E192" s="2">
        <v>123.38</v>
      </c>
      <c r="F192" s="2">
        <v>95.79</v>
      </c>
      <c r="H192" s="1">
        <f>_xlfn.XLOOKUP('Data Source 1_customer readings'!A192,'Data Source 1_customer readings'!A192:A2590,'Data Source 1_customer readings'!J192:J2590)</f>
        <v>0</v>
      </c>
    </row>
    <row r="193" spans="1:8" x14ac:dyDescent="0.2">
      <c r="A193" s="2" t="s">
        <v>86</v>
      </c>
      <c r="B193" s="2">
        <v>6</v>
      </c>
      <c r="C193" s="2">
        <v>2</v>
      </c>
      <c r="D193" s="2">
        <v>2020</v>
      </c>
      <c r="E193" s="2">
        <v>123.2</v>
      </c>
      <c r="F193" s="2">
        <v>87.64</v>
      </c>
      <c r="H193" s="1">
        <f>_xlfn.XLOOKUP('Data Source 1_customer readings'!A193,'Data Source 1_customer readings'!A193:A2591,'Data Source 1_customer readings'!J193:J2591)</f>
        <v>0</v>
      </c>
    </row>
    <row r="194" spans="1:8" x14ac:dyDescent="0.2">
      <c r="A194" s="2" t="s">
        <v>63</v>
      </c>
      <c r="B194" s="2">
        <v>25</v>
      </c>
      <c r="C194" s="2">
        <v>1</v>
      </c>
      <c r="D194" s="2">
        <v>2020</v>
      </c>
      <c r="E194" s="2">
        <v>123.07</v>
      </c>
      <c r="F194" s="2">
        <v>89.9</v>
      </c>
      <c r="H194" s="1">
        <f>_xlfn.XLOOKUP('Data Source 1_customer readings'!A194,'Data Source 1_customer readings'!A194:A2592,'Data Source 1_customer readings'!J194:J2592)</f>
        <v>0</v>
      </c>
    </row>
    <row r="195" spans="1:8" x14ac:dyDescent="0.2">
      <c r="A195" s="2" t="s">
        <v>74</v>
      </c>
      <c r="B195" s="2">
        <v>5</v>
      </c>
      <c r="C195" s="2">
        <v>1</v>
      </c>
      <c r="D195" s="2">
        <v>2020</v>
      </c>
      <c r="E195" s="2">
        <v>123.07</v>
      </c>
      <c r="F195" s="2">
        <v>74.709999999999994</v>
      </c>
      <c r="H195" s="1" t="b">
        <f>_xlfn.XLOOKUP('Data Source 1_customer readings'!A195,'Data Source 1_customer readings'!A195:A2593,'Data Source 1_customer readings'!J195:J2593)</f>
        <v>1</v>
      </c>
    </row>
    <row r="196" spans="1:8" x14ac:dyDescent="0.2">
      <c r="A196" s="2" t="s">
        <v>91</v>
      </c>
      <c r="B196" s="2">
        <v>5</v>
      </c>
      <c r="C196" s="2">
        <v>1</v>
      </c>
      <c r="D196" s="2">
        <v>2020</v>
      </c>
      <c r="E196" s="2">
        <v>122.76</v>
      </c>
      <c r="F196" s="2">
        <v>53.94</v>
      </c>
      <c r="H196" s="1">
        <f>_xlfn.XLOOKUP('Data Source 1_customer readings'!A196,'Data Source 1_customer readings'!A196:A2594,'Data Source 1_customer readings'!J196:J2594)</f>
        <v>0</v>
      </c>
    </row>
    <row r="197" spans="1:8" x14ac:dyDescent="0.2">
      <c r="A197" s="2" t="s">
        <v>78</v>
      </c>
      <c r="B197" s="2">
        <v>18</v>
      </c>
      <c r="C197" s="2">
        <v>11</v>
      </c>
      <c r="D197" s="2">
        <v>2020</v>
      </c>
      <c r="E197" s="2">
        <v>122.4</v>
      </c>
      <c r="F197" s="2">
        <v>67.2</v>
      </c>
      <c r="H197" s="1">
        <f>_xlfn.XLOOKUP('Data Source 1_customer readings'!A197,'Data Source 1_customer readings'!A197:A2595,'Data Source 1_customer readings'!J197:J2595)</f>
        <v>0</v>
      </c>
    </row>
    <row r="198" spans="1:8" x14ac:dyDescent="0.2">
      <c r="A198" s="2" t="s">
        <v>41</v>
      </c>
      <c r="B198" s="2">
        <v>15</v>
      </c>
      <c r="C198" s="2">
        <v>1</v>
      </c>
      <c r="D198" s="2">
        <v>2020</v>
      </c>
      <c r="E198" s="2">
        <v>122.14</v>
      </c>
      <c r="F198" s="2">
        <v>108.19</v>
      </c>
      <c r="H198" s="1">
        <f>_xlfn.XLOOKUP('Data Source 1_customer readings'!A198,'Data Source 1_customer readings'!A198:A2596,'Data Source 1_customer readings'!J198:J2596)</f>
        <v>0</v>
      </c>
    </row>
    <row r="199" spans="1:8" x14ac:dyDescent="0.2">
      <c r="A199" s="2" t="s">
        <v>90</v>
      </c>
      <c r="B199" s="2">
        <v>18</v>
      </c>
      <c r="C199" s="2">
        <v>2</v>
      </c>
      <c r="D199" s="2">
        <v>2020</v>
      </c>
      <c r="E199" s="2">
        <v>122.08</v>
      </c>
      <c r="F199" s="2">
        <v>90.44</v>
      </c>
      <c r="H199" s="1">
        <f>_xlfn.XLOOKUP('Data Source 1_customer readings'!A199,'Data Source 1_customer readings'!A199:A2597,'Data Source 1_customer readings'!J199:J2597)</f>
        <v>0</v>
      </c>
    </row>
    <row r="200" spans="1:8" x14ac:dyDescent="0.2">
      <c r="A200" s="2" t="s">
        <v>53</v>
      </c>
      <c r="B200" s="2">
        <v>18</v>
      </c>
      <c r="C200" s="2">
        <v>1</v>
      </c>
      <c r="D200" s="2">
        <v>2020</v>
      </c>
      <c r="E200" s="2">
        <v>121.83</v>
      </c>
      <c r="F200" s="2">
        <v>72.849999999999994</v>
      </c>
      <c r="H200" s="1">
        <f>_xlfn.XLOOKUP('Data Source 1_customer readings'!A200,'Data Source 1_customer readings'!A200:A2598,'Data Source 1_customer readings'!J200:J2598)</f>
        <v>0</v>
      </c>
    </row>
    <row r="201" spans="1:8" x14ac:dyDescent="0.2">
      <c r="A201" s="2" t="s">
        <v>50</v>
      </c>
      <c r="B201" s="2">
        <v>24</v>
      </c>
      <c r="C201" s="2">
        <v>12</v>
      </c>
      <c r="D201" s="2">
        <v>2020</v>
      </c>
      <c r="E201" s="2">
        <v>121.52</v>
      </c>
      <c r="F201" s="2">
        <v>78.739999999999995</v>
      </c>
      <c r="H201" s="1">
        <f>_xlfn.XLOOKUP('Data Source 1_customer readings'!A201,'Data Source 1_customer readings'!A201:A2599,'Data Source 1_customer readings'!J201:J2599)</f>
        <v>0</v>
      </c>
    </row>
    <row r="202" spans="1:8" x14ac:dyDescent="0.2">
      <c r="A202" s="2" t="s">
        <v>86</v>
      </c>
      <c r="B202" s="2">
        <v>6</v>
      </c>
      <c r="C202" s="2">
        <v>11</v>
      </c>
      <c r="D202" s="2">
        <v>2020</v>
      </c>
      <c r="E202" s="2">
        <v>121.5</v>
      </c>
      <c r="F202" s="2">
        <v>87.6</v>
      </c>
      <c r="H202" s="1">
        <f>_xlfn.XLOOKUP('Data Source 1_customer readings'!A202,'Data Source 1_customer readings'!A202:A2600,'Data Source 1_customer readings'!J202:J2600)</f>
        <v>0</v>
      </c>
    </row>
    <row r="203" spans="1:8" x14ac:dyDescent="0.2">
      <c r="A203" s="2" t="s">
        <v>81</v>
      </c>
      <c r="B203" s="2">
        <v>19</v>
      </c>
      <c r="C203" s="2">
        <v>12</v>
      </c>
      <c r="D203" s="2">
        <v>2020</v>
      </c>
      <c r="E203" s="2">
        <v>121.21</v>
      </c>
      <c r="F203" s="2">
        <v>85.25</v>
      </c>
      <c r="H203" s="1">
        <f>_xlfn.XLOOKUP('Data Source 1_customer readings'!A203,'Data Source 1_customer readings'!A203:A2601,'Data Source 1_customer readings'!J203:J2601)</f>
        <v>0</v>
      </c>
    </row>
    <row r="204" spans="1:8" x14ac:dyDescent="0.2">
      <c r="A204" s="2" t="s">
        <v>51</v>
      </c>
      <c r="B204" s="2">
        <v>16</v>
      </c>
      <c r="C204" s="2">
        <v>12</v>
      </c>
      <c r="D204" s="2">
        <v>2020</v>
      </c>
      <c r="E204" s="2">
        <v>120.9</v>
      </c>
      <c r="F204" s="2">
        <v>80.599999999999994</v>
      </c>
      <c r="H204" s="1">
        <f>_xlfn.XLOOKUP('Data Source 1_customer readings'!A204,'Data Source 1_customer readings'!A204:A2602,'Data Source 1_customer readings'!J204:J2602)</f>
        <v>0</v>
      </c>
    </row>
    <row r="205" spans="1:8" x14ac:dyDescent="0.2">
      <c r="A205" s="2" t="s">
        <v>64</v>
      </c>
      <c r="B205" s="2">
        <v>21</v>
      </c>
      <c r="C205" s="2">
        <v>12</v>
      </c>
      <c r="D205" s="2">
        <v>2020</v>
      </c>
      <c r="E205" s="2">
        <v>120.28</v>
      </c>
      <c r="F205" s="2">
        <v>78.12</v>
      </c>
      <c r="H205" s="1">
        <f>_xlfn.XLOOKUP('Data Source 1_customer readings'!A205,'Data Source 1_customer readings'!A205:A2603,'Data Source 1_customer readings'!J205:J2603)</f>
        <v>0</v>
      </c>
    </row>
    <row r="206" spans="1:8" x14ac:dyDescent="0.2">
      <c r="A206" s="2" t="s">
        <v>58</v>
      </c>
      <c r="B206" s="2">
        <v>16</v>
      </c>
      <c r="C206" s="2">
        <v>12</v>
      </c>
      <c r="D206" s="2">
        <v>2020</v>
      </c>
      <c r="E206" s="2">
        <v>120.28</v>
      </c>
      <c r="F206" s="2">
        <v>76.88</v>
      </c>
      <c r="H206" s="1">
        <f>_xlfn.XLOOKUP('Data Source 1_customer readings'!A206,'Data Source 1_customer readings'!A206:A2604,'Data Source 1_customer readings'!J206:J2604)</f>
        <v>0</v>
      </c>
    </row>
    <row r="207" spans="1:8" x14ac:dyDescent="0.2">
      <c r="A207" s="2" t="s">
        <v>82</v>
      </c>
      <c r="B207" s="2">
        <v>8</v>
      </c>
      <c r="C207" s="2">
        <v>1</v>
      </c>
      <c r="D207" s="2">
        <v>2020</v>
      </c>
      <c r="E207" s="2">
        <v>119.97</v>
      </c>
      <c r="F207" s="2">
        <v>76.260000000000005</v>
      </c>
      <c r="H207" s="1">
        <f>_xlfn.XLOOKUP('Data Source 1_customer readings'!A207,'Data Source 1_customer readings'!A207:A2605,'Data Source 1_customer readings'!J207:J2605)</f>
        <v>0</v>
      </c>
    </row>
    <row r="208" spans="1:8" x14ac:dyDescent="0.2">
      <c r="A208" s="2" t="s">
        <v>75</v>
      </c>
      <c r="B208" s="2">
        <v>2</v>
      </c>
      <c r="C208" s="2">
        <v>12</v>
      </c>
      <c r="D208" s="2">
        <v>2020</v>
      </c>
      <c r="E208" s="2">
        <v>119.97</v>
      </c>
      <c r="F208" s="2">
        <v>71.92</v>
      </c>
      <c r="H208" s="1" t="b">
        <f>_xlfn.XLOOKUP('Data Source 1_customer readings'!A208,'Data Source 1_customer readings'!A208:A2606,'Data Source 1_customer readings'!J208:J2606)</f>
        <v>0</v>
      </c>
    </row>
    <row r="209" spans="1:8" x14ac:dyDescent="0.2">
      <c r="A209" s="2" t="s">
        <v>60</v>
      </c>
      <c r="B209" s="2">
        <v>20</v>
      </c>
      <c r="C209" s="2">
        <v>12</v>
      </c>
      <c r="D209" s="2">
        <v>2020</v>
      </c>
      <c r="E209" s="2">
        <v>119.66</v>
      </c>
      <c r="F209" s="2">
        <v>89.9</v>
      </c>
      <c r="H209" s="1">
        <f>_xlfn.XLOOKUP('Data Source 1_customer readings'!A209,'Data Source 1_customer readings'!A209:A2607,'Data Source 1_customer readings'!J209:J2607)</f>
        <v>0</v>
      </c>
    </row>
    <row r="210" spans="1:8" x14ac:dyDescent="0.2">
      <c r="A210" s="2" t="s">
        <v>81</v>
      </c>
      <c r="B210" s="2">
        <v>19</v>
      </c>
      <c r="C210" s="2">
        <v>1</v>
      </c>
      <c r="D210" s="2">
        <v>2020</v>
      </c>
      <c r="E210" s="2">
        <v>119.35</v>
      </c>
      <c r="F210" s="2">
        <v>87.42</v>
      </c>
      <c r="H210" s="1">
        <f>_xlfn.XLOOKUP('Data Source 1_customer readings'!A210,'Data Source 1_customer readings'!A210:A2608,'Data Source 1_customer readings'!J210:J2608)</f>
        <v>0</v>
      </c>
    </row>
    <row r="211" spans="1:8" x14ac:dyDescent="0.2">
      <c r="A211" s="2" t="s">
        <v>65</v>
      </c>
      <c r="B211" s="2">
        <v>11</v>
      </c>
      <c r="C211" s="2">
        <v>12</v>
      </c>
      <c r="D211" s="2">
        <v>2020</v>
      </c>
      <c r="E211" s="2">
        <v>119.35</v>
      </c>
      <c r="F211" s="2">
        <v>87.11</v>
      </c>
      <c r="H211" s="1">
        <f>_xlfn.XLOOKUP('Data Source 1_customer readings'!A211,'Data Source 1_customer readings'!A211:A2609,'Data Source 1_customer readings'!J211:J2609)</f>
        <v>0</v>
      </c>
    </row>
    <row r="212" spans="1:8" x14ac:dyDescent="0.2">
      <c r="A212" s="2" t="s">
        <v>36</v>
      </c>
      <c r="B212" s="2">
        <v>12</v>
      </c>
      <c r="C212" s="2">
        <v>1</v>
      </c>
      <c r="D212" s="2">
        <v>2020</v>
      </c>
      <c r="E212" s="2">
        <v>119.35</v>
      </c>
      <c r="F212" s="2">
        <v>84.01</v>
      </c>
      <c r="H212" s="1">
        <f>_xlfn.XLOOKUP('Data Source 1_customer readings'!A212,'Data Source 1_customer readings'!A212:A2610,'Data Source 1_customer readings'!J212:J2610)</f>
        <v>0</v>
      </c>
    </row>
    <row r="213" spans="1:8" x14ac:dyDescent="0.2">
      <c r="A213" s="2" t="s">
        <v>71</v>
      </c>
      <c r="B213" s="2">
        <v>21</v>
      </c>
      <c r="C213" s="2">
        <v>11</v>
      </c>
      <c r="D213" s="2">
        <v>2020</v>
      </c>
      <c r="E213" s="2">
        <v>119.1</v>
      </c>
      <c r="F213" s="2">
        <v>97.5</v>
      </c>
      <c r="H213" s="1">
        <f>_xlfn.XLOOKUP('Data Source 1_customer readings'!A213,'Data Source 1_customer readings'!A213:A2611,'Data Source 1_customer readings'!J213:J2611)</f>
        <v>0</v>
      </c>
    </row>
    <row r="214" spans="1:8" x14ac:dyDescent="0.2">
      <c r="A214" s="2" t="s">
        <v>90</v>
      </c>
      <c r="B214" s="2">
        <v>18</v>
      </c>
      <c r="C214" s="2">
        <v>1</v>
      </c>
      <c r="D214" s="2">
        <v>2020</v>
      </c>
      <c r="E214" s="2">
        <v>119.04</v>
      </c>
      <c r="F214" s="2">
        <v>92.69</v>
      </c>
      <c r="H214" s="1">
        <f>_xlfn.XLOOKUP('Data Source 1_customer readings'!A214,'Data Source 1_customer readings'!A214:A2612,'Data Source 1_customer readings'!J214:J2612)</f>
        <v>0</v>
      </c>
    </row>
    <row r="215" spans="1:8" x14ac:dyDescent="0.2">
      <c r="A215" s="2" t="s">
        <v>80</v>
      </c>
      <c r="B215" s="2">
        <v>12</v>
      </c>
      <c r="C215" s="2">
        <v>12</v>
      </c>
      <c r="D215" s="2">
        <v>2020</v>
      </c>
      <c r="E215" s="2">
        <v>117.8</v>
      </c>
      <c r="F215" s="2">
        <v>93.62</v>
      </c>
      <c r="H215" s="1">
        <f>_xlfn.XLOOKUP('Data Source 1_customer readings'!A215,'Data Source 1_customer readings'!A215:A2613,'Data Source 1_customer readings'!J215:J2613)</f>
        <v>0</v>
      </c>
    </row>
    <row r="216" spans="1:8" x14ac:dyDescent="0.2">
      <c r="A216" s="2" t="s">
        <v>92</v>
      </c>
      <c r="B216" s="2">
        <v>7</v>
      </c>
      <c r="C216" s="2">
        <v>3</v>
      </c>
      <c r="D216" s="2">
        <v>2020</v>
      </c>
      <c r="E216" s="2">
        <v>117.49</v>
      </c>
      <c r="F216" s="2">
        <v>86.18</v>
      </c>
      <c r="H216" s="1">
        <f>_xlfn.XLOOKUP('Data Source 1_customer readings'!A216,'Data Source 1_customer readings'!A216:A2614,'Data Source 1_customer readings'!J216:J2614)</f>
        <v>0</v>
      </c>
    </row>
    <row r="217" spans="1:8" x14ac:dyDescent="0.2">
      <c r="A217" s="2" t="s">
        <v>83</v>
      </c>
      <c r="B217" s="2">
        <v>25</v>
      </c>
      <c r="C217" s="2">
        <v>1</v>
      </c>
      <c r="D217" s="2">
        <v>2020</v>
      </c>
      <c r="E217" s="2">
        <v>117.18</v>
      </c>
      <c r="F217" s="2">
        <v>126.48</v>
      </c>
      <c r="H217" s="1">
        <f>_xlfn.XLOOKUP('Data Source 1_customer readings'!A217,'Data Source 1_customer readings'!A217:A2615,'Data Source 1_customer readings'!J217:J2615)</f>
        <v>0</v>
      </c>
    </row>
    <row r="218" spans="1:8" x14ac:dyDescent="0.2">
      <c r="A218" s="2" t="s">
        <v>88</v>
      </c>
      <c r="B218" s="2">
        <v>23</v>
      </c>
      <c r="C218" s="2">
        <v>1</v>
      </c>
      <c r="D218" s="2">
        <v>2020</v>
      </c>
      <c r="E218" s="2">
        <v>117.18</v>
      </c>
      <c r="F218" s="2">
        <v>116.25</v>
      </c>
      <c r="H218" s="1">
        <f>_xlfn.XLOOKUP('Data Source 1_customer readings'!A218,'Data Source 1_customer readings'!A218:A2616,'Data Source 1_customer readings'!J218:J2616)</f>
        <v>0</v>
      </c>
    </row>
    <row r="219" spans="1:8" x14ac:dyDescent="0.2">
      <c r="A219" s="2" t="s">
        <v>57</v>
      </c>
      <c r="B219" s="2">
        <v>17</v>
      </c>
      <c r="C219" s="2">
        <v>12</v>
      </c>
      <c r="D219" s="2">
        <v>2020</v>
      </c>
      <c r="E219" s="2">
        <v>117.18</v>
      </c>
      <c r="F219" s="2">
        <v>90.52</v>
      </c>
      <c r="H219" s="1">
        <f>_xlfn.XLOOKUP('Data Source 1_customer readings'!A219,'Data Source 1_customer readings'!A219:A2617,'Data Source 1_customer readings'!J219:J2617)</f>
        <v>0</v>
      </c>
    </row>
    <row r="220" spans="1:8" x14ac:dyDescent="0.2">
      <c r="A220" s="2" t="s">
        <v>87</v>
      </c>
      <c r="B220" s="2">
        <v>1</v>
      </c>
      <c r="C220" s="2">
        <v>2</v>
      </c>
      <c r="D220" s="2">
        <v>2020</v>
      </c>
      <c r="E220" s="2">
        <v>116.76</v>
      </c>
      <c r="F220" s="2">
        <v>81.760000000000005</v>
      </c>
      <c r="H220" s="1">
        <f>_xlfn.XLOOKUP('Data Source 1_customer readings'!A220,'Data Source 1_customer readings'!A220:A2618,'Data Source 1_customer readings'!J220:J2618)</f>
        <v>0</v>
      </c>
    </row>
    <row r="221" spans="1:8" x14ac:dyDescent="0.2">
      <c r="A221" s="2" t="s">
        <v>73</v>
      </c>
      <c r="B221" s="2">
        <v>5</v>
      </c>
      <c r="C221" s="2">
        <v>11</v>
      </c>
      <c r="D221" s="2">
        <v>2020</v>
      </c>
      <c r="E221" s="2">
        <v>116.7</v>
      </c>
      <c r="F221" s="2">
        <v>88.8</v>
      </c>
      <c r="H221" s="1">
        <f>_xlfn.XLOOKUP('Data Source 1_customer readings'!A221,'Data Source 1_customer readings'!A221:A2619,'Data Source 1_customer readings'!J221:J2619)</f>
        <v>0</v>
      </c>
    </row>
    <row r="222" spans="1:8" x14ac:dyDescent="0.2">
      <c r="A222" s="2" t="s">
        <v>77</v>
      </c>
      <c r="B222" s="2">
        <v>16</v>
      </c>
      <c r="C222" s="2">
        <v>2</v>
      </c>
      <c r="D222" s="2">
        <v>2020</v>
      </c>
      <c r="E222" s="2">
        <v>116.48</v>
      </c>
      <c r="F222" s="2">
        <v>105.84</v>
      </c>
      <c r="H222" s="1">
        <f>_xlfn.XLOOKUP('Data Source 1_customer readings'!A222,'Data Source 1_customer readings'!A222:A2620,'Data Source 1_customer readings'!J222:J2620)</f>
        <v>0</v>
      </c>
    </row>
    <row r="223" spans="1:8" x14ac:dyDescent="0.2">
      <c r="A223" s="2" t="s">
        <v>65</v>
      </c>
      <c r="B223" s="2">
        <v>11</v>
      </c>
      <c r="C223" s="2">
        <v>1</v>
      </c>
      <c r="D223" s="2">
        <v>2020</v>
      </c>
      <c r="E223" s="2">
        <v>115.94</v>
      </c>
      <c r="F223" s="2">
        <v>97.65</v>
      </c>
      <c r="H223" s="1">
        <f>_xlfn.XLOOKUP('Data Source 1_customer readings'!A223,'Data Source 1_customer readings'!A223:A2621,'Data Source 1_customer readings'!J223:J2621)</f>
        <v>0</v>
      </c>
    </row>
    <row r="224" spans="1:8" x14ac:dyDescent="0.2">
      <c r="A224" s="2" t="s">
        <v>61</v>
      </c>
      <c r="B224" s="2">
        <v>23</v>
      </c>
      <c r="C224" s="2">
        <v>2</v>
      </c>
      <c r="D224" s="2">
        <v>2020</v>
      </c>
      <c r="E224" s="2">
        <v>115.64</v>
      </c>
      <c r="F224" s="2">
        <v>92.96</v>
      </c>
      <c r="H224" s="1">
        <f>_xlfn.XLOOKUP('Data Source 1_customer readings'!A224,'Data Source 1_customer readings'!A224:A2622,'Data Source 1_customer readings'!J224:J2622)</f>
        <v>0</v>
      </c>
    </row>
    <row r="225" spans="1:8" x14ac:dyDescent="0.2">
      <c r="A225" s="2" t="s">
        <v>50</v>
      </c>
      <c r="B225" s="2">
        <v>24</v>
      </c>
      <c r="C225" s="2">
        <v>2</v>
      </c>
      <c r="D225" s="2">
        <v>2020</v>
      </c>
      <c r="E225" s="2">
        <v>115.64</v>
      </c>
      <c r="F225" s="2">
        <v>66.36</v>
      </c>
      <c r="H225" s="1">
        <f>_xlfn.XLOOKUP('Data Source 1_customer readings'!A225,'Data Source 1_customer readings'!A225:A2623,'Data Source 1_customer readings'!J225:J2623)</f>
        <v>0</v>
      </c>
    </row>
    <row r="226" spans="1:8" x14ac:dyDescent="0.2">
      <c r="A226" s="2" t="s">
        <v>66</v>
      </c>
      <c r="B226" s="2">
        <v>23</v>
      </c>
      <c r="C226" s="2">
        <v>12</v>
      </c>
      <c r="D226" s="2">
        <v>2020</v>
      </c>
      <c r="E226" s="2">
        <v>115.63</v>
      </c>
      <c r="F226" s="2">
        <v>88.04</v>
      </c>
      <c r="H226" s="1">
        <f>_xlfn.XLOOKUP('Data Source 1_customer readings'!A226,'Data Source 1_customer readings'!A226:A2624,'Data Source 1_customer readings'!J226:J2624)</f>
        <v>0</v>
      </c>
    </row>
    <row r="227" spans="1:8" x14ac:dyDescent="0.2">
      <c r="A227" s="2" t="s">
        <v>93</v>
      </c>
      <c r="B227" s="2">
        <v>3</v>
      </c>
      <c r="C227" s="2">
        <v>3</v>
      </c>
      <c r="D227" s="2">
        <v>2020</v>
      </c>
      <c r="E227" s="2">
        <v>115.63</v>
      </c>
      <c r="F227" s="2">
        <v>84.32</v>
      </c>
      <c r="H227" s="1">
        <f>_xlfn.XLOOKUP('Data Source 1_customer readings'!A227,'Data Source 1_customer readings'!A227:A2625,'Data Source 1_customer readings'!J227:J2625)</f>
        <v>0</v>
      </c>
    </row>
    <row r="228" spans="1:8" x14ac:dyDescent="0.2">
      <c r="A228" s="2" t="s">
        <v>57</v>
      </c>
      <c r="B228" s="2">
        <v>17</v>
      </c>
      <c r="C228" s="2">
        <v>11</v>
      </c>
      <c r="D228" s="2">
        <v>2020</v>
      </c>
      <c r="E228" s="2">
        <v>115.2</v>
      </c>
      <c r="F228" s="2">
        <v>83.4</v>
      </c>
      <c r="H228" s="1" t="b">
        <f>_xlfn.XLOOKUP('Data Source 1_customer readings'!A228,'Data Source 1_customer readings'!A228:A2626,'Data Source 1_customer readings'!J228:J2626)</f>
        <v>0</v>
      </c>
    </row>
    <row r="229" spans="1:8" x14ac:dyDescent="0.2">
      <c r="A229" s="2" t="s">
        <v>70</v>
      </c>
      <c r="B229" s="2">
        <v>16</v>
      </c>
      <c r="C229" s="2">
        <v>1</v>
      </c>
      <c r="D229" s="2">
        <v>2020</v>
      </c>
      <c r="E229" s="2">
        <v>115.01</v>
      </c>
      <c r="F229" s="2">
        <v>90.83</v>
      </c>
      <c r="H229" s="1" t="b">
        <f>_xlfn.XLOOKUP('Data Source 1_customer readings'!A229,'Data Source 1_customer readings'!A229:A2627,'Data Source 1_customer readings'!J229:J2627)</f>
        <v>0</v>
      </c>
    </row>
    <row r="230" spans="1:8" x14ac:dyDescent="0.2">
      <c r="A230" s="2" t="s">
        <v>82</v>
      </c>
      <c r="B230" s="2">
        <v>8</v>
      </c>
      <c r="C230" s="2">
        <v>2</v>
      </c>
      <c r="D230" s="2">
        <v>2020</v>
      </c>
      <c r="E230" s="2">
        <v>114.8</v>
      </c>
      <c r="F230" s="2">
        <v>68.040000000000006</v>
      </c>
      <c r="H230" s="1" t="b">
        <f>_xlfn.XLOOKUP('Data Source 1_customer readings'!A230,'Data Source 1_customer readings'!A230:A2628,'Data Source 1_customer readings'!J230:J2628)</f>
        <v>0</v>
      </c>
    </row>
    <row r="231" spans="1:8" x14ac:dyDescent="0.2">
      <c r="A231" s="2" t="s">
        <v>59</v>
      </c>
      <c r="B231" s="2">
        <v>11</v>
      </c>
      <c r="C231" s="2">
        <v>1</v>
      </c>
      <c r="D231" s="2">
        <v>2020</v>
      </c>
      <c r="E231" s="2">
        <v>114.7</v>
      </c>
      <c r="F231" s="2">
        <v>79.36</v>
      </c>
      <c r="H231" s="1">
        <f>_xlfn.XLOOKUP('Data Source 1_customer readings'!A231,'Data Source 1_customer readings'!A231:A2629,'Data Source 1_customer readings'!J231:J2629)</f>
        <v>0</v>
      </c>
    </row>
    <row r="232" spans="1:8" x14ac:dyDescent="0.2">
      <c r="A232" s="2" t="s">
        <v>70</v>
      </c>
      <c r="B232" s="2">
        <v>16</v>
      </c>
      <c r="C232" s="2">
        <v>12</v>
      </c>
      <c r="D232" s="2">
        <v>2020</v>
      </c>
      <c r="E232" s="2">
        <v>114.7</v>
      </c>
      <c r="F232" s="2">
        <v>77.5</v>
      </c>
      <c r="H232" s="1" t="b">
        <f>_xlfn.XLOOKUP('Data Source 1_customer readings'!A232,'Data Source 1_customer readings'!A232:A2630,'Data Source 1_customer readings'!J232:J2630)</f>
        <v>0</v>
      </c>
    </row>
    <row r="233" spans="1:8" x14ac:dyDescent="0.2">
      <c r="A233" s="2" t="s">
        <v>45</v>
      </c>
      <c r="B233" s="2">
        <v>18</v>
      </c>
      <c r="C233" s="2">
        <v>12</v>
      </c>
      <c r="D233" s="2">
        <v>2020</v>
      </c>
      <c r="E233" s="2">
        <v>114.7</v>
      </c>
      <c r="F233" s="2">
        <v>76.88</v>
      </c>
      <c r="H233" s="1" t="b">
        <f>_xlfn.XLOOKUP('Data Source 1_customer readings'!A233,'Data Source 1_customer readings'!A233:A2631,'Data Source 1_customer readings'!J233:J2631)</f>
        <v>0</v>
      </c>
    </row>
    <row r="234" spans="1:8" x14ac:dyDescent="0.2">
      <c r="A234" s="2" t="s">
        <v>79</v>
      </c>
      <c r="B234" s="2">
        <v>3</v>
      </c>
      <c r="C234" s="2">
        <v>2</v>
      </c>
      <c r="D234" s="2">
        <v>2020</v>
      </c>
      <c r="E234" s="2">
        <v>114.52</v>
      </c>
      <c r="F234" s="2">
        <v>97.16</v>
      </c>
      <c r="H234" s="1">
        <f>_xlfn.XLOOKUP('Data Source 1_customer readings'!A234,'Data Source 1_customer readings'!A234:A2632,'Data Source 1_customer readings'!J234:J2632)</f>
        <v>0</v>
      </c>
    </row>
    <row r="235" spans="1:8" x14ac:dyDescent="0.2">
      <c r="A235" s="2" t="s">
        <v>54</v>
      </c>
      <c r="B235" s="2">
        <v>5</v>
      </c>
      <c r="C235" s="2">
        <v>11</v>
      </c>
      <c r="D235" s="2">
        <v>2020</v>
      </c>
      <c r="E235" s="2">
        <v>114.3</v>
      </c>
      <c r="F235" s="2">
        <v>99.9</v>
      </c>
      <c r="H235" s="1">
        <f>_xlfn.XLOOKUP('Data Source 1_customer readings'!A235,'Data Source 1_customer readings'!A235:A2633,'Data Source 1_customer readings'!J235:J2633)</f>
        <v>0</v>
      </c>
    </row>
    <row r="236" spans="1:8" x14ac:dyDescent="0.2">
      <c r="A236" s="2" t="s">
        <v>64</v>
      </c>
      <c r="B236" s="2">
        <v>21</v>
      </c>
      <c r="C236" s="2">
        <v>11</v>
      </c>
      <c r="D236" s="2">
        <v>2020</v>
      </c>
      <c r="E236" s="2">
        <v>114.3</v>
      </c>
      <c r="F236" s="2">
        <v>78.3</v>
      </c>
      <c r="H236" s="1">
        <f>_xlfn.XLOOKUP('Data Source 1_customer readings'!A236,'Data Source 1_customer readings'!A236:A2634,'Data Source 1_customer readings'!J236:J2634)</f>
        <v>0</v>
      </c>
    </row>
    <row r="237" spans="1:8" x14ac:dyDescent="0.2">
      <c r="A237" s="2" t="s">
        <v>85</v>
      </c>
      <c r="B237" s="2">
        <v>3</v>
      </c>
      <c r="C237" s="2">
        <v>11</v>
      </c>
      <c r="D237" s="2">
        <v>2020</v>
      </c>
      <c r="E237" s="2">
        <v>114.3</v>
      </c>
      <c r="F237" s="2">
        <v>71.099999999999994</v>
      </c>
      <c r="H237" s="1">
        <f>_xlfn.XLOOKUP('Data Source 1_customer readings'!A237,'Data Source 1_customer readings'!A237:A2635,'Data Source 1_customer readings'!J237:J2635)</f>
        <v>0</v>
      </c>
    </row>
    <row r="238" spans="1:8" x14ac:dyDescent="0.2">
      <c r="A238" s="2" t="s">
        <v>55</v>
      </c>
      <c r="B238" s="2">
        <v>18</v>
      </c>
      <c r="C238" s="2">
        <v>1</v>
      </c>
      <c r="D238" s="2">
        <v>2020</v>
      </c>
      <c r="E238" s="2">
        <v>114.08</v>
      </c>
      <c r="F238" s="2">
        <v>81.53</v>
      </c>
      <c r="H238" s="1">
        <f>_xlfn.XLOOKUP('Data Source 1_customer readings'!A238,'Data Source 1_customer readings'!A238:A2636,'Data Source 1_customer readings'!J238:J2636)</f>
        <v>0</v>
      </c>
    </row>
    <row r="239" spans="1:8" x14ac:dyDescent="0.2">
      <c r="A239" s="2" t="s">
        <v>93</v>
      </c>
      <c r="B239" s="2">
        <v>3</v>
      </c>
      <c r="C239" s="2">
        <v>10</v>
      </c>
      <c r="D239" s="2">
        <v>2020</v>
      </c>
      <c r="E239" s="2">
        <v>114.08</v>
      </c>
      <c r="F239" s="2">
        <v>79.36</v>
      </c>
      <c r="H239" s="1">
        <f>_xlfn.XLOOKUP('Data Source 1_customer readings'!A239,'Data Source 1_customer readings'!A239:A2637,'Data Source 1_customer readings'!J239:J2637)</f>
        <v>0</v>
      </c>
    </row>
    <row r="240" spans="1:8" x14ac:dyDescent="0.2">
      <c r="A240" s="2" t="s">
        <v>67</v>
      </c>
      <c r="B240" s="2">
        <v>13</v>
      </c>
      <c r="C240" s="2">
        <v>1</v>
      </c>
      <c r="D240" s="2">
        <v>2020</v>
      </c>
      <c r="E240" s="2">
        <v>114.08</v>
      </c>
      <c r="F240" s="2">
        <v>78.739999999999995</v>
      </c>
      <c r="H240" s="1">
        <f>_xlfn.XLOOKUP('Data Source 1_customer readings'!A240,'Data Source 1_customer readings'!A240:A2638,'Data Source 1_customer readings'!J240:J2638)</f>
        <v>0</v>
      </c>
    </row>
    <row r="241" spans="1:8" x14ac:dyDescent="0.2">
      <c r="A241" s="2" t="s">
        <v>60</v>
      </c>
      <c r="B241" s="2">
        <v>20</v>
      </c>
      <c r="C241" s="2">
        <v>1</v>
      </c>
      <c r="D241" s="2">
        <v>2020</v>
      </c>
      <c r="E241" s="2">
        <v>114.08</v>
      </c>
      <c r="F241" s="2">
        <v>73.47</v>
      </c>
      <c r="H241" s="1">
        <f>_xlfn.XLOOKUP('Data Source 1_customer readings'!A241,'Data Source 1_customer readings'!A241:A2639,'Data Source 1_customer readings'!J241:J2639)</f>
        <v>0</v>
      </c>
    </row>
    <row r="242" spans="1:8" x14ac:dyDescent="0.2">
      <c r="A242" s="2" t="s">
        <v>75</v>
      </c>
      <c r="B242" s="2">
        <v>2</v>
      </c>
      <c r="C242" s="2">
        <v>1</v>
      </c>
      <c r="D242" s="2">
        <v>2020</v>
      </c>
      <c r="E242" s="2">
        <v>114.08</v>
      </c>
      <c r="F242" s="2">
        <v>68.510000000000005</v>
      </c>
      <c r="H242" s="1">
        <f>_xlfn.XLOOKUP('Data Source 1_customer readings'!A242,'Data Source 1_customer readings'!A242:A2640,'Data Source 1_customer readings'!J242:J2640)</f>
        <v>0</v>
      </c>
    </row>
    <row r="243" spans="1:8" x14ac:dyDescent="0.2">
      <c r="A243" s="2" t="s">
        <v>90</v>
      </c>
      <c r="B243" s="2">
        <v>18</v>
      </c>
      <c r="C243" s="2">
        <v>11</v>
      </c>
      <c r="D243" s="2">
        <v>2020</v>
      </c>
      <c r="E243" s="2">
        <v>114</v>
      </c>
      <c r="F243" s="2">
        <v>83.1</v>
      </c>
      <c r="H243" s="1">
        <f>_xlfn.XLOOKUP('Data Source 1_customer readings'!A243,'Data Source 1_customer readings'!A243:A2641,'Data Source 1_customer readings'!J243:J2641)</f>
        <v>0</v>
      </c>
    </row>
    <row r="244" spans="1:8" x14ac:dyDescent="0.2">
      <c r="A244" s="2" t="s">
        <v>76</v>
      </c>
      <c r="B244" s="2">
        <v>9</v>
      </c>
      <c r="C244" s="2">
        <v>12</v>
      </c>
      <c r="D244" s="2">
        <v>2020</v>
      </c>
      <c r="E244" s="2">
        <v>113.77</v>
      </c>
      <c r="F244" s="2">
        <v>78.12</v>
      </c>
      <c r="H244" s="1">
        <f>_xlfn.XLOOKUP('Data Source 1_customer readings'!A244,'Data Source 1_customer readings'!A244:A2642,'Data Source 1_customer readings'!J244:J2642)</f>
        <v>0</v>
      </c>
    </row>
    <row r="245" spans="1:8" x14ac:dyDescent="0.2">
      <c r="A245" s="2" t="s">
        <v>80</v>
      </c>
      <c r="B245" s="2">
        <v>12</v>
      </c>
      <c r="C245" s="2">
        <v>11</v>
      </c>
      <c r="D245" s="2">
        <v>2020</v>
      </c>
      <c r="E245" s="2">
        <v>113.7</v>
      </c>
      <c r="F245" s="2">
        <v>89.1</v>
      </c>
      <c r="H245" s="1">
        <f>_xlfn.XLOOKUP('Data Source 1_customer readings'!A245,'Data Source 1_customer readings'!A245:A2643,'Data Source 1_customer readings'!J245:J2643)</f>
        <v>0</v>
      </c>
    </row>
    <row r="246" spans="1:8" x14ac:dyDescent="0.2">
      <c r="A246" s="2" t="s">
        <v>60</v>
      </c>
      <c r="B246" s="2">
        <v>20</v>
      </c>
      <c r="C246" s="2">
        <v>11</v>
      </c>
      <c r="D246" s="2">
        <v>2020</v>
      </c>
      <c r="E246" s="2">
        <v>113.7</v>
      </c>
      <c r="F246" s="2">
        <v>74.7</v>
      </c>
      <c r="H246" s="1">
        <f>_xlfn.XLOOKUP('Data Source 1_customer readings'!A246,'Data Source 1_customer readings'!A246:A2644,'Data Source 1_customer readings'!J246:J2644)</f>
        <v>0</v>
      </c>
    </row>
    <row r="247" spans="1:8" x14ac:dyDescent="0.2">
      <c r="A247" s="2" t="s">
        <v>54</v>
      </c>
      <c r="B247" s="2">
        <v>5</v>
      </c>
      <c r="C247" s="2">
        <v>2</v>
      </c>
      <c r="D247" s="2">
        <v>2020</v>
      </c>
      <c r="E247" s="2">
        <v>113.12</v>
      </c>
      <c r="F247" s="2">
        <v>76.44</v>
      </c>
      <c r="H247" s="1">
        <f>_xlfn.XLOOKUP('Data Source 1_customer readings'!A247,'Data Source 1_customer readings'!A247:A2645,'Data Source 1_customer readings'!J247:J2645)</f>
        <v>0</v>
      </c>
    </row>
    <row r="248" spans="1:8" x14ac:dyDescent="0.2">
      <c r="A248" s="2" t="s">
        <v>46</v>
      </c>
      <c r="B248" s="2">
        <v>9</v>
      </c>
      <c r="C248" s="2">
        <v>1</v>
      </c>
      <c r="D248" s="2">
        <v>2020</v>
      </c>
      <c r="E248" s="2">
        <v>112.84</v>
      </c>
      <c r="F248" s="2">
        <v>71.3</v>
      </c>
      <c r="H248" s="1" t="b">
        <f>_xlfn.XLOOKUP('Data Source 1_customer readings'!A248,'Data Source 1_customer readings'!A248:A2646,'Data Source 1_customer readings'!J248:J2646)</f>
        <v>0</v>
      </c>
    </row>
    <row r="249" spans="1:8" x14ac:dyDescent="0.2">
      <c r="A249" s="2" t="s">
        <v>79</v>
      </c>
      <c r="B249" s="2">
        <v>3</v>
      </c>
      <c r="C249" s="2">
        <v>11</v>
      </c>
      <c r="D249" s="2">
        <v>2020</v>
      </c>
      <c r="E249" s="2">
        <v>111.9</v>
      </c>
      <c r="F249" s="2">
        <v>105.9</v>
      </c>
      <c r="H249" s="1">
        <f>_xlfn.XLOOKUP('Data Source 1_customer readings'!A249,'Data Source 1_customer readings'!A249:A2647,'Data Source 1_customer readings'!J249:J2647)</f>
        <v>0</v>
      </c>
    </row>
    <row r="250" spans="1:8" x14ac:dyDescent="0.2">
      <c r="A250" s="2" t="s">
        <v>79</v>
      </c>
      <c r="B250" s="2">
        <v>3</v>
      </c>
      <c r="C250" s="2">
        <v>1</v>
      </c>
      <c r="D250" s="2">
        <v>2020</v>
      </c>
      <c r="E250" s="2">
        <v>111.6</v>
      </c>
      <c r="F250" s="2">
        <v>114.08</v>
      </c>
      <c r="H250" s="1">
        <f>_xlfn.XLOOKUP('Data Source 1_customer readings'!A250,'Data Source 1_customer readings'!A250:A2648,'Data Source 1_customer readings'!J250:J2648)</f>
        <v>0</v>
      </c>
    </row>
    <row r="251" spans="1:8" x14ac:dyDescent="0.2">
      <c r="A251" s="2" t="s">
        <v>69</v>
      </c>
      <c r="B251" s="2">
        <v>12</v>
      </c>
      <c r="C251" s="2">
        <v>1</v>
      </c>
      <c r="D251" s="2">
        <v>2020</v>
      </c>
      <c r="E251" s="2">
        <v>111.29</v>
      </c>
      <c r="F251" s="2">
        <v>85.25</v>
      </c>
      <c r="H251" s="1">
        <f>_xlfn.XLOOKUP('Data Source 1_customer readings'!A251,'Data Source 1_customer readings'!A251:A2649,'Data Source 1_customer readings'!J251:J2649)</f>
        <v>0</v>
      </c>
    </row>
    <row r="252" spans="1:8" x14ac:dyDescent="0.2">
      <c r="A252" s="2" t="s">
        <v>85</v>
      </c>
      <c r="B252" s="2">
        <v>3</v>
      </c>
      <c r="C252" s="2">
        <v>12</v>
      </c>
      <c r="D252" s="2">
        <v>2020</v>
      </c>
      <c r="E252" s="2">
        <v>110.98</v>
      </c>
      <c r="F252" s="2">
        <v>76.260000000000005</v>
      </c>
      <c r="H252" s="1">
        <f>_xlfn.XLOOKUP('Data Source 1_customer readings'!A252,'Data Source 1_customer readings'!A252:A2650,'Data Source 1_customer readings'!J252:J2650)</f>
        <v>0</v>
      </c>
    </row>
    <row r="253" spans="1:8" x14ac:dyDescent="0.2">
      <c r="A253" s="2" t="s">
        <v>72</v>
      </c>
      <c r="B253" s="2">
        <v>22</v>
      </c>
      <c r="C253" s="2">
        <v>11</v>
      </c>
      <c r="D253" s="2">
        <v>2020</v>
      </c>
      <c r="E253" s="2">
        <v>110.7</v>
      </c>
      <c r="F253" s="2">
        <v>110.1</v>
      </c>
      <c r="H253" s="1" t="b">
        <f>_xlfn.XLOOKUP('Data Source 1_customer readings'!A253,'Data Source 1_customer readings'!A253:A2651,'Data Source 1_customer readings'!J253:J2651)</f>
        <v>0</v>
      </c>
    </row>
    <row r="254" spans="1:8" x14ac:dyDescent="0.2">
      <c r="A254" s="2" t="s">
        <v>52</v>
      </c>
      <c r="B254" s="2">
        <v>1</v>
      </c>
      <c r="C254" s="2">
        <v>11</v>
      </c>
      <c r="D254" s="2">
        <v>2020</v>
      </c>
      <c r="E254" s="2">
        <v>110.7</v>
      </c>
      <c r="F254" s="2">
        <v>78.900000000000006</v>
      </c>
      <c r="H254" s="1">
        <f>_xlfn.XLOOKUP('Data Source 1_customer readings'!A254,'Data Source 1_customer readings'!A254:A2652,'Data Source 1_customer readings'!J254:J2652)</f>
        <v>0</v>
      </c>
    </row>
    <row r="255" spans="1:8" x14ac:dyDescent="0.2">
      <c r="A255" s="2" t="s">
        <v>45</v>
      </c>
      <c r="B255" s="2">
        <v>18</v>
      </c>
      <c r="C255" s="2">
        <v>11</v>
      </c>
      <c r="D255" s="2">
        <v>2020</v>
      </c>
      <c r="E255" s="2">
        <v>110.7</v>
      </c>
      <c r="F255" s="2">
        <v>62.1</v>
      </c>
      <c r="H255" s="1">
        <f>_xlfn.XLOOKUP('Data Source 1_customer readings'!A255,'Data Source 1_customer readings'!A255:A2653,'Data Source 1_customer readings'!J255:J2653)</f>
        <v>0</v>
      </c>
    </row>
    <row r="256" spans="1:8" x14ac:dyDescent="0.2">
      <c r="A256" s="2" t="s">
        <v>50</v>
      </c>
      <c r="B256" s="2">
        <v>24</v>
      </c>
      <c r="C256" s="2">
        <v>1</v>
      </c>
      <c r="D256" s="2">
        <v>2020</v>
      </c>
      <c r="E256" s="2">
        <v>110.67</v>
      </c>
      <c r="F256" s="2">
        <v>85.87</v>
      </c>
      <c r="H256" s="1">
        <f>_xlfn.XLOOKUP('Data Source 1_customer readings'!A256,'Data Source 1_customer readings'!A256:A2654,'Data Source 1_customer readings'!J256:J2654)</f>
        <v>0</v>
      </c>
    </row>
    <row r="257" spans="1:8" x14ac:dyDescent="0.2">
      <c r="A257" s="2" t="s">
        <v>73</v>
      </c>
      <c r="B257" s="2">
        <v>5</v>
      </c>
      <c r="C257" s="2">
        <v>1</v>
      </c>
      <c r="D257" s="2">
        <v>2020</v>
      </c>
      <c r="E257" s="2">
        <v>110.67</v>
      </c>
      <c r="F257" s="2">
        <v>80.599999999999994</v>
      </c>
      <c r="H257" s="1">
        <f>_xlfn.XLOOKUP('Data Source 1_customer readings'!A257,'Data Source 1_customer readings'!A257:A2655,'Data Source 1_customer readings'!J257:J2655)</f>
        <v>0</v>
      </c>
    </row>
    <row r="258" spans="1:8" x14ac:dyDescent="0.2">
      <c r="A258" s="2" t="s">
        <v>71</v>
      </c>
      <c r="B258" s="2">
        <v>21</v>
      </c>
      <c r="C258" s="2">
        <v>1</v>
      </c>
      <c r="D258" s="2">
        <v>2020</v>
      </c>
      <c r="E258" s="2">
        <v>110.36</v>
      </c>
      <c r="F258" s="2">
        <v>126.48</v>
      </c>
      <c r="H258" s="1">
        <f>_xlfn.XLOOKUP('Data Source 1_customer readings'!A258,'Data Source 1_customer readings'!A258:A2656,'Data Source 1_customer readings'!J258:J2656)</f>
        <v>0</v>
      </c>
    </row>
    <row r="259" spans="1:8" x14ac:dyDescent="0.2">
      <c r="A259" s="2" t="s">
        <v>58</v>
      </c>
      <c r="B259" s="2">
        <v>16</v>
      </c>
      <c r="C259" s="2">
        <v>1</v>
      </c>
      <c r="D259" s="2">
        <v>2020</v>
      </c>
      <c r="E259" s="2">
        <v>110.36</v>
      </c>
      <c r="F259" s="2">
        <v>65.41</v>
      </c>
      <c r="H259" s="1">
        <f>_xlfn.XLOOKUP('Data Source 1_customer readings'!A259,'Data Source 1_customer readings'!A259:A2657,'Data Source 1_customer readings'!J259:J2657)</f>
        <v>0</v>
      </c>
    </row>
    <row r="260" spans="1:8" x14ac:dyDescent="0.2">
      <c r="A260" s="2" t="s">
        <v>71</v>
      </c>
      <c r="B260" s="2">
        <v>21</v>
      </c>
      <c r="C260" s="2">
        <v>2</v>
      </c>
      <c r="D260" s="2">
        <v>2020</v>
      </c>
      <c r="E260" s="2">
        <v>110.32</v>
      </c>
      <c r="F260" s="2">
        <v>90.44</v>
      </c>
      <c r="H260" s="1">
        <f>_xlfn.XLOOKUP('Data Source 1_customer readings'!A260,'Data Source 1_customer readings'!A260:A2658,'Data Source 1_customer readings'!J260:J2658)</f>
        <v>0</v>
      </c>
    </row>
    <row r="261" spans="1:8" x14ac:dyDescent="0.2">
      <c r="A261" s="2" t="s">
        <v>52</v>
      </c>
      <c r="B261" s="2">
        <v>1</v>
      </c>
      <c r="C261" s="2">
        <v>12</v>
      </c>
      <c r="D261" s="2">
        <v>2020</v>
      </c>
      <c r="E261" s="2">
        <v>109.74</v>
      </c>
      <c r="F261" s="2">
        <v>83.08</v>
      </c>
      <c r="H261" s="1">
        <f>_xlfn.XLOOKUP('Data Source 1_customer readings'!A261,'Data Source 1_customer readings'!A261:A2659,'Data Source 1_customer readings'!J261:J2659)</f>
        <v>0</v>
      </c>
    </row>
    <row r="262" spans="1:8" x14ac:dyDescent="0.2">
      <c r="A262" s="2" t="s">
        <v>92</v>
      </c>
      <c r="B262" s="2">
        <v>7</v>
      </c>
      <c r="C262" s="2">
        <v>10</v>
      </c>
      <c r="D262" s="2">
        <v>2020</v>
      </c>
      <c r="E262" s="2">
        <v>109.74</v>
      </c>
      <c r="F262" s="2">
        <v>77.81</v>
      </c>
      <c r="H262" s="1">
        <f>_xlfn.XLOOKUP('Data Source 1_customer readings'!A262,'Data Source 1_customer readings'!A262:A2660,'Data Source 1_customer readings'!J262:J2660)</f>
        <v>0</v>
      </c>
    </row>
    <row r="263" spans="1:8" x14ac:dyDescent="0.2">
      <c r="A263" s="2" t="s">
        <v>43</v>
      </c>
      <c r="B263" s="2">
        <v>15</v>
      </c>
      <c r="C263" s="2">
        <v>1</v>
      </c>
      <c r="D263" s="2">
        <v>2020</v>
      </c>
      <c r="E263" s="2">
        <v>109.74</v>
      </c>
      <c r="F263" s="2">
        <v>76.88</v>
      </c>
      <c r="H263" s="1">
        <f>_xlfn.XLOOKUP('Data Source 1_customer readings'!A263,'Data Source 1_customer readings'!A263:A2661,'Data Source 1_customer readings'!J263:J2661)</f>
        <v>0</v>
      </c>
    </row>
    <row r="264" spans="1:8" x14ac:dyDescent="0.2">
      <c r="A264" s="2" t="s">
        <v>87</v>
      </c>
      <c r="B264" s="2">
        <v>1</v>
      </c>
      <c r="C264" s="2">
        <v>1</v>
      </c>
      <c r="D264" s="2">
        <v>2020</v>
      </c>
      <c r="E264" s="2">
        <v>109.43</v>
      </c>
      <c r="F264" s="2">
        <v>80.290000000000006</v>
      </c>
      <c r="H264" s="1">
        <f>_xlfn.XLOOKUP('Data Source 1_customer readings'!A264,'Data Source 1_customer readings'!A264:A2662,'Data Source 1_customer readings'!J264:J2662)</f>
        <v>0</v>
      </c>
    </row>
    <row r="265" spans="1:8" x14ac:dyDescent="0.2">
      <c r="A265" s="2" t="s">
        <v>78</v>
      </c>
      <c r="B265" s="2">
        <v>18</v>
      </c>
      <c r="C265" s="2">
        <v>12</v>
      </c>
      <c r="D265" s="2">
        <v>2020</v>
      </c>
      <c r="E265" s="2">
        <v>109.43</v>
      </c>
      <c r="F265" s="2">
        <v>70.37</v>
      </c>
      <c r="H265" s="1">
        <f>_xlfn.XLOOKUP('Data Source 1_customer readings'!A265,'Data Source 1_customer readings'!A265:A2663,'Data Source 1_customer readings'!J265:J2663)</f>
        <v>0</v>
      </c>
    </row>
    <row r="266" spans="1:8" x14ac:dyDescent="0.2">
      <c r="A266" s="2" t="s">
        <v>57</v>
      </c>
      <c r="B266" s="2">
        <v>17</v>
      </c>
      <c r="C266" s="2">
        <v>1</v>
      </c>
      <c r="D266" s="2">
        <v>2020</v>
      </c>
      <c r="E266" s="2">
        <v>109.12</v>
      </c>
      <c r="F266" s="2">
        <v>81.84</v>
      </c>
      <c r="H266" s="1">
        <f>_xlfn.XLOOKUP('Data Source 1_customer readings'!A266,'Data Source 1_customer readings'!A266:A2664,'Data Source 1_customer readings'!J266:J2664)</f>
        <v>0</v>
      </c>
    </row>
    <row r="267" spans="1:8" x14ac:dyDescent="0.2">
      <c r="A267" s="2" t="s">
        <v>49</v>
      </c>
      <c r="B267" s="2">
        <v>3</v>
      </c>
      <c r="C267" s="2">
        <v>11</v>
      </c>
      <c r="D267" s="2">
        <v>2020</v>
      </c>
      <c r="E267" s="2">
        <v>108.9</v>
      </c>
      <c r="F267" s="2">
        <v>58.2</v>
      </c>
      <c r="H267" s="1">
        <f>_xlfn.XLOOKUP('Data Source 1_customer readings'!A267,'Data Source 1_customer readings'!A267:A2665,'Data Source 1_customer readings'!J267:J2665)</f>
        <v>0</v>
      </c>
    </row>
    <row r="268" spans="1:8" x14ac:dyDescent="0.2">
      <c r="A268" s="2" t="s">
        <v>40</v>
      </c>
      <c r="B268" s="2">
        <v>15</v>
      </c>
      <c r="C268" s="2">
        <v>12</v>
      </c>
      <c r="D268" s="2">
        <v>2020</v>
      </c>
      <c r="E268" s="2">
        <v>108.5</v>
      </c>
      <c r="F268" s="2">
        <v>75.33</v>
      </c>
      <c r="H268" s="1">
        <f>_xlfn.XLOOKUP('Data Source 1_customer readings'!A268,'Data Source 1_customer readings'!A268:A2666,'Data Source 1_customer readings'!J268:J2666)</f>
        <v>0</v>
      </c>
    </row>
    <row r="269" spans="1:8" x14ac:dyDescent="0.2">
      <c r="A269" s="2" t="s">
        <v>80</v>
      </c>
      <c r="B269" s="2">
        <v>12</v>
      </c>
      <c r="C269" s="2">
        <v>2</v>
      </c>
      <c r="D269" s="2">
        <v>2020</v>
      </c>
      <c r="E269" s="2">
        <v>108.36</v>
      </c>
      <c r="F269" s="2">
        <v>64.959999999999994</v>
      </c>
      <c r="H269" s="1">
        <f>_xlfn.XLOOKUP('Data Source 1_customer readings'!A269,'Data Source 1_customer readings'!A269:A2667,'Data Source 1_customer readings'!J269:J2667)</f>
        <v>0</v>
      </c>
    </row>
    <row r="270" spans="1:8" x14ac:dyDescent="0.2">
      <c r="A270" s="2" t="s">
        <v>88</v>
      </c>
      <c r="B270" s="2">
        <v>23</v>
      </c>
      <c r="C270" s="2">
        <v>2</v>
      </c>
      <c r="D270" s="2">
        <v>2020</v>
      </c>
      <c r="E270" s="2">
        <v>108.08</v>
      </c>
      <c r="F270" s="2">
        <v>97.16</v>
      </c>
      <c r="H270" s="1">
        <f>_xlfn.XLOOKUP('Data Source 1_customer readings'!A270,'Data Source 1_customer readings'!A270:A2668,'Data Source 1_customer readings'!J270:J2668)</f>
        <v>0</v>
      </c>
    </row>
    <row r="271" spans="1:8" x14ac:dyDescent="0.2">
      <c r="A271" s="2" t="s">
        <v>80</v>
      </c>
      <c r="B271" s="2">
        <v>12</v>
      </c>
      <c r="C271" s="2">
        <v>1</v>
      </c>
      <c r="D271" s="2">
        <v>2020</v>
      </c>
      <c r="E271" s="2">
        <v>107.88</v>
      </c>
      <c r="F271" s="2">
        <v>76.569999999999993</v>
      </c>
      <c r="H271" s="1" t="b">
        <f>_xlfn.XLOOKUP('Data Source 1_customer readings'!A271,'Data Source 1_customer readings'!A271:A2669,'Data Source 1_customer readings'!J271:J2669)</f>
        <v>0</v>
      </c>
    </row>
    <row r="272" spans="1:8" x14ac:dyDescent="0.2">
      <c r="A272" s="2" t="s">
        <v>52</v>
      </c>
      <c r="B272" s="2">
        <v>1</v>
      </c>
      <c r="C272" s="2">
        <v>2</v>
      </c>
      <c r="D272" s="2">
        <v>2020</v>
      </c>
      <c r="E272" s="2">
        <v>107.8</v>
      </c>
      <c r="F272" s="2">
        <v>78.400000000000006</v>
      </c>
      <c r="H272" s="1">
        <f>_xlfn.XLOOKUP('Data Source 1_customer readings'!A272,'Data Source 1_customer readings'!A272:A2670,'Data Source 1_customer readings'!J272:J2670)</f>
        <v>0</v>
      </c>
    </row>
    <row r="273" spans="1:8" x14ac:dyDescent="0.2">
      <c r="A273" s="2" t="s">
        <v>46</v>
      </c>
      <c r="B273" s="2">
        <v>9</v>
      </c>
      <c r="C273" s="2">
        <v>11</v>
      </c>
      <c r="D273" s="2">
        <v>2020</v>
      </c>
      <c r="E273" s="2">
        <v>107.7</v>
      </c>
      <c r="F273" s="2">
        <v>65.7</v>
      </c>
      <c r="H273" s="1">
        <f>_xlfn.XLOOKUP('Data Source 1_customer readings'!A273,'Data Source 1_customer readings'!A273:A2671,'Data Source 1_customer readings'!J273:J2671)</f>
        <v>0</v>
      </c>
    </row>
    <row r="274" spans="1:8" x14ac:dyDescent="0.2">
      <c r="A274" s="2" t="s">
        <v>44</v>
      </c>
      <c r="B274" s="2">
        <v>1</v>
      </c>
      <c r="C274" s="2">
        <v>1</v>
      </c>
      <c r="D274" s="2">
        <v>2020</v>
      </c>
      <c r="E274" s="2">
        <v>107.57</v>
      </c>
      <c r="F274" s="2">
        <v>84.63</v>
      </c>
      <c r="H274" s="1">
        <f>_xlfn.XLOOKUP('Data Source 1_customer readings'!A274,'Data Source 1_customer readings'!A274:A2672,'Data Source 1_customer readings'!J274:J2672)</f>
        <v>0</v>
      </c>
    </row>
    <row r="275" spans="1:8" x14ac:dyDescent="0.2">
      <c r="A275" s="2" t="s">
        <v>39</v>
      </c>
      <c r="B275" s="2">
        <v>22</v>
      </c>
      <c r="C275" s="2">
        <v>12</v>
      </c>
      <c r="D275" s="2">
        <v>2020</v>
      </c>
      <c r="E275" s="2">
        <v>107.57</v>
      </c>
      <c r="F275" s="2">
        <v>63.55</v>
      </c>
      <c r="H275" s="1">
        <f>_xlfn.XLOOKUP('Data Source 1_customer readings'!A275,'Data Source 1_customer readings'!A275:A2673,'Data Source 1_customer readings'!J275:J2673)</f>
        <v>0</v>
      </c>
    </row>
    <row r="276" spans="1:8" x14ac:dyDescent="0.2">
      <c r="A276" s="2" t="s">
        <v>62</v>
      </c>
      <c r="B276" s="2">
        <v>1</v>
      </c>
      <c r="C276" s="2">
        <v>2</v>
      </c>
      <c r="D276" s="2">
        <v>2020</v>
      </c>
      <c r="E276" s="2">
        <v>107.52</v>
      </c>
      <c r="F276" s="2">
        <v>67.48</v>
      </c>
      <c r="H276" s="1">
        <f>_xlfn.XLOOKUP('Data Source 1_customer readings'!A276,'Data Source 1_customer readings'!A276:A2674,'Data Source 1_customer readings'!J276:J2674)</f>
        <v>0</v>
      </c>
    </row>
    <row r="277" spans="1:8" x14ac:dyDescent="0.2">
      <c r="A277" s="2" t="s">
        <v>55</v>
      </c>
      <c r="B277" s="2">
        <v>18</v>
      </c>
      <c r="C277" s="2">
        <v>11</v>
      </c>
      <c r="D277" s="2">
        <v>2020</v>
      </c>
      <c r="E277" s="2">
        <v>107.4</v>
      </c>
      <c r="F277" s="2">
        <v>88.8</v>
      </c>
      <c r="H277" s="1">
        <f>_xlfn.XLOOKUP('Data Source 1_customer readings'!A277,'Data Source 1_customer readings'!A277:A2675,'Data Source 1_customer readings'!J277:J2675)</f>
        <v>0</v>
      </c>
    </row>
    <row r="278" spans="1:8" x14ac:dyDescent="0.2">
      <c r="A278" s="2" t="s">
        <v>49</v>
      </c>
      <c r="B278" s="2">
        <v>3</v>
      </c>
      <c r="C278" s="2">
        <v>12</v>
      </c>
      <c r="D278" s="2">
        <v>2020</v>
      </c>
      <c r="E278" s="2">
        <v>107.26</v>
      </c>
      <c r="F278" s="2">
        <v>55.8</v>
      </c>
      <c r="H278" s="1">
        <f>_xlfn.XLOOKUP('Data Source 1_customer readings'!A278,'Data Source 1_customer readings'!A278:A2676,'Data Source 1_customer readings'!J278:J2676)</f>
        <v>0</v>
      </c>
    </row>
    <row r="279" spans="1:8" x14ac:dyDescent="0.2">
      <c r="A279" s="2" t="s">
        <v>58</v>
      </c>
      <c r="B279" s="2">
        <v>16</v>
      </c>
      <c r="C279" s="2">
        <v>2</v>
      </c>
      <c r="D279" s="2">
        <v>2020</v>
      </c>
      <c r="E279" s="2">
        <v>106.96</v>
      </c>
      <c r="F279" s="2">
        <v>76.16</v>
      </c>
      <c r="H279" s="1">
        <f>_xlfn.XLOOKUP('Data Source 1_customer readings'!A279,'Data Source 1_customer readings'!A279:A2677,'Data Source 1_customer readings'!J279:J2677)</f>
        <v>0</v>
      </c>
    </row>
    <row r="280" spans="1:8" x14ac:dyDescent="0.2">
      <c r="A280" s="2" t="s">
        <v>68</v>
      </c>
      <c r="B280" s="2">
        <v>11</v>
      </c>
      <c r="C280" s="2">
        <v>12</v>
      </c>
      <c r="D280" s="2">
        <v>2020</v>
      </c>
      <c r="E280" s="2">
        <v>106.95</v>
      </c>
      <c r="F280" s="2">
        <v>92.69</v>
      </c>
      <c r="H280" s="1">
        <f>_xlfn.XLOOKUP('Data Source 1_customer readings'!A280,'Data Source 1_customer readings'!A280:A2678,'Data Source 1_customer readings'!J280:J2678)</f>
        <v>0</v>
      </c>
    </row>
    <row r="281" spans="1:8" x14ac:dyDescent="0.2">
      <c r="A281" s="2" t="s">
        <v>68</v>
      </c>
      <c r="B281" s="2">
        <v>11</v>
      </c>
      <c r="C281" s="2">
        <v>1</v>
      </c>
      <c r="D281" s="2">
        <v>2020</v>
      </c>
      <c r="E281" s="2">
        <v>106.95</v>
      </c>
      <c r="F281" s="2">
        <v>88.04</v>
      </c>
      <c r="H281" s="1">
        <f>_xlfn.XLOOKUP('Data Source 1_customer readings'!A281,'Data Source 1_customer readings'!A281:A2679,'Data Source 1_customer readings'!J281:J2679)</f>
        <v>0</v>
      </c>
    </row>
    <row r="282" spans="1:8" x14ac:dyDescent="0.2">
      <c r="A282" s="2" t="s">
        <v>49</v>
      </c>
      <c r="B282" s="2">
        <v>3</v>
      </c>
      <c r="C282" s="2">
        <v>1</v>
      </c>
      <c r="D282" s="2">
        <v>2020</v>
      </c>
      <c r="E282" s="2">
        <v>106.95</v>
      </c>
      <c r="F282" s="2">
        <v>60.45</v>
      </c>
      <c r="H282" s="1">
        <f>_xlfn.XLOOKUP('Data Source 1_customer readings'!A282,'Data Source 1_customer readings'!A282:A2680,'Data Source 1_customer readings'!J282:J2680)</f>
        <v>0</v>
      </c>
    </row>
    <row r="283" spans="1:8" x14ac:dyDescent="0.2">
      <c r="A283" s="2" t="s">
        <v>53</v>
      </c>
      <c r="B283" s="2">
        <v>18</v>
      </c>
      <c r="C283" s="2">
        <v>11</v>
      </c>
      <c r="D283" s="2">
        <v>2020</v>
      </c>
      <c r="E283" s="2">
        <v>106.8</v>
      </c>
      <c r="F283" s="2">
        <v>85.2</v>
      </c>
      <c r="H283" s="1">
        <f>_xlfn.XLOOKUP('Data Source 1_customer readings'!A283,'Data Source 1_customer readings'!A283:A2681,'Data Source 1_customer readings'!J283:J2681)</f>
        <v>0</v>
      </c>
    </row>
    <row r="284" spans="1:8" x14ac:dyDescent="0.2">
      <c r="A284" s="2" t="s">
        <v>92</v>
      </c>
      <c r="B284" s="2">
        <v>7</v>
      </c>
      <c r="C284" s="2">
        <v>4</v>
      </c>
      <c r="D284" s="2">
        <v>2020</v>
      </c>
      <c r="E284" s="2">
        <v>106.8</v>
      </c>
      <c r="F284" s="2">
        <v>82.2</v>
      </c>
      <c r="H284" s="1">
        <f>_xlfn.XLOOKUP('Data Source 1_customer readings'!A284,'Data Source 1_customer readings'!A284:A2682,'Data Source 1_customer readings'!J284:J2682)</f>
        <v>0</v>
      </c>
    </row>
    <row r="285" spans="1:8" x14ac:dyDescent="0.2">
      <c r="A285" s="2" t="s">
        <v>69</v>
      </c>
      <c r="B285" s="2">
        <v>12</v>
      </c>
      <c r="C285" s="2">
        <v>11</v>
      </c>
      <c r="D285" s="2">
        <v>2020</v>
      </c>
      <c r="E285" s="2">
        <v>106.5</v>
      </c>
      <c r="F285" s="2">
        <v>80.099999999999994</v>
      </c>
      <c r="H285" s="1">
        <f>_xlfn.XLOOKUP('Data Source 1_customer readings'!A285,'Data Source 1_customer readings'!A285:A2683,'Data Source 1_customer readings'!J285:J2683)</f>
        <v>0</v>
      </c>
    </row>
    <row r="286" spans="1:8" x14ac:dyDescent="0.2">
      <c r="A286" s="2" t="s">
        <v>53</v>
      </c>
      <c r="B286" s="2">
        <v>18</v>
      </c>
      <c r="C286" s="2">
        <v>2</v>
      </c>
      <c r="D286" s="2">
        <v>2020</v>
      </c>
      <c r="E286" s="2">
        <v>106.4</v>
      </c>
      <c r="F286" s="2">
        <v>79.239999999999995</v>
      </c>
      <c r="H286" s="1" t="b">
        <f>_xlfn.XLOOKUP('Data Source 1_customer readings'!A286,'Data Source 1_customer readings'!A286:A2684,'Data Source 1_customer readings'!J286:J2684)</f>
        <v>0</v>
      </c>
    </row>
    <row r="287" spans="1:8" x14ac:dyDescent="0.2">
      <c r="A287" s="2" t="s">
        <v>37</v>
      </c>
      <c r="B287" s="2">
        <v>12</v>
      </c>
      <c r="C287" s="2">
        <v>11</v>
      </c>
      <c r="D287" s="2">
        <v>2020</v>
      </c>
      <c r="E287" s="2">
        <v>106.2</v>
      </c>
      <c r="F287" s="2">
        <v>65.400000000000006</v>
      </c>
      <c r="H287" s="1">
        <f>_xlfn.XLOOKUP('Data Source 1_customer readings'!A287,'Data Source 1_customer readings'!A287:A2685,'Data Source 1_customer readings'!J287:J2685)</f>
        <v>0</v>
      </c>
    </row>
    <row r="288" spans="1:8" x14ac:dyDescent="0.2">
      <c r="A288" s="2" t="s">
        <v>69</v>
      </c>
      <c r="B288" s="2">
        <v>12</v>
      </c>
      <c r="C288" s="2">
        <v>2</v>
      </c>
      <c r="D288" s="2">
        <v>2020</v>
      </c>
      <c r="E288" s="2">
        <v>106.12</v>
      </c>
      <c r="F288" s="2">
        <v>85.4</v>
      </c>
      <c r="H288" s="1">
        <f>_xlfn.XLOOKUP('Data Source 1_customer readings'!A288,'Data Source 1_customer readings'!A288:A2686,'Data Source 1_customer readings'!J288:J2686)</f>
        <v>0</v>
      </c>
    </row>
    <row r="289" spans="1:8" x14ac:dyDescent="0.2">
      <c r="A289" s="2" t="s">
        <v>40</v>
      </c>
      <c r="B289" s="2">
        <v>15</v>
      </c>
      <c r="C289" s="2">
        <v>1</v>
      </c>
      <c r="D289" s="2">
        <v>2020</v>
      </c>
      <c r="E289" s="2">
        <v>106.02</v>
      </c>
      <c r="F289" s="2">
        <v>88.66</v>
      </c>
      <c r="H289" s="1">
        <f>_xlfn.XLOOKUP('Data Source 1_customer readings'!A289,'Data Source 1_customer readings'!A289:A2687,'Data Source 1_customer readings'!J289:J2687)</f>
        <v>0</v>
      </c>
    </row>
    <row r="290" spans="1:8" x14ac:dyDescent="0.2">
      <c r="A290" s="2" t="s">
        <v>48</v>
      </c>
      <c r="B290" s="2">
        <v>24</v>
      </c>
      <c r="C290" s="2">
        <v>1</v>
      </c>
      <c r="D290" s="2">
        <v>2020</v>
      </c>
      <c r="E290" s="2">
        <v>105.71</v>
      </c>
      <c r="F290" s="2">
        <v>82.46</v>
      </c>
      <c r="H290" s="1">
        <f>_xlfn.XLOOKUP('Data Source 1_customer readings'!A290,'Data Source 1_customer readings'!A290:A2688,'Data Source 1_customer readings'!J290:J2688)</f>
        <v>0</v>
      </c>
    </row>
    <row r="291" spans="1:8" x14ac:dyDescent="0.2">
      <c r="A291" s="2" t="s">
        <v>67</v>
      </c>
      <c r="B291" s="2">
        <v>13</v>
      </c>
      <c r="C291" s="2">
        <v>12</v>
      </c>
      <c r="D291" s="2">
        <v>2020</v>
      </c>
      <c r="E291" s="2">
        <v>105.4</v>
      </c>
      <c r="F291" s="2">
        <v>83.39</v>
      </c>
      <c r="H291" s="1">
        <f>_xlfn.XLOOKUP('Data Source 1_customer readings'!A291,'Data Source 1_customer readings'!A291:A2689,'Data Source 1_customer readings'!J291:J2689)</f>
        <v>0</v>
      </c>
    </row>
    <row r="292" spans="1:8" x14ac:dyDescent="0.2">
      <c r="A292" s="2" t="s">
        <v>93</v>
      </c>
      <c r="B292" s="2">
        <v>3</v>
      </c>
      <c r="C292" s="2">
        <v>4</v>
      </c>
      <c r="D292" s="2">
        <v>2020</v>
      </c>
      <c r="E292" s="2">
        <v>105.3</v>
      </c>
      <c r="F292" s="2">
        <v>93</v>
      </c>
      <c r="H292" s="1" t="b">
        <f>_xlfn.XLOOKUP('Data Source 1_customer readings'!A292,'Data Source 1_customer readings'!A292:A2690,'Data Source 1_customer readings'!J292:J2690)</f>
        <v>0</v>
      </c>
    </row>
    <row r="293" spans="1:8" x14ac:dyDescent="0.2">
      <c r="A293" s="2" t="s">
        <v>56</v>
      </c>
      <c r="B293" s="2">
        <v>14</v>
      </c>
      <c r="C293" s="2">
        <v>2</v>
      </c>
      <c r="D293" s="2">
        <v>2020</v>
      </c>
      <c r="E293" s="2">
        <v>105.28</v>
      </c>
      <c r="F293" s="2">
        <v>80.64</v>
      </c>
      <c r="H293" s="1">
        <f>_xlfn.XLOOKUP('Data Source 1_customer readings'!A293,'Data Source 1_customer readings'!A293:A2691,'Data Source 1_customer readings'!J293:J2691)</f>
        <v>0</v>
      </c>
    </row>
    <row r="294" spans="1:8" x14ac:dyDescent="0.2">
      <c r="A294" s="2" t="s">
        <v>85</v>
      </c>
      <c r="B294" s="2">
        <v>3</v>
      </c>
      <c r="C294" s="2">
        <v>2</v>
      </c>
      <c r="D294" s="2">
        <v>2020</v>
      </c>
      <c r="E294" s="2">
        <v>105.28</v>
      </c>
      <c r="F294" s="2">
        <v>63.28</v>
      </c>
      <c r="H294" s="1">
        <f>_xlfn.XLOOKUP('Data Source 1_customer readings'!A294,'Data Source 1_customer readings'!A294:A2692,'Data Source 1_customer readings'!J294:J2692)</f>
        <v>0</v>
      </c>
    </row>
    <row r="295" spans="1:8" x14ac:dyDescent="0.2">
      <c r="A295" s="2" t="s">
        <v>54</v>
      </c>
      <c r="B295" s="2">
        <v>5</v>
      </c>
      <c r="C295" s="2">
        <v>1</v>
      </c>
      <c r="D295" s="2">
        <v>2020</v>
      </c>
      <c r="E295" s="2">
        <v>105.09</v>
      </c>
      <c r="F295" s="2">
        <v>102.92</v>
      </c>
      <c r="H295" s="1" t="b">
        <f>_xlfn.XLOOKUP('Data Source 1_customer readings'!A295,'Data Source 1_customer readings'!A295:A2693,'Data Source 1_customer readings'!J295:J2693)</f>
        <v>0</v>
      </c>
    </row>
    <row r="296" spans="1:8" x14ac:dyDescent="0.2">
      <c r="A296" s="2" t="s">
        <v>47</v>
      </c>
      <c r="B296" s="2">
        <v>19</v>
      </c>
      <c r="C296" s="2">
        <v>1</v>
      </c>
      <c r="D296" s="2">
        <v>2020</v>
      </c>
      <c r="E296" s="2">
        <v>105.09</v>
      </c>
      <c r="F296" s="2">
        <v>66.959999999999994</v>
      </c>
      <c r="H296" s="1">
        <f>_xlfn.XLOOKUP('Data Source 1_customer readings'!A296,'Data Source 1_customer readings'!A296:A2694,'Data Source 1_customer readings'!J296:J2694)</f>
        <v>0</v>
      </c>
    </row>
    <row r="297" spans="1:8" x14ac:dyDescent="0.2">
      <c r="A297" s="2" t="s">
        <v>81</v>
      </c>
      <c r="B297" s="2">
        <v>19</v>
      </c>
      <c r="C297" s="2">
        <v>11</v>
      </c>
      <c r="D297" s="2">
        <v>2020</v>
      </c>
      <c r="E297" s="2">
        <v>105</v>
      </c>
      <c r="F297" s="2">
        <v>79.8</v>
      </c>
      <c r="H297" s="1">
        <f>_xlfn.XLOOKUP('Data Source 1_customer readings'!A297,'Data Source 1_customer readings'!A297:A2695,'Data Source 1_customer readings'!J297:J2695)</f>
        <v>0</v>
      </c>
    </row>
    <row r="298" spans="1:8" x14ac:dyDescent="0.2">
      <c r="A298" s="2" t="s">
        <v>57</v>
      </c>
      <c r="B298" s="2">
        <v>17</v>
      </c>
      <c r="C298" s="2">
        <v>2</v>
      </c>
      <c r="D298" s="2">
        <v>2020</v>
      </c>
      <c r="E298" s="2">
        <v>104.72</v>
      </c>
      <c r="F298" s="2">
        <v>82.6</v>
      </c>
      <c r="H298" s="1" t="b">
        <f>_xlfn.XLOOKUP('Data Source 1_customer readings'!A298,'Data Source 1_customer readings'!A298:A2696,'Data Source 1_customer readings'!J298:J2696)</f>
        <v>0</v>
      </c>
    </row>
    <row r="299" spans="1:8" x14ac:dyDescent="0.2">
      <c r="A299" s="2" t="s">
        <v>48</v>
      </c>
      <c r="B299" s="2">
        <v>24</v>
      </c>
      <c r="C299" s="2">
        <v>11</v>
      </c>
      <c r="D299" s="2">
        <v>2020</v>
      </c>
      <c r="E299" s="2">
        <v>104.4</v>
      </c>
      <c r="F299" s="2">
        <v>72</v>
      </c>
      <c r="H299" s="1" t="b">
        <f>_xlfn.XLOOKUP('Data Source 1_customer readings'!A299,'Data Source 1_customer readings'!A299:A2697,'Data Source 1_customer readings'!J299:J2697)</f>
        <v>0</v>
      </c>
    </row>
    <row r="300" spans="1:8" x14ac:dyDescent="0.2">
      <c r="A300" s="2" t="s">
        <v>45</v>
      </c>
      <c r="B300" s="2">
        <v>18</v>
      </c>
      <c r="C300" s="2">
        <v>2</v>
      </c>
      <c r="D300" s="2">
        <v>2020</v>
      </c>
      <c r="E300" s="2">
        <v>104.16</v>
      </c>
      <c r="F300" s="2">
        <v>62.44</v>
      </c>
      <c r="H300" s="1">
        <f>_xlfn.XLOOKUP('Data Source 1_customer readings'!A300,'Data Source 1_customer readings'!A300:A2698,'Data Source 1_customer readings'!J300:J2698)</f>
        <v>0</v>
      </c>
    </row>
    <row r="301" spans="1:8" x14ac:dyDescent="0.2">
      <c r="A301" s="2" t="s">
        <v>41</v>
      </c>
      <c r="B301" s="2">
        <v>15</v>
      </c>
      <c r="C301" s="2">
        <v>11</v>
      </c>
      <c r="D301" s="2">
        <v>2020</v>
      </c>
      <c r="E301" s="2">
        <v>104.1</v>
      </c>
      <c r="F301" s="2">
        <v>93.3</v>
      </c>
      <c r="H301" s="1" t="b">
        <f>_xlfn.XLOOKUP('Data Source 1_customer readings'!A301,'Data Source 1_customer readings'!A301:A2699,'Data Source 1_customer readings'!J301:J2699)</f>
        <v>0</v>
      </c>
    </row>
    <row r="302" spans="1:8" x14ac:dyDescent="0.2">
      <c r="A302" s="2" t="s">
        <v>39</v>
      </c>
      <c r="B302" s="2">
        <v>22</v>
      </c>
      <c r="C302" s="2">
        <v>11</v>
      </c>
      <c r="D302" s="2">
        <v>2020</v>
      </c>
      <c r="E302" s="2">
        <v>104.1</v>
      </c>
      <c r="F302" s="2">
        <v>68.099999999999994</v>
      </c>
      <c r="H302" s="1">
        <f>_xlfn.XLOOKUP('Data Source 1_customer readings'!A302,'Data Source 1_customer readings'!A302:A2700,'Data Source 1_customer readings'!J302:J2700)</f>
        <v>0</v>
      </c>
    </row>
    <row r="303" spans="1:8" x14ac:dyDescent="0.2">
      <c r="A303" s="2" t="s">
        <v>68</v>
      </c>
      <c r="B303" s="2">
        <v>11</v>
      </c>
      <c r="C303" s="2">
        <v>2</v>
      </c>
      <c r="D303" s="2">
        <v>2020</v>
      </c>
      <c r="E303" s="2">
        <v>103.88</v>
      </c>
      <c r="F303" s="2">
        <v>85.68</v>
      </c>
      <c r="H303" s="1">
        <f>_xlfn.XLOOKUP('Data Source 1_customer readings'!A303,'Data Source 1_customer readings'!A303:A2701,'Data Source 1_customer readings'!J303:J2701)</f>
        <v>0</v>
      </c>
    </row>
    <row r="304" spans="1:8" x14ac:dyDescent="0.2">
      <c r="A304" s="2" t="s">
        <v>69</v>
      </c>
      <c r="B304" s="2">
        <v>12</v>
      </c>
      <c r="C304" s="2">
        <v>12</v>
      </c>
      <c r="D304" s="2">
        <v>2020</v>
      </c>
      <c r="E304" s="2">
        <v>103.85</v>
      </c>
      <c r="F304" s="2">
        <v>98.89</v>
      </c>
      <c r="H304" s="1">
        <f>_xlfn.XLOOKUP('Data Source 1_customer readings'!A304,'Data Source 1_customer readings'!A304:A2702,'Data Source 1_customer readings'!J304:J2702)</f>
        <v>0</v>
      </c>
    </row>
    <row r="305" spans="1:8" x14ac:dyDescent="0.2">
      <c r="A305" s="2" t="s">
        <v>51</v>
      </c>
      <c r="B305" s="2">
        <v>16</v>
      </c>
      <c r="C305" s="2">
        <v>1</v>
      </c>
      <c r="D305" s="2">
        <v>2020</v>
      </c>
      <c r="E305" s="2">
        <v>103.85</v>
      </c>
      <c r="F305" s="2">
        <v>70.989999999999995</v>
      </c>
      <c r="H305" s="1" t="b">
        <f>_xlfn.XLOOKUP('Data Source 1_customer readings'!A305,'Data Source 1_customer readings'!A305:A2703,'Data Source 1_customer readings'!J305:J2703)</f>
        <v>0</v>
      </c>
    </row>
    <row r="306" spans="1:8" x14ac:dyDescent="0.2">
      <c r="A306" s="2" t="s">
        <v>44</v>
      </c>
      <c r="B306" s="2">
        <v>1</v>
      </c>
      <c r="C306" s="2">
        <v>11</v>
      </c>
      <c r="D306" s="2">
        <v>2020</v>
      </c>
      <c r="E306" s="2">
        <v>103.8</v>
      </c>
      <c r="F306" s="2">
        <v>85.8</v>
      </c>
      <c r="H306" s="1">
        <f>_xlfn.XLOOKUP('Data Source 1_customer readings'!A306,'Data Source 1_customer readings'!A306:A2704,'Data Source 1_customer readings'!J306:J2704)</f>
        <v>0</v>
      </c>
    </row>
    <row r="307" spans="1:8" x14ac:dyDescent="0.2">
      <c r="A307" s="2" t="s">
        <v>64</v>
      </c>
      <c r="B307" s="2">
        <v>21</v>
      </c>
      <c r="C307" s="2">
        <v>1</v>
      </c>
      <c r="D307" s="2">
        <v>2020</v>
      </c>
      <c r="E307" s="2">
        <v>103.54</v>
      </c>
      <c r="F307" s="2">
        <v>83.7</v>
      </c>
      <c r="H307" s="1">
        <f>_xlfn.XLOOKUP('Data Source 1_customer readings'!A307,'Data Source 1_customer readings'!A307:A2705,'Data Source 1_customer readings'!J307:J2705)</f>
        <v>0</v>
      </c>
    </row>
    <row r="308" spans="1:8" x14ac:dyDescent="0.2">
      <c r="A308" s="2" t="s">
        <v>56</v>
      </c>
      <c r="B308" s="2">
        <v>14</v>
      </c>
      <c r="C308" s="2">
        <v>11</v>
      </c>
      <c r="D308" s="2">
        <v>2020</v>
      </c>
      <c r="E308" s="2">
        <v>103.5</v>
      </c>
      <c r="F308" s="2">
        <v>79.5</v>
      </c>
      <c r="H308" s="1">
        <f>_xlfn.XLOOKUP('Data Source 1_customer readings'!A308,'Data Source 1_customer readings'!A308:A2706,'Data Source 1_customer readings'!J308:J2706)</f>
        <v>0</v>
      </c>
    </row>
    <row r="309" spans="1:8" x14ac:dyDescent="0.2">
      <c r="A309" s="2" t="s">
        <v>35</v>
      </c>
      <c r="B309" s="2">
        <v>9</v>
      </c>
      <c r="C309" s="2">
        <v>2</v>
      </c>
      <c r="D309" s="2">
        <v>2020</v>
      </c>
      <c r="E309" s="2">
        <v>103.32</v>
      </c>
      <c r="F309" s="2">
        <v>63</v>
      </c>
      <c r="H309" s="1" t="b">
        <f>_xlfn.XLOOKUP('Data Source 1_customer readings'!A309,'Data Source 1_customer readings'!A309:A2707,'Data Source 1_customer readings'!J309:J2707)</f>
        <v>0</v>
      </c>
    </row>
    <row r="310" spans="1:8" x14ac:dyDescent="0.2">
      <c r="A310" s="2" t="s">
        <v>89</v>
      </c>
      <c r="B310" s="2">
        <v>2</v>
      </c>
      <c r="C310" s="2">
        <v>3</v>
      </c>
      <c r="D310" s="2">
        <v>2020</v>
      </c>
      <c r="E310" s="2">
        <v>103.23</v>
      </c>
      <c r="F310" s="2">
        <v>74.709999999999994</v>
      </c>
      <c r="H310" s="1">
        <f>_xlfn.XLOOKUP('Data Source 1_customer readings'!A310,'Data Source 1_customer readings'!A310:A2708,'Data Source 1_customer readings'!J310:J2708)</f>
        <v>0</v>
      </c>
    </row>
    <row r="311" spans="1:8" x14ac:dyDescent="0.2">
      <c r="A311" s="2" t="s">
        <v>34</v>
      </c>
      <c r="B311" s="2">
        <v>4</v>
      </c>
      <c r="C311" s="2">
        <v>12</v>
      </c>
      <c r="D311" s="2">
        <v>2020</v>
      </c>
      <c r="E311" s="2">
        <v>102.92</v>
      </c>
      <c r="F311" s="2">
        <v>76.260000000000005</v>
      </c>
      <c r="H311" s="1">
        <f>_xlfn.XLOOKUP('Data Source 1_customer readings'!A311,'Data Source 1_customer readings'!A311:A2709,'Data Source 1_customer readings'!J311:J2709)</f>
        <v>0</v>
      </c>
    </row>
    <row r="312" spans="1:8" x14ac:dyDescent="0.2">
      <c r="A312" s="2" t="s">
        <v>91</v>
      </c>
      <c r="B312" s="2">
        <v>5</v>
      </c>
      <c r="C312" s="2">
        <v>3</v>
      </c>
      <c r="D312" s="2">
        <v>2020</v>
      </c>
      <c r="E312" s="2">
        <v>102.92</v>
      </c>
      <c r="F312" s="2">
        <v>57.97</v>
      </c>
      <c r="H312" s="1">
        <f>_xlfn.XLOOKUP('Data Source 1_customer readings'!A312,'Data Source 1_customer readings'!A312:A2710,'Data Source 1_customer readings'!J312:J2710)</f>
        <v>0</v>
      </c>
    </row>
    <row r="313" spans="1:8" x14ac:dyDescent="0.2">
      <c r="A313" s="2" t="s">
        <v>71</v>
      </c>
      <c r="B313" s="2">
        <v>21</v>
      </c>
      <c r="C313" s="2">
        <v>12</v>
      </c>
      <c r="D313" s="2">
        <v>2020</v>
      </c>
      <c r="E313" s="2">
        <v>102.61</v>
      </c>
      <c r="F313" s="2">
        <v>125.55</v>
      </c>
      <c r="H313" s="1">
        <f>_xlfn.XLOOKUP('Data Source 1_customer readings'!A313,'Data Source 1_customer readings'!A313:A2711,'Data Source 1_customer readings'!J313:J2711)</f>
        <v>0</v>
      </c>
    </row>
    <row r="314" spans="1:8" x14ac:dyDescent="0.2">
      <c r="A314" s="2" t="s">
        <v>35</v>
      </c>
      <c r="B314" s="2">
        <v>9</v>
      </c>
      <c r="C314" s="2">
        <v>1</v>
      </c>
      <c r="D314" s="2">
        <v>2020</v>
      </c>
      <c r="E314" s="2">
        <v>102.61</v>
      </c>
      <c r="F314" s="2">
        <v>80.290000000000006</v>
      </c>
      <c r="H314" s="1">
        <f>_xlfn.XLOOKUP('Data Source 1_customer readings'!A314,'Data Source 1_customer readings'!A314:A2712,'Data Source 1_customer readings'!J314:J2712)</f>
        <v>0</v>
      </c>
    </row>
    <row r="315" spans="1:8" x14ac:dyDescent="0.2">
      <c r="A315" s="2" t="s">
        <v>81</v>
      </c>
      <c r="B315" s="2">
        <v>19</v>
      </c>
      <c r="C315" s="2">
        <v>2</v>
      </c>
      <c r="D315" s="2">
        <v>2020</v>
      </c>
      <c r="E315" s="2">
        <v>102.48</v>
      </c>
      <c r="F315" s="2">
        <v>79.52</v>
      </c>
      <c r="H315" s="1">
        <f>_xlfn.XLOOKUP('Data Source 1_customer readings'!A315,'Data Source 1_customer readings'!A315:A2713,'Data Source 1_customer readings'!J315:J2713)</f>
        <v>0</v>
      </c>
    </row>
    <row r="316" spans="1:8" x14ac:dyDescent="0.2">
      <c r="A316" s="2" t="s">
        <v>40</v>
      </c>
      <c r="B316" s="2">
        <v>15</v>
      </c>
      <c r="C316" s="2">
        <v>11</v>
      </c>
      <c r="D316" s="2">
        <v>2020</v>
      </c>
      <c r="E316" s="2">
        <v>102</v>
      </c>
      <c r="F316" s="2">
        <v>84.3</v>
      </c>
      <c r="H316" s="1">
        <f>_xlfn.XLOOKUP('Data Source 1_customer readings'!A316,'Data Source 1_customer readings'!A316:A2714,'Data Source 1_customer readings'!J316:J2714)</f>
        <v>0</v>
      </c>
    </row>
    <row r="317" spans="1:8" x14ac:dyDescent="0.2">
      <c r="A317" s="2" t="s">
        <v>91</v>
      </c>
      <c r="B317" s="2">
        <v>5</v>
      </c>
      <c r="C317" s="2">
        <v>4</v>
      </c>
      <c r="D317" s="2">
        <v>2020</v>
      </c>
      <c r="E317" s="2">
        <v>102</v>
      </c>
      <c r="F317" s="2">
        <v>62.7</v>
      </c>
      <c r="H317" s="1">
        <f>_xlfn.XLOOKUP('Data Source 1_customer readings'!A317,'Data Source 1_customer readings'!A317:A2715,'Data Source 1_customer readings'!J317:J2715)</f>
        <v>0</v>
      </c>
    </row>
    <row r="318" spans="1:8" x14ac:dyDescent="0.2">
      <c r="A318" s="2" t="s">
        <v>72</v>
      </c>
      <c r="B318" s="2">
        <v>22</v>
      </c>
      <c r="C318" s="2">
        <v>12</v>
      </c>
      <c r="D318" s="2">
        <v>2020</v>
      </c>
      <c r="E318" s="2">
        <v>101.99</v>
      </c>
      <c r="F318" s="2">
        <v>104.47</v>
      </c>
      <c r="H318" s="1">
        <f>_xlfn.XLOOKUP('Data Source 1_customer readings'!A318,'Data Source 1_customer readings'!A318:A2716,'Data Source 1_customer readings'!J318:J2716)</f>
        <v>0</v>
      </c>
    </row>
    <row r="319" spans="1:8" x14ac:dyDescent="0.2">
      <c r="A319" s="2" t="s">
        <v>36</v>
      </c>
      <c r="B319" s="2">
        <v>12</v>
      </c>
      <c r="C319" s="2">
        <v>12</v>
      </c>
      <c r="D319" s="2">
        <v>2020</v>
      </c>
      <c r="E319" s="2">
        <v>101.68</v>
      </c>
      <c r="F319" s="2">
        <v>81.53</v>
      </c>
      <c r="H319" s="1">
        <f>_xlfn.XLOOKUP('Data Source 1_customer readings'!A319,'Data Source 1_customer readings'!A319:A2717,'Data Source 1_customer readings'!J319:J2717)</f>
        <v>0</v>
      </c>
    </row>
    <row r="320" spans="1:8" x14ac:dyDescent="0.2">
      <c r="A320" s="2" t="s">
        <v>61</v>
      </c>
      <c r="B320" s="2">
        <v>23</v>
      </c>
      <c r="C320" s="2">
        <v>11</v>
      </c>
      <c r="D320" s="2">
        <v>2020</v>
      </c>
      <c r="E320" s="2">
        <v>101.1</v>
      </c>
      <c r="F320" s="2">
        <v>96</v>
      </c>
      <c r="H320" s="1">
        <f>_xlfn.XLOOKUP('Data Source 1_customer readings'!A320,'Data Source 1_customer readings'!A320:A2718,'Data Source 1_customer readings'!J320:J2718)</f>
        <v>0</v>
      </c>
    </row>
    <row r="321" spans="1:8" x14ac:dyDescent="0.2">
      <c r="A321" s="2" t="s">
        <v>42</v>
      </c>
      <c r="B321" s="2">
        <v>12</v>
      </c>
      <c r="C321" s="2">
        <v>12</v>
      </c>
      <c r="D321" s="2">
        <v>2020</v>
      </c>
      <c r="E321" s="2">
        <v>101.06</v>
      </c>
      <c r="F321" s="2">
        <v>85.56</v>
      </c>
      <c r="H321" s="1">
        <f>_xlfn.XLOOKUP('Data Source 1_customer readings'!A321,'Data Source 1_customer readings'!A321:A2719,'Data Source 1_customer readings'!J321:J2719)</f>
        <v>0</v>
      </c>
    </row>
    <row r="322" spans="1:8" x14ac:dyDescent="0.2">
      <c r="A322" s="2" t="s">
        <v>84</v>
      </c>
      <c r="B322" s="2">
        <v>20</v>
      </c>
      <c r="C322" s="2">
        <v>10</v>
      </c>
      <c r="D322" s="2">
        <v>2020</v>
      </c>
      <c r="E322" s="2">
        <v>100.75</v>
      </c>
      <c r="F322" s="2">
        <v>84.63</v>
      </c>
      <c r="H322" s="1">
        <f>_xlfn.XLOOKUP('Data Source 1_customer readings'!A322,'Data Source 1_customer readings'!A322:A2720,'Data Source 1_customer readings'!J322:J2720)</f>
        <v>0</v>
      </c>
    </row>
    <row r="323" spans="1:8" x14ac:dyDescent="0.2">
      <c r="A323" s="2" t="s">
        <v>63</v>
      </c>
      <c r="B323" s="2">
        <v>25</v>
      </c>
      <c r="C323" s="2">
        <v>12</v>
      </c>
      <c r="D323" s="2">
        <v>2020</v>
      </c>
      <c r="E323" s="2">
        <v>100.75</v>
      </c>
      <c r="F323" s="2">
        <v>79.05</v>
      </c>
      <c r="H323" s="1">
        <f>_xlfn.XLOOKUP('Data Source 1_customer readings'!A323,'Data Source 1_customer readings'!A323:A2721,'Data Source 1_customer readings'!J323:J2721)</f>
        <v>0</v>
      </c>
    </row>
    <row r="324" spans="1:8" x14ac:dyDescent="0.2">
      <c r="A324" s="2" t="s">
        <v>66</v>
      </c>
      <c r="B324" s="2">
        <v>23</v>
      </c>
      <c r="C324" s="2">
        <v>2</v>
      </c>
      <c r="D324" s="2">
        <v>2020</v>
      </c>
      <c r="E324" s="2">
        <v>100.52</v>
      </c>
      <c r="F324" s="2">
        <v>85.4</v>
      </c>
      <c r="H324" s="1">
        <f>_xlfn.XLOOKUP('Data Source 1_customer readings'!A324,'Data Source 1_customer readings'!A324:A2722,'Data Source 1_customer readings'!J324:J2722)</f>
        <v>0</v>
      </c>
    </row>
    <row r="325" spans="1:8" x14ac:dyDescent="0.2">
      <c r="A325" s="2" t="s">
        <v>88</v>
      </c>
      <c r="B325" s="2">
        <v>23</v>
      </c>
      <c r="C325" s="2">
        <v>3</v>
      </c>
      <c r="D325" s="2">
        <v>2020</v>
      </c>
      <c r="E325" s="2">
        <v>100.44</v>
      </c>
      <c r="F325" s="2">
        <v>114.08</v>
      </c>
      <c r="H325" s="1">
        <f>_xlfn.XLOOKUP('Data Source 1_customer readings'!A325,'Data Source 1_customer readings'!A325:A2723,'Data Source 1_customer readings'!J325:J2723)</f>
        <v>0</v>
      </c>
    </row>
    <row r="326" spans="1:8" x14ac:dyDescent="0.2">
      <c r="A326" s="2" t="s">
        <v>54</v>
      </c>
      <c r="B326" s="2">
        <v>5</v>
      </c>
      <c r="C326" s="2">
        <v>12</v>
      </c>
      <c r="D326" s="2">
        <v>2020</v>
      </c>
      <c r="E326" s="2">
        <v>100.44</v>
      </c>
      <c r="F326" s="2">
        <v>87.11</v>
      </c>
      <c r="H326" s="1">
        <f>_xlfn.XLOOKUP('Data Source 1_customer readings'!A326,'Data Source 1_customer readings'!A326:A2724,'Data Source 1_customer readings'!J326:J2724)</f>
        <v>0</v>
      </c>
    </row>
    <row r="327" spans="1:8" x14ac:dyDescent="0.2">
      <c r="A327" s="2" t="s">
        <v>38</v>
      </c>
      <c r="B327" s="2">
        <v>21</v>
      </c>
      <c r="C327" s="2">
        <v>12</v>
      </c>
      <c r="D327" s="2">
        <v>2020</v>
      </c>
      <c r="E327" s="2">
        <v>100.44</v>
      </c>
      <c r="F327" s="2">
        <v>82.15</v>
      </c>
      <c r="H327" s="1" t="b">
        <f>_xlfn.XLOOKUP('Data Source 1_customer readings'!A327,'Data Source 1_customer readings'!A327:A2725,'Data Source 1_customer readings'!J327:J2725)</f>
        <v>1</v>
      </c>
    </row>
    <row r="328" spans="1:8" x14ac:dyDescent="0.2">
      <c r="A328" s="2" t="s">
        <v>88</v>
      </c>
      <c r="B328" s="2">
        <v>23</v>
      </c>
      <c r="C328" s="2">
        <v>4</v>
      </c>
      <c r="D328" s="2">
        <v>2020</v>
      </c>
      <c r="E328" s="2">
        <v>100.2</v>
      </c>
      <c r="F328" s="2">
        <v>102.6</v>
      </c>
      <c r="H328" s="1">
        <f>_xlfn.XLOOKUP('Data Source 1_customer readings'!A328,'Data Source 1_customer readings'!A328:A2726,'Data Source 1_customer readings'!J328:J2726)</f>
        <v>0</v>
      </c>
    </row>
    <row r="329" spans="1:8" x14ac:dyDescent="0.2">
      <c r="A329" s="2" t="s">
        <v>56</v>
      </c>
      <c r="B329" s="2">
        <v>14</v>
      </c>
      <c r="C329" s="2">
        <v>12</v>
      </c>
      <c r="D329" s="2">
        <v>2020</v>
      </c>
      <c r="E329" s="2">
        <v>100.13</v>
      </c>
      <c r="F329" s="2">
        <v>82.46</v>
      </c>
      <c r="H329" s="1">
        <f>_xlfn.XLOOKUP('Data Source 1_customer readings'!A329,'Data Source 1_customer readings'!A329:A2727,'Data Source 1_customer readings'!J329:J2727)</f>
        <v>0</v>
      </c>
    </row>
    <row r="330" spans="1:8" x14ac:dyDescent="0.2">
      <c r="A330" s="2" t="s">
        <v>88</v>
      </c>
      <c r="B330" s="2">
        <v>23</v>
      </c>
      <c r="C330" s="2">
        <v>10</v>
      </c>
      <c r="D330" s="2">
        <v>2020</v>
      </c>
      <c r="E330" s="2">
        <v>99.82</v>
      </c>
      <c r="F330" s="2">
        <v>109.43</v>
      </c>
      <c r="H330" s="1">
        <f>_xlfn.XLOOKUP('Data Source 1_customer readings'!A330,'Data Source 1_customer readings'!A330:A2728,'Data Source 1_customer readings'!J330:J2728)</f>
        <v>0</v>
      </c>
    </row>
    <row r="331" spans="1:8" x14ac:dyDescent="0.2">
      <c r="A331" s="2" t="s">
        <v>41</v>
      </c>
      <c r="B331" s="2">
        <v>15</v>
      </c>
      <c r="C331" s="2">
        <v>12</v>
      </c>
      <c r="D331" s="2">
        <v>2020</v>
      </c>
      <c r="E331" s="2">
        <v>99.82</v>
      </c>
      <c r="F331" s="2">
        <v>100.75</v>
      </c>
      <c r="H331" s="1" t="b">
        <f>_xlfn.XLOOKUP('Data Source 1_customer readings'!A331,'Data Source 1_customer readings'!A331:A2729,'Data Source 1_customer readings'!J331:J2729)</f>
        <v>1</v>
      </c>
    </row>
    <row r="332" spans="1:8" x14ac:dyDescent="0.2">
      <c r="A332" s="2" t="s">
        <v>44</v>
      </c>
      <c r="B332" s="2">
        <v>1</v>
      </c>
      <c r="C332" s="2">
        <v>12</v>
      </c>
      <c r="D332" s="2">
        <v>2020</v>
      </c>
      <c r="E332" s="2">
        <v>99.51</v>
      </c>
      <c r="F332" s="2">
        <v>95.79</v>
      </c>
      <c r="H332" s="1">
        <f>_xlfn.XLOOKUP('Data Source 1_customer readings'!A332,'Data Source 1_customer readings'!A332:A2730,'Data Source 1_customer readings'!J332:J2730)</f>
        <v>0</v>
      </c>
    </row>
    <row r="333" spans="1:8" x14ac:dyDescent="0.2">
      <c r="A333" s="2" t="s">
        <v>46</v>
      </c>
      <c r="B333" s="2">
        <v>9</v>
      </c>
      <c r="C333" s="2">
        <v>12</v>
      </c>
      <c r="D333" s="2">
        <v>2020</v>
      </c>
      <c r="E333" s="2">
        <v>99.51</v>
      </c>
      <c r="F333" s="2">
        <v>73.78</v>
      </c>
      <c r="H333" s="1">
        <f>_xlfn.XLOOKUP('Data Source 1_customer readings'!A333,'Data Source 1_customer readings'!A333:A2731,'Data Source 1_customer readings'!J333:J2731)</f>
        <v>0</v>
      </c>
    </row>
    <row r="334" spans="1:8" x14ac:dyDescent="0.2">
      <c r="A334" s="2" t="s">
        <v>55</v>
      </c>
      <c r="B334" s="2">
        <v>18</v>
      </c>
      <c r="C334" s="2">
        <v>12</v>
      </c>
      <c r="D334" s="2">
        <v>2020</v>
      </c>
      <c r="E334" s="2">
        <v>99.51</v>
      </c>
      <c r="F334" s="2">
        <v>69.75</v>
      </c>
      <c r="H334" s="1">
        <f>_xlfn.XLOOKUP('Data Source 1_customer readings'!A334,'Data Source 1_customer readings'!A334:A2732,'Data Source 1_customer readings'!J334:J2732)</f>
        <v>0</v>
      </c>
    </row>
    <row r="335" spans="1:8" x14ac:dyDescent="0.2">
      <c r="A335" s="2" t="s">
        <v>37</v>
      </c>
      <c r="B335" s="2">
        <v>12</v>
      </c>
      <c r="C335" s="2">
        <v>12</v>
      </c>
      <c r="D335" s="2">
        <v>2020</v>
      </c>
      <c r="E335" s="2">
        <v>99.51</v>
      </c>
      <c r="F335" s="2">
        <v>66.959999999999994</v>
      </c>
      <c r="H335" s="1">
        <f>_xlfn.XLOOKUP('Data Source 1_customer readings'!A335,'Data Source 1_customer readings'!A335:A2733,'Data Source 1_customer readings'!J335:J2733)</f>
        <v>0</v>
      </c>
    </row>
    <row r="336" spans="1:8" x14ac:dyDescent="0.2">
      <c r="A336" s="2" t="s">
        <v>77</v>
      </c>
      <c r="B336" s="2">
        <v>16</v>
      </c>
      <c r="C336" s="2">
        <v>11</v>
      </c>
      <c r="D336" s="2">
        <v>2020</v>
      </c>
      <c r="E336" s="2">
        <v>99.3</v>
      </c>
      <c r="F336" s="2">
        <v>113.4</v>
      </c>
      <c r="H336" s="1">
        <f>_xlfn.XLOOKUP('Data Source 1_customer readings'!A336,'Data Source 1_customer readings'!A336:A2734,'Data Source 1_customer readings'!J336:J2734)</f>
        <v>0</v>
      </c>
    </row>
    <row r="337" spans="1:8" x14ac:dyDescent="0.2">
      <c r="A337" s="2" t="s">
        <v>76</v>
      </c>
      <c r="B337" s="2">
        <v>9</v>
      </c>
      <c r="C337" s="2">
        <v>11</v>
      </c>
      <c r="D337" s="2">
        <v>2020</v>
      </c>
      <c r="E337" s="2">
        <v>99.3</v>
      </c>
      <c r="F337" s="2">
        <v>80.400000000000006</v>
      </c>
      <c r="H337" s="1">
        <f>_xlfn.XLOOKUP('Data Source 1_customer readings'!A337,'Data Source 1_customer readings'!A337:A2735,'Data Source 1_customer readings'!J337:J2735)</f>
        <v>0</v>
      </c>
    </row>
    <row r="338" spans="1:8" x14ac:dyDescent="0.2">
      <c r="A338" s="2" t="s">
        <v>66</v>
      </c>
      <c r="B338" s="2">
        <v>23</v>
      </c>
      <c r="C338" s="2">
        <v>11</v>
      </c>
      <c r="D338" s="2">
        <v>2020</v>
      </c>
      <c r="E338" s="2">
        <v>99.3</v>
      </c>
      <c r="F338" s="2">
        <v>77.7</v>
      </c>
      <c r="H338" s="1">
        <f>_xlfn.XLOOKUP('Data Source 1_customer readings'!A338,'Data Source 1_customer readings'!A338:A2736,'Data Source 1_customer readings'!J338:J2736)</f>
        <v>0</v>
      </c>
    </row>
    <row r="339" spans="1:8" x14ac:dyDescent="0.2">
      <c r="A339" s="2" t="s">
        <v>55</v>
      </c>
      <c r="B339" s="2">
        <v>18</v>
      </c>
      <c r="C339" s="2">
        <v>2</v>
      </c>
      <c r="D339" s="2">
        <v>2020</v>
      </c>
      <c r="E339" s="2">
        <v>99.12</v>
      </c>
      <c r="F339" s="2">
        <v>73.64</v>
      </c>
      <c r="H339" s="1">
        <f>_xlfn.XLOOKUP('Data Source 1_customer readings'!A339,'Data Source 1_customer readings'!A339:A2737,'Data Source 1_customer readings'!J339:J2737)</f>
        <v>0</v>
      </c>
    </row>
    <row r="340" spans="1:8" x14ac:dyDescent="0.2">
      <c r="A340" s="2" t="s">
        <v>50</v>
      </c>
      <c r="B340" s="2">
        <v>24</v>
      </c>
      <c r="C340" s="2">
        <v>11</v>
      </c>
      <c r="D340" s="2">
        <v>2020</v>
      </c>
      <c r="E340" s="2">
        <v>99</v>
      </c>
      <c r="F340" s="2">
        <v>82.8</v>
      </c>
      <c r="H340" s="1">
        <f>_xlfn.XLOOKUP('Data Source 1_customer readings'!A340,'Data Source 1_customer readings'!A340:A2738,'Data Source 1_customer readings'!J340:J2738)</f>
        <v>0</v>
      </c>
    </row>
    <row r="341" spans="1:8" x14ac:dyDescent="0.2">
      <c r="A341" s="2" t="s">
        <v>83</v>
      </c>
      <c r="B341" s="2">
        <v>25</v>
      </c>
      <c r="C341" s="2">
        <v>10</v>
      </c>
      <c r="D341" s="2">
        <v>2020</v>
      </c>
      <c r="E341" s="2">
        <v>98.89</v>
      </c>
      <c r="F341" s="2">
        <v>113.46</v>
      </c>
      <c r="H341" s="1" t="b">
        <f>_xlfn.XLOOKUP('Data Source 1_customer readings'!A341,'Data Source 1_customer readings'!A341:A2739,'Data Source 1_customer readings'!J341:J2739)</f>
        <v>0</v>
      </c>
    </row>
    <row r="342" spans="1:8" x14ac:dyDescent="0.2">
      <c r="A342" s="2" t="s">
        <v>70</v>
      </c>
      <c r="B342" s="2">
        <v>16</v>
      </c>
      <c r="C342" s="2">
        <v>11</v>
      </c>
      <c r="D342" s="2">
        <v>2020</v>
      </c>
      <c r="E342" s="2">
        <v>98.4</v>
      </c>
      <c r="F342" s="2">
        <v>83.1</v>
      </c>
      <c r="H342" s="1">
        <f>_xlfn.XLOOKUP('Data Source 1_customer readings'!A342,'Data Source 1_customer readings'!A342:A2740,'Data Source 1_customer readings'!J342:J2740)</f>
        <v>0</v>
      </c>
    </row>
    <row r="343" spans="1:8" x14ac:dyDescent="0.2">
      <c r="A343" s="2" t="s">
        <v>33</v>
      </c>
      <c r="B343" s="2">
        <v>21</v>
      </c>
      <c r="C343" s="2">
        <v>1</v>
      </c>
      <c r="D343" s="2">
        <v>2020</v>
      </c>
      <c r="E343" s="2">
        <v>98.27</v>
      </c>
      <c r="F343" s="2">
        <v>80.290000000000006</v>
      </c>
      <c r="H343" s="1">
        <f>_xlfn.XLOOKUP('Data Source 1_customer readings'!A343,'Data Source 1_customer readings'!A343:A2741,'Data Source 1_customer readings'!J343:J2741)</f>
        <v>0</v>
      </c>
    </row>
    <row r="344" spans="1:8" x14ac:dyDescent="0.2">
      <c r="A344" s="2" t="s">
        <v>65</v>
      </c>
      <c r="B344" s="2">
        <v>11</v>
      </c>
      <c r="C344" s="2">
        <v>11</v>
      </c>
      <c r="D344" s="2">
        <v>2020</v>
      </c>
      <c r="E344" s="2">
        <v>98.1</v>
      </c>
      <c r="F344" s="2">
        <v>89.1</v>
      </c>
      <c r="H344" s="1">
        <f>_xlfn.XLOOKUP('Data Source 1_customer readings'!A344,'Data Source 1_customer readings'!A344:A2742,'Data Source 1_customer readings'!J344:J2742)</f>
        <v>0</v>
      </c>
    </row>
    <row r="345" spans="1:8" x14ac:dyDescent="0.2">
      <c r="A345" s="2" t="s">
        <v>72</v>
      </c>
      <c r="B345" s="2">
        <v>22</v>
      </c>
      <c r="C345" s="2">
        <v>2</v>
      </c>
      <c r="D345" s="2">
        <v>2020</v>
      </c>
      <c r="E345" s="2">
        <v>98</v>
      </c>
      <c r="F345" s="2">
        <v>85.12</v>
      </c>
      <c r="H345" s="1">
        <f>_xlfn.XLOOKUP('Data Source 1_customer readings'!A345,'Data Source 1_customer readings'!A345:A2743,'Data Source 1_customer readings'!J345:J2743)</f>
        <v>0</v>
      </c>
    </row>
    <row r="346" spans="1:8" x14ac:dyDescent="0.2">
      <c r="A346" s="2" t="s">
        <v>74</v>
      </c>
      <c r="B346" s="2">
        <v>5</v>
      </c>
      <c r="C346" s="2">
        <v>2</v>
      </c>
      <c r="D346" s="2">
        <v>2020</v>
      </c>
      <c r="E346" s="2">
        <v>98</v>
      </c>
      <c r="F346" s="2">
        <v>63.28</v>
      </c>
      <c r="H346" s="1">
        <f>_xlfn.XLOOKUP('Data Source 1_customer readings'!A346,'Data Source 1_customer readings'!A346:A2744,'Data Source 1_customer readings'!J346:J2744)</f>
        <v>0</v>
      </c>
    </row>
    <row r="347" spans="1:8" x14ac:dyDescent="0.2">
      <c r="A347" s="2" t="s">
        <v>75</v>
      </c>
      <c r="B347" s="2">
        <v>2</v>
      </c>
      <c r="C347" s="2">
        <v>2</v>
      </c>
      <c r="D347" s="2">
        <v>2020</v>
      </c>
      <c r="E347" s="2">
        <v>97.72</v>
      </c>
      <c r="F347" s="2">
        <v>69.44</v>
      </c>
      <c r="H347" s="1">
        <f>_xlfn.XLOOKUP('Data Source 1_customer readings'!A347,'Data Source 1_customer readings'!A347:A2745,'Data Source 1_customer readings'!J347:J2745)</f>
        <v>0</v>
      </c>
    </row>
    <row r="348" spans="1:8" x14ac:dyDescent="0.2">
      <c r="A348" s="2" t="s">
        <v>46</v>
      </c>
      <c r="B348" s="2">
        <v>9</v>
      </c>
      <c r="C348" s="2">
        <v>2</v>
      </c>
      <c r="D348" s="2">
        <v>2020</v>
      </c>
      <c r="E348" s="2">
        <v>97.72</v>
      </c>
      <c r="F348" s="2">
        <v>57.12</v>
      </c>
      <c r="H348" s="1">
        <f>_xlfn.XLOOKUP('Data Source 1_customer readings'!A348,'Data Source 1_customer readings'!A348:A2746,'Data Source 1_customer readings'!J348:J2746)</f>
        <v>0</v>
      </c>
    </row>
    <row r="349" spans="1:8" x14ac:dyDescent="0.2">
      <c r="A349" s="2" t="s">
        <v>90</v>
      </c>
      <c r="B349" s="2">
        <v>18</v>
      </c>
      <c r="C349" s="2">
        <v>3</v>
      </c>
      <c r="D349" s="2">
        <v>2020</v>
      </c>
      <c r="E349" s="2">
        <v>97.65</v>
      </c>
      <c r="F349" s="2">
        <v>93.31</v>
      </c>
      <c r="H349" s="1">
        <f>_xlfn.XLOOKUP('Data Source 1_customer readings'!A349,'Data Source 1_customer readings'!A349:A2747,'Data Source 1_customer readings'!J349:J2747)</f>
        <v>0</v>
      </c>
    </row>
    <row r="350" spans="1:8" x14ac:dyDescent="0.2">
      <c r="A350" s="2" t="s">
        <v>84</v>
      </c>
      <c r="B350" s="2">
        <v>20</v>
      </c>
      <c r="C350" s="2">
        <v>3</v>
      </c>
      <c r="D350" s="2">
        <v>2020</v>
      </c>
      <c r="E350" s="2">
        <v>97.65</v>
      </c>
      <c r="F350" s="2">
        <v>81.53</v>
      </c>
      <c r="H350" s="1">
        <f>_xlfn.XLOOKUP('Data Source 1_customer readings'!A350,'Data Source 1_customer readings'!A350:A2748,'Data Source 1_customer readings'!J350:J2748)</f>
        <v>0</v>
      </c>
    </row>
    <row r="351" spans="1:8" x14ac:dyDescent="0.2">
      <c r="A351" s="2" t="s">
        <v>63</v>
      </c>
      <c r="B351" s="2">
        <v>25</v>
      </c>
      <c r="C351" s="2">
        <v>11</v>
      </c>
      <c r="D351" s="2">
        <v>2020</v>
      </c>
      <c r="E351" s="2">
        <v>97.5</v>
      </c>
      <c r="F351" s="2">
        <v>87.3</v>
      </c>
      <c r="H351" s="1">
        <f>_xlfn.XLOOKUP('Data Source 1_customer readings'!A351,'Data Source 1_customer readings'!A351:A2749,'Data Source 1_customer readings'!J351:J2749)</f>
        <v>0</v>
      </c>
    </row>
    <row r="352" spans="1:8" x14ac:dyDescent="0.2">
      <c r="A352" s="2" t="s">
        <v>65</v>
      </c>
      <c r="B352" s="2">
        <v>11</v>
      </c>
      <c r="C352" s="2">
        <v>2</v>
      </c>
      <c r="D352" s="2">
        <v>2020</v>
      </c>
      <c r="E352" s="2">
        <v>97.44</v>
      </c>
      <c r="F352" s="2">
        <v>80.36</v>
      </c>
      <c r="H352" s="1">
        <f>_xlfn.XLOOKUP('Data Source 1_customer readings'!A352,'Data Source 1_customer readings'!A352:A2750,'Data Source 1_customer readings'!J352:J2750)</f>
        <v>0</v>
      </c>
    </row>
    <row r="353" spans="1:8" x14ac:dyDescent="0.2">
      <c r="A353" s="2" t="s">
        <v>83</v>
      </c>
      <c r="B353" s="2">
        <v>25</v>
      </c>
      <c r="C353" s="2">
        <v>4</v>
      </c>
      <c r="D353" s="2">
        <v>2020</v>
      </c>
      <c r="E353" s="2">
        <v>96.9</v>
      </c>
      <c r="F353" s="2">
        <v>93.9</v>
      </c>
      <c r="H353" s="1">
        <f>_xlfn.XLOOKUP('Data Source 1_customer readings'!A353,'Data Source 1_customer readings'!A353:A2751,'Data Source 1_customer readings'!J353:J2751)</f>
        <v>0</v>
      </c>
    </row>
    <row r="354" spans="1:8" x14ac:dyDescent="0.2">
      <c r="A354" s="2" t="s">
        <v>43</v>
      </c>
      <c r="B354" s="2">
        <v>15</v>
      </c>
      <c r="C354" s="2">
        <v>2</v>
      </c>
      <c r="D354" s="2">
        <v>2020</v>
      </c>
      <c r="E354" s="2">
        <v>96.88</v>
      </c>
      <c r="F354" s="2">
        <v>66.08</v>
      </c>
      <c r="H354" s="1">
        <f>_xlfn.XLOOKUP('Data Source 1_customer readings'!A354,'Data Source 1_customer readings'!A354:A2752,'Data Source 1_customer readings'!J354:J2752)</f>
        <v>0</v>
      </c>
    </row>
    <row r="355" spans="1:8" x14ac:dyDescent="0.2">
      <c r="A355" s="2" t="s">
        <v>90</v>
      </c>
      <c r="B355" s="2">
        <v>18</v>
      </c>
      <c r="C355" s="2">
        <v>10</v>
      </c>
      <c r="D355" s="2">
        <v>2020</v>
      </c>
      <c r="E355" s="2">
        <v>96.72</v>
      </c>
      <c r="F355" s="2">
        <v>96.41</v>
      </c>
      <c r="H355" s="1">
        <f>_xlfn.XLOOKUP('Data Source 1_customer readings'!A355,'Data Source 1_customer readings'!A355:A2753,'Data Source 1_customer readings'!J355:J2753)</f>
        <v>0</v>
      </c>
    </row>
    <row r="356" spans="1:8" x14ac:dyDescent="0.2">
      <c r="A356" s="2" t="s">
        <v>84</v>
      </c>
      <c r="B356" s="2">
        <v>20</v>
      </c>
      <c r="C356" s="2">
        <v>4</v>
      </c>
      <c r="D356" s="2">
        <v>2020</v>
      </c>
      <c r="E356" s="2">
        <v>96</v>
      </c>
      <c r="F356" s="2">
        <v>75.3</v>
      </c>
      <c r="H356" s="1">
        <f>_xlfn.XLOOKUP('Data Source 1_customer readings'!A356,'Data Source 1_customer readings'!A356:A2754,'Data Source 1_customer readings'!J356:J2754)</f>
        <v>0</v>
      </c>
    </row>
    <row r="357" spans="1:8" x14ac:dyDescent="0.2">
      <c r="A357" s="2" t="s">
        <v>49</v>
      </c>
      <c r="B357" s="2">
        <v>3</v>
      </c>
      <c r="C357" s="2">
        <v>2</v>
      </c>
      <c r="D357" s="2">
        <v>2020</v>
      </c>
      <c r="E357" s="2">
        <v>95.76</v>
      </c>
      <c r="F357" s="2">
        <v>50.96</v>
      </c>
      <c r="H357" s="1" t="b">
        <f>_xlfn.XLOOKUP('Data Source 1_customer readings'!A357,'Data Source 1_customer readings'!A357:A2755,'Data Source 1_customer readings'!J357:J2755)</f>
        <v>0</v>
      </c>
    </row>
    <row r="358" spans="1:8" x14ac:dyDescent="0.2">
      <c r="A358" s="2" t="s">
        <v>59</v>
      </c>
      <c r="B358" s="2">
        <v>11</v>
      </c>
      <c r="C358" s="2">
        <v>11</v>
      </c>
      <c r="D358" s="2">
        <v>2020</v>
      </c>
      <c r="E358" s="2">
        <v>95.7</v>
      </c>
      <c r="F358" s="2">
        <v>87.6</v>
      </c>
      <c r="H358" s="1" t="b">
        <f>_xlfn.XLOOKUP('Data Source 1_customer readings'!A358,'Data Source 1_customer readings'!A358:A2756,'Data Source 1_customer readings'!J358:J2756)</f>
        <v>0</v>
      </c>
    </row>
    <row r="359" spans="1:8" x14ac:dyDescent="0.2">
      <c r="A359" s="2" t="s">
        <v>67</v>
      </c>
      <c r="B359" s="2">
        <v>13</v>
      </c>
      <c r="C359" s="2">
        <v>11</v>
      </c>
      <c r="D359" s="2">
        <v>2020</v>
      </c>
      <c r="E359" s="2">
        <v>95.7</v>
      </c>
      <c r="F359" s="2">
        <v>82.8</v>
      </c>
      <c r="H359" s="1">
        <f>_xlfn.XLOOKUP('Data Source 1_customer readings'!A359,'Data Source 1_customer readings'!A359:A2757,'Data Source 1_customer readings'!J359:J2757)</f>
        <v>0</v>
      </c>
    </row>
    <row r="360" spans="1:8" x14ac:dyDescent="0.2">
      <c r="A360" s="2" t="s">
        <v>75</v>
      </c>
      <c r="B360" s="2">
        <v>2</v>
      </c>
      <c r="C360" s="2">
        <v>11</v>
      </c>
      <c r="D360" s="2">
        <v>2020</v>
      </c>
      <c r="E360" s="2">
        <v>95.7</v>
      </c>
      <c r="F360" s="2">
        <v>73.8</v>
      </c>
      <c r="H360" s="1">
        <f>_xlfn.XLOOKUP('Data Source 1_customer readings'!A360,'Data Source 1_customer readings'!A360:A2758,'Data Source 1_customer readings'!J360:J2758)</f>
        <v>0</v>
      </c>
    </row>
    <row r="361" spans="1:8" x14ac:dyDescent="0.2">
      <c r="A361" s="2" t="s">
        <v>51</v>
      </c>
      <c r="B361" s="2">
        <v>16</v>
      </c>
      <c r="C361" s="2">
        <v>11</v>
      </c>
      <c r="D361" s="2">
        <v>2020</v>
      </c>
      <c r="E361" s="2">
        <v>95.7</v>
      </c>
      <c r="F361" s="2">
        <v>71.400000000000006</v>
      </c>
      <c r="H361" s="1">
        <f>_xlfn.XLOOKUP('Data Source 1_customer readings'!A361,'Data Source 1_customer readings'!A361:A2759,'Data Source 1_customer readings'!J361:J2759)</f>
        <v>0</v>
      </c>
    </row>
    <row r="362" spans="1:8" x14ac:dyDescent="0.2">
      <c r="A362" s="2" t="s">
        <v>48</v>
      </c>
      <c r="B362" s="2">
        <v>24</v>
      </c>
      <c r="C362" s="2">
        <v>12</v>
      </c>
      <c r="D362" s="2">
        <v>2020</v>
      </c>
      <c r="E362" s="2">
        <v>95.48</v>
      </c>
      <c r="F362" s="2">
        <v>80.290000000000006</v>
      </c>
      <c r="H362" s="1">
        <f>_xlfn.XLOOKUP('Data Source 1_customer readings'!A362,'Data Source 1_customer readings'!A362:A2760,'Data Source 1_customer readings'!J362:J2760)</f>
        <v>0</v>
      </c>
    </row>
    <row r="363" spans="1:8" x14ac:dyDescent="0.2">
      <c r="A363" s="2" t="s">
        <v>56</v>
      </c>
      <c r="B363" s="2">
        <v>14</v>
      </c>
      <c r="C363" s="2">
        <v>1</v>
      </c>
      <c r="D363" s="2">
        <v>2020</v>
      </c>
      <c r="E363" s="2">
        <v>95.48</v>
      </c>
      <c r="F363" s="2">
        <v>72.23</v>
      </c>
      <c r="H363" s="1">
        <f>_xlfn.XLOOKUP('Data Source 1_customer readings'!A363,'Data Source 1_customer readings'!A363:A2761,'Data Source 1_customer readings'!J363:J2761)</f>
        <v>0</v>
      </c>
    </row>
    <row r="364" spans="1:8" x14ac:dyDescent="0.2">
      <c r="A364" s="2" t="s">
        <v>33</v>
      </c>
      <c r="B364" s="2">
        <v>21</v>
      </c>
      <c r="C364" s="2">
        <v>11</v>
      </c>
      <c r="D364" s="2">
        <v>2020</v>
      </c>
      <c r="E364" s="2">
        <v>95.4</v>
      </c>
      <c r="F364" s="2">
        <v>73.2</v>
      </c>
      <c r="H364" s="1">
        <f>_xlfn.XLOOKUP('Data Source 1_customer readings'!A364,'Data Source 1_customer readings'!A364:A2762,'Data Source 1_customer readings'!J364:J2762)</f>
        <v>0</v>
      </c>
    </row>
    <row r="365" spans="1:8" x14ac:dyDescent="0.2">
      <c r="A365" s="2" t="s">
        <v>47</v>
      </c>
      <c r="B365" s="2">
        <v>19</v>
      </c>
      <c r="C365" s="2">
        <v>12</v>
      </c>
      <c r="D365" s="2">
        <v>2020</v>
      </c>
      <c r="E365" s="2">
        <v>95.17</v>
      </c>
      <c r="F365" s="2">
        <v>80.599999999999994</v>
      </c>
      <c r="H365" s="1">
        <f>_xlfn.XLOOKUP('Data Source 1_customer readings'!A365,'Data Source 1_customer readings'!A365:A2763,'Data Source 1_customer readings'!J365:J2763)</f>
        <v>0</v>
      </c>
    </row>
    <row r="366" spans="1:8" x14ac:dyDescent="0.2">
      <c r="A366" s="2" t="s">
        <v>58</v>
      </c>
      <c r="B366" s="2">
        <v>16</v>
      </c>
      <c r="C366" s="2">
        <v>11</v>
      </c>
      <c r="D366" s="2">
        <v>2020</v>
      </c>
      <c r="E366" s="2">
        <v>95.1</v>
      </c>
      <c r="F366" s="2">
        <v>67.2</v>
      </c>
      <c r="H366" s="1">
        <f>_xlfn.XLOOKUP('Data Source 1_customer readings'!A366,'Data Source 1_customer readings'!A366:A2764,'Data Source 1_customer readings'!J366:J2764)</f>
        <v>0</v>
      </c>
    </row>
    <row r="367" spans="1:8" x14ac:dyDescent="0.2">
      <c r="A367" s="2" t="s">
        <v>66</v>
      </c>
      <c r="B367" s="2">
        <v>23</v>
      </c>
      <c r="C367" s="2">
        <v>1</v>
      </c>
      <c r="D367" s="2">
        <v>2020</v>
      </c>
      <c r="E367" s="2">
        <v>94.86</v>
      </c>
      <c r="F367" s="2">
        <v>94.86</v>
      </c>
      <c r="H367" s="1">
        <f>_xlfn.XLOOKUP('Data Source 1_customer readings'!A367,'Data Source 1_customer readings'!A367:A2765,'Data Source 1_customer readings'!J367:J2765)</f>
        <v>0</v>
      </c>
    </row>
    <row r="368" spans="1:8" x14ac:dyDescent="0.2">
      <c r="A368" s="2" t="s">
        <v>91</v>
      </c>
      <c r="B368" s="2">
        <v>5</v>
      </c>
      <c r="C368" s="2">
        <v>10</v>
      </c>
      <c r="D368" s="2">
        <v>2020</v>
      </c>
      <c r="E368" s="2">
        <v>94.86</v>
      </c>
      <c r="F368" s="2">
        <v>64.790000000000006</v>
      </c>
      <c r="H368" s="1" t="b">
        <f>_xlfn.XLOOKUP('Data Source 1_customer readings'!A368,'Data Source 1_customer readings'!A368:A2766,'Data Source 1_customer readings'!J368:J2766)</f>
        <v>0</v>
      </c>
    </row>
    <row r="369" spans="1:8" x14ac:dyDescent="0.2">
      <c r="A369" s="2" t="s">
        <v>36</v>
      </c>
      <c r="B369" s="2">
        <v>12</v>
      </c>
      <c r="C369" s="2">
        <v>2</v>
      </c>
      <c r="D369" s="2">
        <v>2020</v>
      </c>
      <c r="E369" s="2">
        <v>94.36</v>
      </c>
      <c r="F369" s="2">
        <v>75.599999999999994</v>
      </c>
      <c r="H369" s="1">
        <f>_xlfn.XLOOKUP('Data Source 1_customer readings'!A369,'Data Source 1_customer readings'!A369:A2767,'Data Source 1_customer readings'!J369:J2767)</f>
        <v>0</v>
      </c>
    </row>
    <row r="370" spans="1:8" x14ac:dyDescent="0.2">
      <c r="A370" s="2" t="s">
        <v>82</v>
      </c>
      <c r="B370" s="2">
        <v>8</v>
      </c>
      <c r="C370" s="2">
        <v>10</v>
      </c>
      <c r="D370" s="2">
        <v>2020</v>
      </c>
      <c r="E370" s="2">
        <v>94.24</v>
      </c>
      <c r="F370" s="2">
        <v>86.49</v>
      </c>
      <c r="H370" s="1">
        <f>_xlfn.XLOOKUP('Data Source 1_customer readings'!A370,'Data Source 1_customer readings'!A370:A2768,'Data Source 1_customer readings'!J370:J2768)</f>
        <v>0</v>
      </c>
    </row>
    <row r="371" spans="1:8" x14ac:dyDescent="0.2">
      <c r="A371" s="2" t="s">
        <v>45</v>
      </c>
      <c r="B371" s="2">
        <v>18</v>
      </c>
      <c r="C371" s="2">
        <v>1</v>
      </c>
      <c r="D371" s="2">
        <v>2020</v>
      </c>
      <c r="E371" s="2">
        <v>93.93</v>
      </c>
      <c r="F371" s="2">
        <v>69.44</v>
      </c>
      <c r="H371" s="1" t="b">
        <f>_xlfn.XLOOKUP('Data Source 1_customer readings'!A371,'Data Source 1_customer readings'!A371:A2769,'Data Source 1_customer readings'!J371:J2769)</f>
        <v>0</v>
      </c>
    </row>
    <row r="372" spans="1:8" x14ac:dyDescent="0.2">
      <c r="A372" s="2" t="s">
        <v>36</v>
      </c>
      <c r="B372" s="2">
        <v>12</v>
      </c>
      <c r="C372" s="2">
        <v>11</v>
      </c>
      <c r="D372" s="2">
        <v>2020</v>
      </c>
      <c r="E372" s="2">
        <v>93.9</v>
      </c>
      <c r="F372" s="2">
        <v>82.2</v>
      </c>
      <c r="H372" s="1">
        <f>_xlfn.XLOOKUP('Data Source 1_customer readings'!A372,'Data Source 1_customer readings'!A372:A2770,'Data Source 1_customer readings'!J372:J2770)</f>
        <v>0</v>
      </c>
    </row>
    <row r="373" spans="1:8" x14ac:dyDescent="0.2">
      <c r="A373" s="2" t="s">
        <v>42</v>
      </c>
      <c r="B373" s="2">
        <v>12</v>
      </c>
      <c r="C373" s="2">
        <v>11</v>
      </c>
      <c r="D373" s="2">
        <v>2020</v>
      </c>
      <c r="E373" s="2">
        <v>93.9</v>
      </c>
      <c r="F373" s="2">
        <v>63.3</v>
      </c>
      <c r="H373" s="1">
        <f>_xlfn.XLOOKUP('Data Source 1_customer readings'!A373,'Data Source 1_customer readings'!A373:A2771,'Data Source 1_customer readings'!J373:J2771)</f>
        <v>0</v>
      </c>
    </row>
    <row r="374" spans="1:8" x14ac:dyDescent="0.2">
      <c r="A374" s="2" t="s">
        <v>41</v>
      </c>
      <c r="B374" s="2">
        <v>15</v>
      </c>
      <c r="C374" s="2">
        <v>2</v>
      </c>
      <c r="D374" s="2">
        <v>2020</v>
      </c>
      <c r="E374" s="2">
        <v>93.8</v>
      </c>
      <c r="F374" s="2">
        <v>90.72</v>
      </c>
      <c r="H374" s="1">
        <f>_xlfn.XLOOKUP('Data Source 1_customer readings'!A374,'Data Source 1_customer readings'!A374:A2772,'Data Source 1_customer readings'!J374:J2772)</f>
        <v>0</v>
      </c>
    </row>
    <row r="375" spans="1:8" x14ac:dyDescent="0.2">
      <c r="A375" s="2" t="s">
        <v>42</v>
      </c>
      <c r="B375" s="2">
        <v>12</v>
      </c>
      <c r="C375" s="2">
        <v>1</v>
      </c>
      <c r="D375" s="2">
        <v>2020</v>
      </c>
      <c r="E375" s="2">
        <v>93.62</v>
      </c>
      <c r="F375" s="2">
        <v>68.819999999999993</v>
      </c>
      <c r="H375" s="1">
        <f>_xlfn.XLOOKUP('Data Source 1_customer readings'!A375,'Data Source 1_customer readings'!A375:A2773,'Data Source 1_customer readings'!J375:J2773)</f>
        <v>0</v>
      </c>
    </row>
    <row r="376" spans="1:8" x14ac:dyDescent="0.2">
      <c r="A376" s="2" t="s">
        <v>44</v>
      </c>
      <c r="B376" s="2">
        <v>1</v>
      </c>
      <c r="C376" s="2">
        <v>2</v>
      </c>
      <c r="D376" s="2">
        <v>2020</v>
      </c>
      <c r="E376" s="2">
        <v>93.24</v>
      </c>
      <c r="F376" s="2">
        <v>74.2</v>
      </c>
      <c r="H376" s="1">
        <f>_xlfn.XLOOKUP('Data Source 1_customer readings'!A376,'Data Source 1_customer readings'!A376:A2774,'Data Source 1_customer readings'!J376:J2774)</f>
        <v>0</v>
      </c>
    </row>
    <row r="377" spans="1:8" x14ac:dyDescent="0.2">
      <c r="A377" s="2" t="s">
        <v>63</v>
      </c>
      <c r="B377" s="2">
        <v>25</v>
      </c>
      <c r="C377" s="2">
        <v>2</v>
      </c>
      <c r="D377" s="2">
        <v>2020</v>
      </c>
      <c r="E377" s="2">
        <v>93.24</v>
      </c>
      <c r="F377" s="2">
        <v>63.56</v>
      </c>
      <c r="H377" s="1">
        <f>_xlfn.XLOOKUP('Data Source 1_customer readings'!A377,'Data Source 1_customer readings'!A377:A2775,'Data Source 1_customer readings'!J377:J2775)</f>
        <v>0</v>
      </c>
    </row>
    <row r="378" spans="1:8" x14ac:dyDescent="0.2">
      <c r="A378" s="2" t="s">
        <v>82</v>
      </c>
      <c r="B378" s="2">
        <v>8</v>
      </c>
      <c r="C378" s="2">
        <v>3</v>
      </c>
      <c r="D378" s="2">
        <v>2020</v>
      </c>
      <c r="E378" s="2">
        <v>93</v>
      </c>
      <c r="F378" s="2">
        <v>85.87</v>
      </c>
      <c r="H378" s="1">
        <f>_xlfn.XLOOKUP('Data Source 1_customer readings'!A378,'Data Source 1_customer readings'!A378:A2776,'Data Source 1_customer readings'!J378:J2776)</f>
        <v>0</v>
      </c>
    </row>
    <row r="379" spans="1:8" x14ac:dyDescent="0.2">
      <c r="A379" s="2" t="s">
        <v>87</v>
      </c>
      <c r="B379" s="2">
        <v>1</v>
      </c>
      <c r="C379" s="2">
        <v>3</v>
      </c>
      <c r="D379" s="2">
        <v>2020</v>
      </c>
      <c r="E379" s="2">
        <v>93</v>
      </c>
      <c r="F379" s="2">
        <v>84.63</v>
      </c>
      <c r="H379" s="1" t="b">
        <f>_xlfn.XLOOKUP('Data Source 1_customer readings'!A379,'Data Source 1_customer readings'!A379:A2777,'Data Source 1_customer readings'!J379:J2777)</f>
        <v>0</v>
      </c>
    </row>
    <row r="380" spans="1:8" x14ac:dyDescent="0.2">
      <c r="A380" s="2" t="s">
        <v>42</v>
      </c>
      <c r="B380" s="2">
        <v>12</v>
      </c>
      <c r="C380" s="2">
        <v>2</v>
      </c>
      <c r="D380" s="2">
        <v>2020</v>
      </c>
      <c r="E380" s="2">
        <v>91.84</v>
      </c>
      <c r="F380" s="2">
        <v>73.92</v>
      </c>
      <c r="H380" s="1">
        <f>_xlfn.XLOOKUP('Data Source 1_customer readings'!A380,'Data Source 1_customer readings'!A380:A2778,'Data Source 1_customer readings'!J380:J2778)</f>
        <v>0</v>
      </c>
    </row>
    <row r="381" spans="1:8" x14ac:dyDescent="0.2">
      <c r="A381" s="2" t="s">
        <v>59</v>
      </c>
      <c r="B381" s="2">
        <v>11</v>
      </c>
      <c r="C381" s="2">
        <v>12</v>
      </c>
      <c r="D381" s="2">
        <v>2020</v>
      </c>
      <c r="E381" s="2">
        <v>91.76</v>
      </c>
      <c r="F381" s="2">
        <v>86.18</v>
      </c>
      <c r="H381" s="1">
        <f>_xlfn.XLOOKUP('Data Source 1_customer readings'!A381,'Data Source 1_customer readings'!A381:A2779,'Data Source 1_customer readings'!J381:J2779)</f>
        <v>0</v>
      </c>
    </row>
    <row r="382" spans="1:8" x14ac:dyDescent="0.2">
      <c r="A382" s="2" t="s">
        <v>34</v>
      </c>
      <c r="B382" s="2">
        <v>4</v>
      </c>
      <c r="C382" s="2">
        <v>1</v>
      </c>
      <c r="D382" s="2">
        <v>2020</v>
      </c>
      <c r="E382" s="2">
        <v>91.76</v>
      </c>
      <c r="F382" s="2">
        <v>70.989999999999995</v>
      </c>
      <c r="H382" s="1">
        <f>_xlfn.XLOOKUP('Data Source 1_customer readings'!A382,'Data Source 1_customer readings'!A382:A2780,'Data Source 1_customer readings'!J382:J2780)</f>
        <v>0</v>
      </c>
    </row>
    <row r="383" spans="1:8" x14ac:dyDescent="0.2">
      <c r="A383" s="2" t="s">
        <v>76</v>
      </c>
      <c r="B383" s="2">
        <v>9</v>
      </c>
      <c r="C383" s="2">
        <v>2</v>
      </c>
      <c r="D383" s="2">
        <v>2020</v>
      </c>
      <c r="E383" s="2">
        <v>91.56</v>
      </c>
      <c r="F383" s="2">
        <v>75.88</v>
      </c>
      <c r="H383" s="1">
        <f>_xlfn.XLOOKUP('Data Source 1_customer readings'!A383,'Data Source 1_customer readings'!A383:A2781,'Data Source 1_customer readings'!J383:J2781)</f>
        <v>0</v>
      </c>
    </row>
    <row r="384" spans="1:8" x14ac:dyDescent="0.2">
      <c r="A384" s="2" t="s">
        <v>89</v>
      </c>
      <c r="B384" s="2">
        <v>2</v>
      </c>
      <c r="C384" s="2">
        <v>4</v>
      </c>
      <c r="D384" s="2">
        <v>2020</v>
      </c>
      <c r="E384" s="2">
        <v>91.5</v>
      </c>
      <c r="F384" s="2">
        <v>58.2</v>
      </c>
      <c r="H384" s="1">
        <f>_xlfn.XLOOKUP('Data Source 1_customer readings'!A384,'Data Source 1_customer readings'!A384:A2782,'Data Source 1_customer readings'!J384:J2782)</f>
        <v>0</v>
      </c>
    </row>
    <row r="385" spans="1:8" x14ac:dyDescent="0.2">
      <c r="A385" s="2" t="s">
        <v>35</v>
      </c>
      <c r="B385" s="2">
        <v>9</v>
      </c>
      <c r="C385" s="2">
        <v>12</v>
      </c>
      <c r="D385" s="2">
        <v>2020</v>
      </c>
      <c r="E385" s="2">
        <v>91.45</v>
      </c>
      <c r="F385" s="2">
        <v>83.08</v>
      </c>
      <c r="H385" s="1">
        <f>_xlfn.XLOOKUP('Data Source 1_customer readings'!A385,'Data Source 1_customer readings'!A385:A2783,'Data Source 1_customer readings'!J385:J2783)</f>
        <v>0</v>
      </c>
    </row>
    <row r="386" spans="1:8" x14ac:dyDescent="0.2">
      <c r="A386" s="2" t="s">
        <v>89</v>
      </c>
      <c r="B386" s="2">
        <v>2</v>
      </c>
      <c r="C386" s="2">
        <v>10</v>
      </c>
      <c r="D386" s="2">
        <v>2020</v>
      </c>
      <c r="E386" s="2">
        <v>91.14</v>
      </c>
      <c r="F386" s="2">
        <v>66.650000000000006</v>
      </c>
      <c r="H386" s="1">
        <f>_xlfn.XLOOKUP('Data Source 1_customer readings'!A386,'Data Source 1_customer readings'!A386:A2784,'Data Source 1_customer readings'!J386:J2784)</f>
        <v>0</v>
      </c>
    </row>
    <row r="387" spans="1:8" x14ac:dyDescent="0.2">
      <c r="A387" s="2" t="s">
        <v>68</v>
      </c>
      <c r="B387" s="2">
        <v>11</v>
      </c>
      <c r="C387" s="2">
        <v>11</v>
      </c>
      <c r="D387" s="2">
        <v>2020</v>
      </c>
      <c r="E387" s="2">
        <v>90.9</v>
      </c>
      <c r="F387" s="2">
        <v>83.7</v>
      </c>
      <c r="H387" s="1">
        <f>_xlfn.XLOOKUP('Data Source 1_customer readings'!A387,'Data Source 1_customer readings'!A387:A2785,'Data Source 1_customer readings'!J387:J2785)</f>
        <v>0</v>
      </c>
    </row>
    <row r="388" spans="1:8" x14ac:dyDescent="0.2">
      <c r="A388" s="2" t="s">
        <v>43</v>
      </c>
      <c r="B388" s="2">
        <v>15</v>
      </c>
      <c r="C388" s="2">
        <v>11</v>
      </c>
      <c r="D388" s="2">
        <v>2020</v>
      </c>
      <c r="E388" s="2">
        <v>90.9</v>
      </c>
      <c r="F388" s="2">
        <v>77.400000000000006</v>
      </c>
      <c r="H388" s="1">
        <f>_xlfn.XLOOKUP('Data Source 1_customer readings'!A388,'Data Source 1_customer readings'!A388:A2786,'Data Source 1_customer readings'!J388:J2786)</f>
        <v>0</v>
      </c>
    </row>
    <row r="389" spans="1:8" x14ac:dyDescent="0.2">
      <c r="A389" s="2" t="s">
        <v>35</v>
      </c>
      <c r="B389" s="2">
        <v>9</v>
      </c>
      <c r="C389" s="2">
        <v>11</v>
      </c>
      <c r="D389" s="2">
        <v>2020</v>
      </c>
      <c r="E389" s="2">
        <v>90.9</v>
      </c>
      <c r="F389" s="2">
        <v>65.099999999999994</v>
      </c>
      <c r="H389" s="1">
        <f>_xlfn.XLOOKUP('Data Source 1_customer readings'!A389,'Data Source 1_customer readings'!A389:A2787,'Data Source 1_customer readings'!J389:J2787)</f>
        <v>0</v>
      </c>
    </row>
    <row r="390" spans="1:8" x14ac:dyDescent="0.2">
      <c r="A390" s="2" t="s">
        <v>34</v>
      </c>
      <c r="B390" s="2">
        <v>4</v>
      </c>
      <c r="C390" s="2">
        <v>11</v>
      </c>
      <c r="D390" s="2">
        <v>2020</v>
      </c>
      <c r="E390" s="2">
        <v>90.9</v>
      </c>
      <c r="F390" s="2">
        <v>58.2</v>
      </c>
      <c r="H390" s="1">
        <f>_xlfn.XLOOKUP('Data Source 1_customer readings'!A390,'Data Source 1_customer readings'!A390:A2788,'Data Source 1_customer readings'!J390:J2788)</f>
        <v>0</v>
      </c>
    </row>
    <row r="391" spans="1:8" x14ac:dyDescent="0.2">
      <c r="A391" s="2" t="s">
        <v>93</v>
      </c>
      <c r="B391" s="2">
        <v>3</v>
      </c>
      <c r="C391" s="2">
        <v>5</v>
      </c>
      <c r="D391" s="2">
        <v>2020</v>
      </c>
      <c r="E391" s="2">
        <v>90.83</v>
      </c>
      <c r="F391" s="2">
        <v>94.55</v>
      </c>
      <c r="H391" s="1">
        <f>_xlfn.XLOOKUP('Data Source 1_customer readings'!A391,'Data Source 1_customer readings'!A391:A2789,'Data Source 1_customer readings'!J391:J2789)</f>
        <v>0</v>
      </c>
    </row>
    <row r="392" spans="1:8" x14ac:dyDescent="0.2">
      <c r="A392" s="2" t="s">
        <v>43</v>
      </c>
      <c r="B392" s="2">
        <v>15</v>
      </c>
      <c r="C392" s="2">
        <v>12</v>
      </c>
      <c r="D392" s="2">
        <v>2020</v>
      </c>
      <c r="E392" s="2">
        <v>90.52</v>
      </c>
      <c r="F392" s="2">
        <v>78.12</v>
      </c>
      <c r="H392" s="1">
        <f>_xlfn.XLOOKUP('Data Source 1_customer readings'!A392,'Data Source 1_customer readings'!A392:A2790,'Data Source 1_customer readings'!J392:J2790)</f>
        <v>0</v>
      </c>
    </row>
    <row r="393" spans="1:8" x14ac:dyDescent="0.2">
      <c r="A393" s="2" t="s">
        <v>90</v>
      </c>
      <c r="B393" s="2">
        <v>18</v>
      </c>
      <c r="C393" s="2">
        <v>4</v>
      </c>
      <c r="D393" s="2">
        <v>2020</v>
      </c>
      <c r="E393" s="2">
        <v>90.3</v>
      </c>
      <c r="F393" s="2">
        <v>81.3</v>
      </c>
      <c r="H393" s="1">
        <f>_xlfn.XLOOKUP('Data Source 1_customer readings'!A393,'Data Source 1_customer readings'!A393:A2791,'Data Source 1_customer readings'!J393:J2791)</f>
        <v>0</v>
      </c>
    </row>
    <row r="394" spans="1:8" x14ac:dyDescent="0.2">
      <c r="A394" s="2" t="s">
        <v>47</v>
      </c>
      <c r="B394" s="2">
        <v>19</v>
      </c>
      <c r="C394" s="2">
        <v>11</v>
      </c>
      <c r="D394" s="2">
        <v>2020</v>
      </c>
      <c r="E394" s="2">
        <v>90</v>
      </c>
      <c r="F394" s="2">
        <v>64.8</v>
      </c>
      <c r="H394" s="1">
        <f>_xlfn.XLOOKUP('Data Source 1_customer readings'!A394,'Data Source 1_customer readings'!A394:A2792,'Data Source 1_customer readings'!J394:J2792)</f>
        <v>0</v>
      </c>
    </row>
    <row r="395" spans="1:8" x14ac:dyDescent="0.2">
      <c r="A395" s="2" t="s">
        <v>70</v>
      </c>
      <c r="B395" s="2">
        <v>16</v>
      </c>
      <c r="C395" s="2">
        <v>2</v>
      </c>
      <c r="D395" s="2">
        <v>2020</v>
      </c>
      <c r="E395" s="2">
        <v>89.6</v>
      </c>
      <c r="F395" s="2">
        <v>78.400000000000006</v>
      </c>
      <c r="H395" s="1">
        <f>_xlfn.XLOOKUP('Data Source 1_customer readings'!A395,'Data Source 1_customer readings'!A395:A2793,'Data Source 1_customer readings'!J395:J2793)</f>
        <v>0</v>
      </c>
    </row>
    <row r="396" spans="1:8" x14ac:dyDescent="0.2">
      <c r="A396" s="2" t="s">
        <v>81</v>
      </c>
      <c r="B396" s="2">
        <v>19</v>
      </c>
      <c r="C396" s="2">
        <v>10</v>
      </c>
      <c r="D396" s="2">
        <v>2020</v>
      </c>
      <c r="E396" s="2">
        <v>89.59</v>
      </c>
      <c r="F396" s="2">
        <v>94.24</v>
      </c>
      <c r="H396" s="1">
        <f>_xlfn.XLOOKUP('Data Source 1_customer readings'!A396,'Data Source 1_customer readings'!A396:A2794,'Data Source 1_customer readings'!J396:J2794)</f>
        <v>0</v>
      </c>
    </row>
    <row r="397" spans="1:8" x14ac:dyDescent="0.2">
      <c r="A397" s="2" t="s">
        <v>78</v>
      </c>
      <c r="B397" s="2">
        <v>18</v>
      </c>
      <c r="C397" s="2">
        <v>3</v>
      </c>
      <c r="D397" s="2">
        <v>2020</v>
      </c>
      <c r="E397" s="2">
        <v>89.59</v>
      </c>
      <c r="F397" s="2">
        <v>92.07</v>
      </c>
      <c r="H397" s="1">
        <f>_xlfn.XLOOKUP('Data Source 1_customer readings'!A397,'Data Source 1_customer readings'!A397:A2795,'Data Source 1_customer readings'!J397:J2795)</f>
        <v>0</v>
      </c>
    </row>
    <row r="398" spans="1:8" x14ac:dyDescent="0.2">
      <c r="A398" s="2" t="s">
        <v>78</v>
      </c>
      <c r="B398" s="2">
        <v>18</v>
      </c>
      <c r="C398" s="2">
        <v>10</v>
      </c>
      <c r="D398" s="2">
        <v>2020</v>
      </c>
      <c r="E398" s="2">
        <v>89.59</v>
      </c>
      <c r="F398" s="2">
        <v>84.01</v>
      </c>
      <c r="H398" s="1">
        <f>_xlfn.XLOOKUP('Data Source 1_customer readings'!A398,'Data Source 1_customer readings'!A398:A2796,'Data Source 1_customer readings'!J398:J2796)</f>
        <v>0</v>
      </c>
    </row>
    <row r="399" spans="1:8" x14ac:dyDescent="0.2">
      <c r="A399" s="2" t="s">
        <v>73</v>
      </c>
      <c r="B399" s="2">
        <v>5</v>
      </c>
      <c r="C399" s="2">
        <v>2</v>
      </c>
      <c r="D399" s="2">
        <v>2020</v>
      </c>
      <c r="E399" s="2">
        <v>89.32</v>
      </c>
      <c r="F399" s="2">
        <v>75.319999999999993</v>
      </c>
      <c r="H399" s="1">
        <f>_xlfn.XLOOKUP('Data Source 1_customer readings'!A399,'Data Source 1_customer readings'!A399:A2797,'Data Source 1_customer readings'!J399:J2797)</f>
        <v>0</v>
      </c>
    </row>
    <row r="400" spans="1:8" x14ac:dyDescent="0.2">
      <c r="A400" s="2" t="s">
        <v>59</v>
      </c>
      <c r="B400" s="2">
        <v>11</v>
      </c>
      <c r="C400" s="2">
        <v>2</v>
      </c>
      <c r="D400" s="2">
        <v>2020</v>
      </c>
      <c r="E400" s="2">
        <v>89.04</v>
      </c>
      <c r="F400" s="2">
        <v>64.12</v>
      </c>
      <c r="H400" s="1">
        <f>_xlfn.XLOOKUP('Data Source 1_customer readings'!A400,'Data Source 1_customer readings'!A400:A2798,'Data Source 1_customer readings'!J400:J2798)</f>
        <v>0</v>
      </c>
    </row>
    <row r="401" spans="1:8" x14ac:dyDescent="0.2">
      <c r="A401" s="2" t="s">
        <v>33</v>
      </c>
      <c r="B401" s="2">
        <v>21</v>
      </c>
      <c r="C401" s="2">
        <v>2</v>
      </c>
      <c r="D401" s="2">
        <v>2020</v>
      </c>
      <c r="E401" s="2">
        <v>89.04</v>
      </c>
      <c r="F401" s="2">
        <v>57.12</v>
      </c>
      <c r="H401" s="1">
        <f>_xlfn.XLOOKUP('Data Source 1_customer readings'!A401,'Data Source 1_customer readings'!A401:A2799,'Data Source 1_customer readings'!J401:J2799)</f>
        <v>0</v>
      </c>
    </row>
    <row r="402" spans="1:8" x14ac:dyDescent="0.2">
      <c r="A402" s="2" t="s">
        <v>71</v>
      </c>
      <c r="B402" s="2">
        <v>21</v>
      </c>
      <c r="C402" s="2">
        <v>3</v>
      </c>
      <c r="D402" s="2">
        <v>2020</v>
      </c>
      <c r="E402" s="2">
        <v>88.66</v>
      </c>
      <c r="F402" s="2">
        <v>113.77</v>
      </c>
      <c r="H402" s="1" t="b">
        <f>_xlfn.XLOOKUP('Data Source 1_customer readings'!A402,'Data Source 1_customer readings'!A402:A2800,'Data Source 1_customer readings'!J402:J2800)</f>
        <v>0</v>
      </c>
    </row>
    <row r="403" spans="1:8" x14ac:dyDescent="0.2">
      <c r="A403" s="2" t="s">
        <v>34</v>
      </c>
      <c r="B403" s="2">
        <v>4</v>
      </c>
      <c r="C403" s="2">
        <v>2</v>
      </c>
      <c r="D403" s="2">
        <v>2020</v>
      </c>
      <c r="E403" s="2">
        <v>88.48</v>
      </c>
      <c r="F403" s="2">
        <v>61.32</v>
      </c>
      <c r="H403" s="1">
        <f>_xlfn.XLOOKUP('Data Source 1_customer readings'!A403,'Data Source 1_customer readings'!A403:A2801,'Data Source 1_customer readings'!J403:J2801)</f>
        <v>0</v>
      </c>
    </row>
    <row r="404" spans="1:8" x14ac:dyDescent="0.2">
      <c r="A404" s="2" t="s">
        <v>86</v>
      </c>
      <c r="B404" s="2">
        <v>6</v>
      </c>
      <c r="C404" s="2">
        <v>10</v>
      </c>
      <c r="D404" s="2">
        <v>2020</v>
      </c>
      <c r="E404" s="2">
        <v>88.35</v>
      </c>
      <c r="F404" s="2">
        <v>93</v>
      </c>
      <c r="H404" s="1">
        <f>_xlfn.XLOOKUP('Data Source 1_customer readings'!A404,'Data Source 1_customer readings'!A404:A2802,'Data Source 1_customer readings'!J404:J2802)</f>
        <v>0</v>
      </c>
    </row>
    <row r="405" spans="1:8" x14ac:dyDescent="0.2">
      <c r="A405" s="2" t="s">
        <v>37</v>
      </c>
      <c r="B405" s="2">
        <v>12</v>
      </c>
      <c r="C405" s="2">
        <v>1</v>
      </c>
      <c r="D405" s="2">
        <v>2020</v>
      </c>
      <c r="E405" s="2">
        <v>88.35</v>
      </c>
      <c r="F405" s="2">
        <v>60.45</v>
      </c>
      <c r="H405" s="1">
        <f>_xlfn.XLOOKUP('Data Source 1_customer readings'!A405,'Data Source 1_customer readings'!A405:A2803,'Data Source 1_customer readings'!J405:J2803)</f>
        <v>0</v>
      </c>
    </row>
    <row r="406" spans="1:8" x14ac:dyDescent="0.2">
      <c r="A406" s="2" t="s">
        <v>83</v>
      </c>
      <c r="B406" s="2">
        <v>25</v>
      </c>
      <c r="C406" s="2">
        <v>3</v>
      </c>
      <c r="D406" s="2">
        <v>2020</v>
      </c>
      <c r="E406" s="2">
        <v>88.04</v>
      </c>
      <c r="F406" s="2">
        <v>105.4</v>
      </c>
      <c r="H406" s="1">
        <f>_xlfn.XLOOKUP('Data Source 1_customer readings'!A406,'Data Source 1_customer readings'!A406:A2804,'Data Source 1_customer readings'!J406:J2804)</f>
        <v>0</v>
      </c>
    </row>
    <row r="407" spans="1:8" x14ac:dyDescent="0.2">
      <c r="A407" s="2" t="s">
        <v>64</v>
      </c>
      <c r="B407" s="2">
        <v>21</v>
      </c>
      <c r="C407" s="2">
        <v>2</v>
      </c>
      <c r="D407" s="2">
        <v>2020</v>
      </c>
      <c r="E407" s="2">
        <v>87.92</v>
      </c>
      <c r="F407" s="2">
        <v>68.88</v>
      </c>
      <c r="H407" s="1">
        <f>_xlfn.XLOOKUP('Data Source 1_customer readings'!A407,'Data Source 1_customer readings'!A407:A2805,'Data Source 1_customer readings'!J407:J2805)</f>
        <v>0</v>
      </c>
    </row>
    <row r="408" spans="1:8" x14ac:dyDescent="0.2">
      <c r="A408" s="2" t="s">
        <v>62</v>
      </c>
      <c r="B408" s="2">
        <v>1</v>
      </c>
      <c r="C408" s="2">
        <v>4</v>
      </c>
      <c r="D408" s="2">
        <v>2020</v>
      </c>
      <c r="E408" s="2">
        <v>87.3</v>
      </c>
      <c r="F408" s="2">
        <v>69</v>
      </c>
      <c r="H408" s="1">
        <f>_xlfn.XLOOKUP('Data Source 1_customer readings'!A408,'Data Source 1_customer readings'!A408:A2806,'Data Source 1_customer readings'!J408:J2806)</f>
        <v>0</v>
      </c>
    </row>
    <row r="409" spans="1:8" x14ac:dyDescent="0.2">
      <c r="A409" s="2" t="s">
        <v>47</v>
      </c>
      <c r="B409" s="2">
        <v>19</v>
      </c>
      <c r="C409" s="2">
        <v>2</v>
      </c>
      <c r="D409" s="2">
        <v>2020</v>
      </c>
      <c r="E409" s="2">
        <v>87.08</v>
      </c>
      <c r="F409" s="2">
        <v>63</v>
      </c>
      <c r="H409" s="1">
        <f>_xlfn.XLOOKUP('Data Source 1_customer readings'!A409,'Data Source 1_customer readings'!A409:A2807,'Data Source 1_customer readings'!J409:J2807)</f>
        <v>0</v>
      </c>
    </row>
    <row r="410" spans="1:8" x14ac:dyDescent="0.2">
      <c r="A410" s="2" t="s">
        <v>80</v>
      </c>
      <c r="B410" s="2">
        <v>12</v>
      </c>
      <c r="C410" s="2">
        <v>4</v>
      </c>
      <c r="D410" s="2">
        <v>2020</v>
      </c>
      <c r="E410" s="2">
        <v>86.7</v>
      </c>
      <c r="F410" s="2">
        <v>86.1</v>
      </c>
      <c r="H410" s="1">
        <f>_xlfn.XLOOKUP('Data Source 1_customer readings'!A410,'Data Source 1_customer readings'!A410:A2808,'Data Source 1_customer readings'!J410:J2808)</f>
        <v>0</v>
      </c>
    </row>
    <row r="411" spans="1:8" x14ac:dyDescent="0.2">
      <c r="A411" s="2" t="s">
        <v>60</v>
      </c>
      <c r="B411" s="2">
        <v>20</v>
      </c>
      <c r="C411" s="2">
        <v>2</v>
      </c>
      <c r="D411" s="2">
        <v>2020</v>
      </c>
      <c r="E411" s="2">
        <v>86.24</v>
      </c>
      <c r="F411" s="2">
        <v>77</v>
      </c>
      <c r="H411" s="1">
        <f>_xlfn.XLOOKUP('Data Source 1_customer readings'!A411,'Data Source 1_customer readings'!A411:A2809,'Data Source 1_customer readings'!J411:J2809)</f>
        <v>0</v>
      </c>
    </row>
    <row r="412" spans="1:8" x14ac:dyDescent="0.2">
      <c r="A412" s="2" t="s">
        <v>87</v>
      </c>
      <c r="B412" s="2">
        <v>1</v>
      </c>
      <c r="C412" s="2">
        <v>10</v>
      </c>
      <c r="D412" s="2">
        <v>2020</v>
      </c>
      <c r="E412" s="2">
        <v>85.87</v>
      </c>
      <c r="F412" s="2">
        <v>78.12</v>
      </c>
      <c r="H412" s="1">
        <f>_xlfn.XLOOKUP('Data Source 1_customer readings'!A412,'Data Source 1_customer readings'!A412:A2810,'Data Source 1_customer readings'!J412:J2810)</f>
        <v>0</v>
      </c>
    </row>
    <row r="413" spans="1:8" x14ac:dyDescent="0.2">
      <c r="A413" s="2" t="s">
        <v>52</v>
      </c>
      <c r="B413" s="2">
        <v>1</v>
      </c>
      <c r="C413" s="2">
        <v>1</v>
      </c>
      <c r="D413" s="2">
        <v>2020</v>
      </c>
      <c r="E413" s="2">
        <v>85.56</v>
      </c>
      <c r="F413" s="2">
        <v>97.65</v>
      </c>
      <c r="H413" s="1">
        <f>_xlfn.XLOOKUP('Data Source 1_customer readings'!A413,'Data Source 1_customer readings'!A413:A2811,'Data Source 1_customer readings'!J413:J2811)</f>
        <v>0</v>
      </c>
    </row>
    <row r="414" spans="1:8" x14ac:dyDescent="0.2">
      <c r="A414" s="2" t="s">
        <v>74</v>
      </c>
      <c r="B414" s="2">
        <v>5</v>
      </c>
      <c r="C414" s="2">
        <v>10</v>
      </c>
      <c r="D414" s="2">
        <v>2020</v>
      </c>
      <c r="E414" s="2">
        <v>85.56</v>
      </c>
      <c r="F414" s="2">
        <v>84.63</v>
      </c>
      <c r="H414" s="1">
        <f>_xlfn.XLOOKUP('Data Source 1_customer readings'!A414,'Data Source 1_customer readings'!A414:A2812,'Data Source 1_customer readings'!J414:J2812)</f>
        <v>0</v>
      </c>
    </row>
    <row r="415" spans="1:8" x14ac:dyDescent="0.2">
      <c r="A415" s="2" t="s">
        <v>39</v>
      </c>
      <c r="B415" s="2">
        <v>22</v>
      </c>
      <c r="C415" s="2">
        <v>1</v>
      </c>
      <c r="D415" s="2">
        <v>2020</v>
      </c>
      <c r="E415" s="2">
        <v>85.56</v>
      </c>
      <c r="F415" s="2">
        <v>60.45</v>
      </c>
      <c r="H415" s="1">
        <f>_xlfn.XLOOKUP('Data Source 1_customer readings'!A415,'Data Source 1_customer readings'!A415:A2813,'Data Source 1_customer readings'!J415:J2813)</f>
        <v>0</v>
      </c>
    </row>
    <row r="416" spans="1:8" x14ac:dyDescent="0.2">
      <c r="A416" s="2" t="s">
        <v>86</v>
      </c>
      <c r="B416" s="2">
        <v>6</v>
      </c>
      <c r="C416" s="2">
        <v>4</v>
      </c>
      <c r="D416" s="2">
        <v>2020</v>
      </c>
      <c r="E416" s="2">
        <v>85.5</v>
      </c>
      <c r="F416" s="2">
        <v>107.4</v>
      </c>
      <c r="H416" s="1">
        <f>_xlfn.XLOOKUP('Data Source 1_customer readings'!A416,'Data Source 1_customer readings'!A416:A2814,'Data Source 1_customer readings'!J416:J2814)</f>
        <v>0</v>
      </c>
    </row>
    <row r="417" spans="1:8" x14ac:dyDescent="0.2">
      <c r="A417" s="2" t="s">
        <v>79</v>
      </c>
      <c r="B417" s="2">
        <v>3</v>
      </c>
      <c r="C417" s="2">
        <v>3</v>
      </c>
      <c r="D417" s="2">
        <v>2020</v>
      </c>
      <c r="E417" s="2">
        <v>85.25</v>
      </c>
      <c r="F417" s="2">
        <v>115.94</v>
      </c>
      <c r="H417" s="1">
        <f>_xlfn.XLOOKUP('Data Source 1_customer readings'!A417,'Data Source 1_customer readings'!A417:A2815,'Data Source 1_customer readings'!J417:J2815)</f>
        <v>0</v>
      </c>
    </row>
    <row r="418" spans="1:8" x14ac:dyDescent="0.2">
      <c r="A418" s="2" t="s">
        <v>48</v>
      </c>
      <c r="B418" s="2">
        <v>24</v>
      </c>
      <c r="C418" s="2">
        <v>2</v>
      </c>
      <c r="D418" s="2">
        <v>2020</v>
      </c>
      <c r="E418" s="2">
        <v>85.12</v>
      </c>
      <c r="F418" s="2">
        <v>56.28</v>
      </c>
      <c r="H418" s="1">
        <f>_xlfn.XLOOKUP('Data Source 1_customer readings'!A418,'Data Source 1_customer readings'!A418:A2816,'Data Source 1_customer readings'!J418:J2816)</f>
        <v>0</v>
      </c>
    </row>
    <row r="419" spans="1:8" x14ac:dyDescent="0.2">
      <c r="A419" s="2" t="s">
        <v>85</v>
      </c>
      <c r="B419" s="2">
        <v>3</v>
      </c>
      <c r="C419" s="2">
        <v>10</v>
      </c>
      <c r="D419" s="2">
        <v>2020</v>
      </c>
      <c r="E419" s="2">
        <v>84.94</v>
      </c>
      <c r="F419" s="2">
        <v>84.94</v>
      </c>
      <c r="H419" s="1">
        <f>_xlfn.XLOOKUP('Data Source 1_customer readings'!A419,'Data Source 1_customer readings'!A419:A2817,'Data Source 1_customer readings'!J419:J2817)</f>
        <v>0</v>
      </c>
    </row>
    <row r="420" spans="1:8" x14ac:dyDescent="0.2">
      <c r="A420" s="2" t="s">
        <v>80</v>
      </c>
      <c r="B420" s="2">
        <v>12</v>
      </c>
      <c r="C420" s="2">
        <v>3</v>
      </c>
      <c r="D420" s="2">
        <v>2020</v>
      </c>
      <c r="E420" s="2">
        <v>84.63</v>
      </c>
      <c r="F420" s="2">
        <v>83.39</v>
      </c>
      <c r="H420" s="1">
        <f>_xlfn.XLOOKUP('Data Source 1_customer readings'!A420,'Data Source 1_customer readings'!A420:A2818,'Data Source 1_customer readings'!J420:J2818)</f>
        <v>0</v>
      </c>
    </row>
    <row r="421" spans="1:8" x14ac:dyDescent="0.2">
      <c r="A421" s="2" t="s">
        <v>87</v>
      </c>
      <c r="B421" s="2">
        <v>1</v>
      </c>
      <c r="C421" s="2">
        <v>4</v>
      </c>
      <c r="D421" s="2">
        <v>2020</v>
      </c>
      <c r="E421" s="2">
        <v>84.3</v>
      </c>
      <c r="F421" s="2">
        <v>88.2</v>
      </c>
      <c r="H421" s="1" t="b">
        <f>_xlfn.XLOOKUP('Data Source 1_customer readings'!A421,'Data Source 1_customer readings'!A421:A2819,'Data Source 1_customer readings'!J421:J2819)</f>
        <v>0</v>
      </c>
    </row>
    <row r="422" spans="1:8" x14ac:dyDescent="0.2">
      <c r="A422" s="2" t="s">
        <v>79</v>
      </c>
      <c r="B422" s="2">
        <v>3</v>
      </c>
      <c r="C422" s="2">
        <v>10</v>
      </c>
      <c r="D422" s="2">
        <v>2020</v>
      </c>
      <c r="E422" s="2">
        <v>84.01</v>
      </c>
      <c r="F422" s="2">
        <v>97.34</v>
      </c>
      <c r="H422" s="1" t="b">
        <f>_xlfn.XLOOKUP('Data Source 1_customer readings'!A422,'Data Source 1_customer readings'!A422:A2820,'Data Source 1_customer readings'!J422:J2820)</f>
        <v>0</v>
      </c>
    </row>
    <row r="423" spans="1:8" x14ac:dyDescent="0.2">
      <c r="A423" s="2" t="s">
        <v>80</v>
      </c>
      <c r="B423" s="2">
        <v>12</v>
      </c>
      <c r="C423" s="2">
        <v>10</v>
      </c>
      <c r="D423" s="2">
        <v>2020</v>
      </c>
      <c r="E423" s="2">
        <v>84.01</v>
      </c>
      <c r="F423" s="2">
        <v>89.9</v>
      </c>
      <c r="H423" s="1">
        <f>_xlfn.XLOOKUP('Data Source 1_customer readings'!A423,'Data Source 1_customer readings'!A423:A2821,'Data Source 1_customer readings'!J423:J2821)</f>
        <v>0</v>
      </c>
    </row>
    <row r="424" spans="1:8" x14ac:dyDescent="0.2">
      <c r="A424" s="2" t="s">
        <v>33</v>
      </c>
      <c r="B424" s="2">
        <v>21</v>
      </c>
      <c r="C424" s="2">
        <v>12</v>
      </c>
      <c r="D424" s="2">
        <v>2020</v>
      </c>
      <c r="E424" s="2">
        <v>84.01</v>
      </c>
      <c r="F424" s="2">
        <v>65.099999999999994</v>
      </c>
      <c r="H424" s="1">
        <f>_xlfn.XLOOKUP('Data Source 1_customer readings'!A424,'Data Source 1_customer readings'!A424:A2822,'Data Source 1_customer readings'!J424:J2822)</f>
        <v>0</v>
      </c>
    </row>
    <row r="425" spans="1:8" x14ac:dyDescent="0.2">
      <c r="A425" s="2" t="s">
        <v>51</v>
      </c>
      <c r="B425" s="2">
        <v>16</v>
      </c>
      <c r="C425" s="2">
        <v>2</v>
      </c>
      <c r="D425" s="2">
        <v>2020</v>
      </c>
      <c r="E425" s="2">
        <v>84</v>
      </c>
      <c r="F425" s="2">
        <v>60.48</v>
      </c>
      <c r="H425" s="1">
        <f>_xlfn.XLOOKUP('Data Source 1_customer readings'!A425,'Data Source 1_customer readings'!A425:A2823,'Data Source 1_customer readings'!J425:J2823)</f>
        <v>0</v>
      </c>
    </row>
    <row r="426" spans="1:8" x14ac:dyDescent="0.2">
      <c r="A426" s="2" t="s">
        <v>62</v>
      </c>
      <c r="B426" s="2">
        <v>1</v>
      </c>
      <c r="C426" s="2">
        <v>3</v>
      </c>
      <c r="D426" s="2">
        <v>2020</v>
      </c>
      <c r="E426" s="2">
        <v>83.39</v>
      </c>
      <c r="F426" s="2">
        <v>70.989999999999995</v>
      </c>
      <c r="H426" s="1">
        <f>_xlfn.XLOOKUP('Data Source 1_customer readings'!A426,'Data Source 1_customer readings'!A426:A2824,'Data Source 1_customer readings'!J426:J2824)</f>
        <v>0</v>
      </c>
    </row>
    <row r="427" spans="1:8" x14ac:dyDescent="0.2">
      <c r="A427" s="2" t="s">
        <v>85</v>
      </c>
      <c r="B427" s="2">
        <v>3</v>
      </c>
      <c r="C427" s="2">
        <v>3</v>
      </c>
      <c r="D427" s="2">
        <v>2020</v>
      </c>
      <c r="E427" s="2">
        <v>83.08</v>
      </c>
      <c r="F427" s="2">
        <v>87.73</v>
      </c>
      <c r="H427" s="1">
        <f>_xlfn.XLOOKUP('Data Source 1_customer readings'!A427,'Data Source 1_customer readings'!A427:A2825,'Data Source 1_customer readings'!J427:J2825)</f>
        <v>0</v>
      </c>
    </row>
    <row r="428" spans="1:8" x14ac:dyDescent="0.2">
      <c r="A428" s="2" t="s">
        <v>75</v>
      </c>
      <c r="B428" s="2">
        <v>2</v>
      </c>
      <c r="C428" s="2">
        <v>3</v>
      </c>
      <c r="D428" s="2">
        <v>2020</v>
      </c>
      <c r="E428" s="2">
        <v>82.77</v>
      </c>
      <c r="F428" s="2">
        <v>82.77</v>
      </c>
      <c r="H428" s="1">
        <f>_xlfn.XLOOKUP('Data Source 1_customer readings'!A428,'Data Source 1_customer readings'!A428:A2826,'Data Source 1_customer readings'!J428:J2826)</f>
        <v>0</v>
      </c>
    </row>
    <row r="429" spans="1:8" x14ac:dyDescent="0.2">
      <c r="A429" s="2" t="s">
        <v>78</v>
      </c>
      <c r="B429" s="2">
        <v>18</v>
      </c>
      <c r="C429" s="2">
        <v>4</v>
      </c>
      <c r="D429" s="2">
        <v>2020</v>
      </c>
      <c r="E429" s="2">
        <v>82.5</v>
      </c>
      <c r="F429" s="2">
        <v>82.2</v>
      </c>
      <c r="H429" s="1">
        <f>_xlfn.XLOOKUP('Data Source 1_customer readings'!A429,'Data Source 1_customer readings'!A429:A2827,'Data Source 1_customer readings'!J429:J2827)</f>
        <v>0</v>
      </c>
    </row>
    <row r="430" spans="1:8" x14ac:dyDescent="0.2">
      <c r="A430" s="2" t="s">
        <v>92</v>
      </c>
      <c r="B430" s="2">
        <v>7</v>
      </c>
      <c r="C430" s="2">
        <v>5</v>
      </c>
      <c r="D430" s="2">
        <v>2020</v>
      </c>
      <c r="E430" s="2">
        <v>82.46</v>
      </c>
      <c r="F430" s="2">
        <v>92.69</v>
      </c>
      <c r="H430" s="1">
        <f>_xlfn.XLOOKUP('Data Source 1_customer readings'!A430,'Data Source 1_customer readings'!A430:A2828,'Data Source 1_customer readings'!J430:J2828)</f>
        <v>0</v>
      </c>
    </row>
    <row r="431" spans="1:8" x14ac:dyDescent="0.2">
      <c r="A431" s="2" t="s">
        <v>38</v>
      </c>
      <c r="B431" s="2">
        <v>21</v>
      </c>
      <c r="C431" s="2">
        <v>2</v>
      </c>
      <c r="D431" s="2">
        <v>2020</v>
      </c>
      <c r="E431" s="2">
        <v>82.32</v>
      </c>
      <c r="F431" s="2">
        <v>73.64</v>
      </c>
      <c r="H431" s="1">
        <f>_xlfn.XLOOKUP('Data Source 1_customer readings'!A431,'Data Source 1_customer readings'!A431:A2829,'Data Source 1_customer readings'!J431:J2829)</f>
        <v>0</v>
      </c>
    </row>
    <row r="432" spans="1:8" x14ac:dyDescent="0.2">
      <c r="A432" s="2" t="s">
        <v>75</v>
      </c>
      <c r="B432" s="2">
        <v>2</v>
      </c>
      <c r="C432" s="2">
        <v>10</v>
      </c>
      <c r="D432" s="2">
        <v>2020</v>
      </c>
      <c r="E432" s="2">
        <v>82.15</v>
      </c>
      <c r="F432" s="2">
        <v>76.260000000000005</v>
      </c>
      <c r="H432" s="1">
        <f>_xlfn.XLOOKUP('Data Source 1_customer readings'!A432,'Data Source 1_customer readings'!A432:A2830,'Data Source 1_customer readings'!J432:J2830)</f>
        <v>0</v>
      </c>
    </row>
    <row r="433" spans="1:8" x14ac:dyDescent="0.2">
      <c r="A433" s="2" t="s">
        <v>86</v>
      </c>
      <c r="B433" s="2">
        <v>6</v>
      </c>
      <c r="C433" s="2">
        <v>3</v>
      </c>
      <c r="D433" s="2">
        <v>2020</v>
      </c>
      <c r="E433" s="2">
        <v>81.84</v>
      </c>
      <c r="F433" s="2">
        <v>83.08</v>
      </c>
      <c r="H433" s="1">
        <f>_xlfn.XLOOKUP('Data Source 1_customer readings'!A433,'Data Source 1_customer readings'!A433:A2831,'Data Source 1_customer readings'!J433:J2831)</f>
        <v>0</v>
      </c>
    </row>
    <row r="434" spans="1:8" x14ac:dyDescent="0.2">
      <c r="A434" s="2" t="s">
        <v>93</v>
      </c>
      <c r="B434" s="2">
        <v>3</v>
      </c>
      <c r="C434" s="2">
        <v>8</v>
      </c>
      <c r="D434" s="2">
        <v>2020</v>
      </c>
      <c r="E434" s="2">
        <v>81.53</v>
      </c>
      <c r="F434" s="2">
        <v>91.76</v>
      </c>
      <c r="H434" s="1">
        <f>_xlfn.XLOOKUP('Data Source 1_customer readings'!A434,'Data Source 1_customer readings'!A434:A2832,'Data Source 1_customer readings'!J434:J2832)</f>
        <v>0</v>
      </c>
    </row>
    <row r="435" spans="1:8" x14ac:dyDescent="0.2">
      <c r="A435" s="2" t="s">
        <v>40</v>
      </c>
      <c r="B435" s="2">
        <v>15</v>
      </c>
      <c r="C435" s="2">
        <v>2</v>
      </c>
      <c r="D435" s="2">
        <v>2020</v>
      </c>
      <c r="E435" s="2">
        <v>81.48</v>
      </c>
      <c r="F435" s="2">
        <v>76.72</v>
      </c>
      <c r="H435" s="1">
        <f>_xlfn.XLOOKUP('Data Source 1_customer readings'!A435,'Data Source 1_customer readings'!A435:A2833,'Data Source 1_customer readings'!J435:J2833)</f>
        <v>0</v>
      </c>
    </row>
    <row r="436" spans="1:8" x14ac:dyDescent="0.2">
      <c r="A436" s="2" t="s">
        <v>76</v>
      </c>
      <c r="B436" s="2">
        <v>9</v>
      </c>
      <c r="C436" s="2">
        <v>10</v>
      </c>
      <c r="D436" s="2">
        <v>2020</v>
      </c>
      <c r="E436" s="2">
        <v>81.22</v>
      </c>
      <c r="F436" s="2">
        <v>75.33</v>
      </c>
      <c r="H436" s="1">
        <f>_xlfn.XLOOKUP('Data Source 1_customer readings'!A436,'Data Source 1_customer readings'!A436:A2834,'Data Source 1_customer readings'!J436:J2834)</f>
        <v>0</v>
      </c>
    </row>
    <row r="437" spans="1:8" x14ac:dyDescent="0.2">
      <c r="A437" s="2" t="s">
        <v>58</v>
      </c>
      <c r="B437" s="2">
        <v>16</v>
      </c>
      <c r="C437" s="2">
        <v>10</v>
      </c>
      <c r="D437" s="2">
        <v>2020</v>
      </c>
      <c r="E437" s="2">
        <v>80.599999999999994</v>
      </c>
      <c r="F437" s="2">
        <v>86.49</v>
      </c>
      <c r="H437" s="1">
        <f>_xlfn.XLOOKUP('Data Source 1_customer readings'!A437,'Data Source 1_customer readings'!A437:A2835,'Data Source 1_customer readings'!J437:J2835)</f>
        <v>0</v>
      </c>
    </row>
    <row r="438" spans="1:8" x14ac:dyDescent="0.2">
      <c r="A438" s="2" t="s">
        <v>62</v>
      </c>
      <c r="B438" s="2">
        <v>1</v>
      </c>
      <c r="C438" s="2">
        <v>10</v>
      </c>
      <c r="D438" s="2">
        <v>2020</v>
      </c>
      <c r="E438" s="2">
        <v>80.290000000000006</v>
      </c>
      <c r="F438" s="2">
        <v>71.92</v>
      </c>
      <c r="H438" s="1">
        <f>_xlfn.XLOOKUP('Data Source 1_customer readings'!A438,'Data Source 1_customer readings'!A438:A2836,'Data Source 1_customer readings'!J438:J2836)</f>
        <v>0</v>
      </c>
    </row>
    <row r="439" spans="1:8" x14ac:dyDescent="0.2">
      <c r="A439" s="2" t="s">
        <v>38</v>
      </c>
      <c r="B439" s="2">
        <v>21</v>
      </c>
      <c r="C439" s="2">
        <v>11</v>
      </c>
      <c r="D439" s="2">
        <v>2020</v>
      </c>
      <c r="E439" s="2">
        <v>80.099999999999994</v>
      </c>
      <c r="F439" s="2">
        <v>77.400000000000006</v>
      </c>
      <c r="H439" s="1" t="b">
        <f>_xlfn.XLOOKUP('Data Source 1_customer readings'!A439,'Data Source 1_customer readings'!A439:A2837,'Data Source 1_customer readings'!J439:J2837)</f>
        <v>0</v>
      </c>
    </row>
    <row r="440" spans="1:8" x14ac:dyDescent="0.2">
      <c r="A440" s="2" t="s">
        <v>39</v>
      </c>
      <c r="B440" s="2">
        <v>22</v>
      </c>
      <c r="C440" s="2">
        <v>2</v>
      </c>
      <c r="D440" s="2">
        <v>2020</v>
      </c>
      <c r="E440" s="2">
        <v>80.08</v>
      </c>
      <c r="F440" s="2">
        <v>71.959999999999994</v>
      </c>
      <c r="H440" s="1">
        <f>_xlfn.XLOOKUP('Data Source 1_customer readings'!A440,'Data Source 1_customer readings'!A440:A2838,'Data Source 1_customer readings'!J440:J2838)</f>
        <v>0</v>
      </c>
    </row>
    <row r="441" spans="1:8" x14ac:dyDescent="0.2">
      <c r="A441" s="2" t="s">
        <v>61</v>
      </c>
      <c r="B441" s="2">
        <v>23</v>
      </c>
      <c r="C441" s="2">
        <v>10</v>
      </c>
      <c r="D441" s="2">
        <v>2020</v>
      </c>
      <c r="E441" s="2">
        <v>79.98</v>
      </c>
      <c r="F441" s="2">
        <v>107.57</v>
      </c>
      <c r="H441" s="1">
        <f>_xlfn.XLOOKUP('Data Source 1_customer readings'!A441,'Data Source 1_customer readings'!A441:A2839,'Data Source 1_customer readings'!J441:J2839)</f>
        <v>0</v>
      </c>
    </row>
    <row r="442" spans="1:8" x14ac:dyDescent="0.2">
      <c r="A442" s="2" t="s">
        <v>72</v>
      </c>
      <c r="B442" s="2">
        <v>22</v>
      </c>
      <c r="C442" s="2">
        <v>10</v>
      </c>
      <c r="D442" s="2">
        <v>2020</v>
      </c>
      <c r="E442" s="2">
        <v>79.98</v>
      </c>
      <c r="F442" s="2">
        <v>107.26</v>
      </c>
      <c r="H442" s="1">
        <f>_xlfn.XLOOKUP('Data Source 1_customer readings'!A442,'Data Source 1_customer readings'!A442:A2840,'Data Source 1_customer readings'!J442:J2840)</f>
        <v>0</v>
      </c>
    </row>
    <row r="443" spans="1:8" x14ac:dyDescent="0.2">
      <c r="A443" s="2" t="s">
        <v>70</v>
      </c>
      <c r="B443" s="2">
        <v>16</v>
      </c>
      <c r="C443" s="2">
        <v>4</v>
      </c>
      <c r="D443" s="2">
        <v>2020</v>
      </c>
      <c r="E443" s="2">
        <v>79.8</v>
      </c>
      <c r="F443" s="2">
        <v>86.4</v>
      </c>
      <c r="H443" s="1" t="b">
        <f>_xlfn.XLOOKUP('Data Source 1_customer readings'!A443,'Data Source 1_customer readings'!A443:A2841,'Data Source 1_customer readings'!J443:J2841)</f>
        <v>0</v>
      </c>
    </row>
    <row r="444" spans="1:8" x14ac:dyDescent="0.2">
      <c r="A444" s="2" t="s">
        <v>67</v>
      </c>
      <c r="B444" s="2">
        <v>13</v>
      </c>
      <c r="C444" s="2">
        <v>2</v>
      </c>
      <c r="D444" s="2">
        <v>2020</v>
      </c>
      <c r="E444" s="2">
        <v>79.239999999999995</v>
      </c>
      <c r="F444" s="2">
        <v>74.48</v>
      </c>
      <c r="H444" s="1">
        <f>_xlfn.XLOOKUP('Data Source 1_customer readings'!A444,'Data Source 1_customer readings'!A444:A2842,'Data Source 1_customer readings'!J444:J2842)</f>
        <v>0</v>
      </c>
    </row>
    <row r="445" spans="1:8" x14ac:dyDescent="0.2">
      <c r="A445" s="2" t="s">
        <v>73</v>
      </c>
      <c r="B445" s="2">
        <v>5</v>
      </c>
      <c r="C445" s="2">
        <v>10</v>
      </c>
      <c r="D445" s="2">
        <v>2020</v>
      </c>
      <c r="E445" s="2">
        <v>79.05</v>
      </c>
      <c r="F445" s="2">
        <v>70.37</v>
      </c>
      <c r="H445" s="1" t="b">
        <f>_xlfn.XLOOKUP('Data Source 1_customer readings'!A445,'Data Source 1_customer readings'!A445:A2843,'Data Source 1_customer readings'!J445:J2843)</f>
        <v>0</v>
      </c>
    </row>
    <row r="446" spans="1:8" x14ac:dyDescent="0.2">
      <c r="A446" s="2" t="s">
        <v>72</v>
      </c>
      <c r="B446" s="2">
        <v>22</v>
      </c>
      <c r="C446" s="2">
        <v>3</v>
      </c>
      <c r="D446" s="2">
        <v>2020</v>
      </c>
      <c r="E446" s="2">
        <v>78.739999999999995</v>
      </c>
      <c r="F446" s="2">
        <v>109.74</v>
      </c>
      <c r="H446" s="1">
        <f>_xlfn.XLOOKUP('Data Source 1_customer readings'!A446,'Data Source 1_customer readings'!A446:A2844,'Data Source 1_customer readings'!J446:J2844)</f>
        <v>0</v>
      </c>
    </row>
    <row r="447" spans="1:8" x14ac:dyDescent="0.2">
      <c r="A447" s="2" t="s">
        <v>77</v>
      </c>
      <c r="B447" s="2">
        <v>16</v>
      </c>
      <c r="C447" s="2">
        <v>10</v>
      </c>
      <c r="D447" s="2">
        <v>2020</v>
      </c>
      <c r="E447" s="2">
        <v>78.12</v>
      </c>
      <c r="F447" s="2">
        <v>121.83</v>
      </c>
      <c r="H447" s="1">
        <f>_xlfn.XLOOKUP('Data Source 1_customer readings'!A447,'Data Source 1_customer readings'!A447:A2845,'Data Source 1_customer readings'!J447:J2845)</f>
        <v>0</v>
      </c>
    </row>
    <row r="448" spans="1:8" x14ac:dyDescent="0.2">
      <c r="A448" s="2" t="s">
        <v>37</v>
      </c>
      <c r="B448" s="2">
        <v>12</v>
      </c>
      <c r="C448" s="2">
        <v>2</v>
      </c>
      <c r="D448" s="2">
        <v>2020</v>
      </c>
      <c r="E448" s="2">
        <v>78.12</v>
      </c>
      <c r="F448" s="2">
        <v>71.400000000000006</v>
      </c>
      <c r="H448" s="1">
        <f>_xlfn.XLOOKUP('Data Source 1_customer readings'!A448,'Data Source 1_customer readings'!A448:A2846,'Data Source 1_customer readings'!J448:J2846)</f>
        <v>0</v>
      </c>
    </row>
    <row r="449" spans="1:8" x14ac:dyDescent="0.2">
      <c r="A449" s="2" t="s">
        <v>93</v>
      </c>
      <c r="B449" s="2">
        <v>3</v>
      </c>
      <c r="C449" s="2">
        <v>9</v>
      </c>
      <c r="D449" s="2">
        <v>2020</v>
      </c>
      <c r="E449" s="2">
        <v>78</v>
      </c>
      <c r="F449" s="2">
        <v>93</v>
      </c>
      <c r="H449" s="1">
        <f>_xlfn.XLOOKUP('Data Source 1_customer readings'!A449,'Data Source 1_customer readings'!A449:A2847,'Data Source 1_customer readings'!J449:J2847)</f>
        <v>0</v>
      </c>
    </row>
    <row r="450" spans="1:8" x14ac:dyDescent="0.2">
      <c r="A450" s="2" t="s">
        <v>85</v>
      </c>
      <c r="B450" s="2">
        <v>3</v>
      </c>
      <c r="C450" s="2">
        <v>4</v>
      </c>
      <c r="D450" s="2">
        <v>2020</v>
      </c>
      <c r="E450" s="2">
        <v>78</v>
      </c>
      <c r="F450" s="2">
        <v>76.2</v>
      </c>
      <c r="H450" s="1">
        <f>_xlfn.XLOOKUP('Data Source 1_customer readings'!A450,'Data Source 1_customer readings'!A450:A2848,'Data Source 1_customer readings'!J450:J2848)</f>
        <v>0</v>
      </c>
    </row>
    <row r="451" spans="1:8" x14ac:dyDescent="0.2">
      <c r="A451" s="2" t="s">
        <v>74</v>
      </c>
      <c r="B451" s="2">
        <v>5</v>
      </c>
      <c r="C451" s="2">
        <v>3</v>
      </c>
      <c r="D451" s="2">
        <v>2020</v>
      </c>
      <c r="E451" s="2">
        <v>77.81</v>
      </c>
      <c r="F451" s="2">
        <v>67.58</v>
      </c>
      <c r="H451" s="1">
        <f>_xlfn.XLOOKUP('Data Source 1_customer readings'!A451,'Data Source 1_customer readings'!A451:A2849,'Data Source 1_customer readings'!J451:J2849)</f>
        <v>0</v>
      </c>
    </row>
    <row r="452" spans="1:8" x14ac:dyDescent="0.2">
      <c r="A452" s="2" t="s">
        <v>38</v>
      </c>
      <c r="B452" s="2">
        <v>21</v>
      </c>
      <c r="C452" s="2">
        <v>1</v>
      </c>
      <c r="D452" s="2">
        <v>2020</v>
      </c>
      <c r="E452" s="2">
        <v>77.5</v>
      </c>
      <c r="F452" s="2">
        <v>74.09</v>
      </c>
      <c r="H452" s="1" t="b">
        <f>_xlfn.XLOOKUP('Data Source 1_customer readings'!A452,'Data Source 1_customer readings'!A452:A2850,'Data Source 1_customer readings'!J452:J2850)</f>
        <v>0</v>
      </c>
    </row>
    <row r="453" spans="1:8" x14ac:dyDescent="0.2">
      <c r="A453" s="2" t="s">
        <v>75</v>
      </c>
      <c r="B453" s="2">
        <v>2</v>
      </c>
      <c r="C453" s="2">
        <v>4</v>
      </c>
      <c r="D453" s="2">
        <v>2020</v>
      </c>
      <c r="E453" s="2">
        <v>77.400000000000006</v>
      </c>
      <c r="F453" s="2">
        <v>71.400000000000006</v>
      </c>
      <c r="H453" s="1">
        <f>_xlfn.XLOOKUP('Data Source 1_customer readings'!A453,'Data Source 1_customer readings'!A453:A2851,'Data Source 1_customer readings'!J453:J2851)</f>
        <v>0</v>
      </c>
    </row>
    <row r="454" spans="1:8" x14ac:dyDescent="0.2">
      <c r="A454" s="2" t="s">
        <v>65</v>
      </c>
      <c r="B454" s="2">
        <v>11</v>
      </c>
      <c r="C454" s="2">
        <v>3</v>
      </c>
      <c r="D454" s="2">
        <v>2020</v>
      </c>
      <c r="E454" s="2">
        <v>77.19</v>
      </c>
      <c r="F454" s="2">
        <v>88.35</v>
      </c>
      <c r="H454" s="1">
        <f>_xlfn.XLOOKUP('Data Source 1_customer readings'!A454,'Data Source 1_customer readings'!A454:A2852,'Data Source 1_customer readings'!J454:J2852)</f>
        <v>0</v>
      </c>
    </row>
    <row r="455" spans="1:8" x14ac:dyDescent="0.2">
      <c r="A455" s="2" t="s">
        <v>50</v>
      </c>
      <c r="B455" s="2">
        <v>24</v>
      </c>
      <c r="C455" s="2">
        <v>10</v>
      </c>
      <c r="D455" s="2">
        <v>2020</v>
      </c>
      <c r="E455" s="2">
        <v>76.88</v>
      </c>
      <c r="F455" s="2">
        <v>82.15</v>
      </c>
      <c r="H455" s="1">
        <f>_xlfn.XLOOKUP('Data Source 1_customer readings'!A455,'Data Source 1_customer readings'!A455:A2853,'Data Source 1_customer readings'!J455:J2853)</f>
        <v>0</v>
      </c>
    </row>
    <row r="456" spans="1:8" x14ac:dyDescent="0.2">
      <c r="A456" s="2" t="s">
        <v>76</v>
      </c>
      <c r="B456" s="2">
        <v>9</v>
      </c>
      <c r="C456" s="2">
        <v>3</v>
      </c>
      <c r="D456" s="2">
        <v>2020</v>
      </c>
      <c r="E456" s="2">
        <v>76.88</v>
      </c>
      <c r="F456" s="2">
        <v>67.89</v>
      </c>
      <c r="H456" s="1">
        <f>_xlfn.XLOOKUP('Data Source 1_customer readings'!A456,'Data Source 1_customer readings'!A456:A2854,'Data Source 1_customer readings'!J456:J2854)</f>
        <v>0</v>
      </c>
    </row>
    <row r="457" spans="1:8" x14ac:dyDescent="0.2">
      <c r="A457" s="2" t="s">
        <v>65</v>
      </c>
      <c r="B457" s="2">
        <v>11</v>
      </c>
      <c r="C457" s="2">
        <v>10</v>
      </c>
      <c r="D457" s="2">
        <v>2020</v>
      </c>
      <c r="E457" s="2">
        <v>76.569999999999993</v>
      </c>
      <c r="F457" s="2">
        <v>98.27</v>
      </c>
      <c r="H457" s="1">
        <f>_xlfn.XLOOKUP('Data Source 1_customer readings'!A457,'Data Source 1_customer readings'!A457:A2855,'Data Source 1_customer readings'!J457:J2855)</f>
        <v>0</v>
      </c>
    </row>
    <row r="458" spans="1:8" x14ac:dyDescent="0.2">
      <c r="A458" s="2" t="s">
        <v>53</v>
      </c>
      <c r="B458" s="2">
        <v>18</v>
      </c>
      <c r="C458" s="2">
        <v>3</v>
      </c>
      <c r="D458" s="2">
        <v>2020</v>
      </c>
      <c r="E458" s="2">
        <v>76.569999999999993</v>
      </c>
      <c r="F458" s="2">
        <v>89.9</v>
      </c>
      <c r="H458" s="1">
        <f>_xlfn.XLOOKUP('Data Source 1_customer readings'!A458,'Data Source 1_customer readings'!A458:A2856,'Data Source 1_customer readings'!J458:J2856)</f>
        <v>0</v>
      </c>
    </row>
    <row r="459" spans="1:8" x14ac:dyDescent="0.2">
      <c r="A459" s="2" t="s">
        <v>82</v>
      </c>
      <c r="B459" s="2">
        <v>8</v>
      </c>
      <c r="C459" s="2">
        <v>4</v>
      </c>
      <c r="D459" s="2">
        <v>2020</v>
      </c>
      <c r="E459" s="2">
        <v>76.5</v>
      </c>
      <c r="F459" s="2">
        <v>84</v>
      </c>
      <c r="H459" s="1">
        <f>_xlfn.XLOOKUP('Data Source 1_customer readings'!A459,'Data Source 1_customer readings'!A459:A2857,'Data Source 1_customer readings'!J459:J2857)</f>
        <v>0</v>
      </c>
    </row>
    <row r="460" spans="1:8" x14ac:dyDescent="0.2">
      <c r="A460" s="2" t="s">
        <v>70</v>
      </c>
      <c r="B460" s="2">
        <v>16</v>
      </c>
      <c r="C460" s="2">
        <v>3</v>
      </c>
      <c r="D460" s="2">
        <v>2020</v>
      </c>
      <c r="E460" s="2">
        <v>76.260000000000005</v>
      </c>
      <c r="F460" s="2">
        <v>78.430000000000007</v>
      </c>
      <c r="H460" s="1">
        <f>_xlfn.XLOOKUP('Data Source 1_customer readings'!A460,'Data Source 1_customer readings'!A460:A2858,'Data Source 1_customer readings'!J460:J2858)</f>
        <v>0</v>
      </c>
    </row>
    <row r="461" spans="1:8" x14ac:dyDescent="0.2">
      <c r="A461" s="2" t="s">
        <v>58</v>
      </c>
      <c r="B461" s="2">
        <v>16</v>
      </c>
      <c r="C461" s="2">
        <v>4</v>
      </c>
      <c r="D461" s="2">
        <v>2020</v>
      </c>
      <c r="E461" s="2">
        <v>76.2</v>
      </c>
      <c r="F461" s="2">
        <v>83.7</v>
      </c>
      <c r="H461" s="1" t="b">
        <f>_xlfn.XLOOKUP('Data Source 1_customer readings'!A461,'Data Source 1_customer readings'!A461:A2859,'Data Source 1_customer readings'!J461:J2859)</f>
        <v>0</v>
      </c>
    </row>
    <row r="462" spans="1:8" x14ac:dyDescent="0.2">
      <c r="A462" s="2" t="s">
        <v>92</v>
      </c>
      <c r="B462" s="2">
        <v>7</v>
      </c>
      <c r="C462" s="2">
        <v>9</v>
      </c>
      <c r="D462" s="2">
        <v>2020</v>
      </c>
      <c r="E462" s="2">
        <v>76.2</v>
      </c>
      <c r="F462" s="2">
        <v>78.900000000000006</v>
      </c>
      <c r="H462" s="1">
        <f>_xlfn.XLOOKUP('Data Source 1_customer readings'!A462,'Data Source 1_customer readings'!A462:A2860,'Data Source 1_customer readings'!J462:J2860)</f>
        <v>0</v>
      </c>
    </row>
    <row r="463" spans="1:8" x14ac:dyDescent="0.2">
      <c r="A463" s="2" t="s">
        <v>71</v>
      </c>
      <c r="B463" s="2">
        <v>21</v>
      </c>
      <c r="C463" s="2">
        <v>10</v>
      </c>
      <c r="D463" s="2">
        <v>2020</v>
      </c>
      <c r="E463" s="2">
        <v>75.95</v>
      </c>
      <c r="F463" s="2">
        <v>115.63</v>
      </c>
      <c r="H463" s="1">
        <f>_xlfn.XLOOKUP('Data Source 1_customer readings'!A463,'Data Source 1_customer readings'!A463:A2861,'Data Source 1_customer readings'!J463:J2861)</f>
        <v>0</v>
      </c>
    </row>
    <row r="464" spans="1:8" x14ac:dyDescent="0.2">
      <c r="A464" s="2" t="s">
        <v>54</v>
      </c>
      <c r="B464" s="2">
        <v>5</v>
      </c>
      <c r="C464" s="2">
        <v>10</v>
      </c>
      <c r="D464" s="2">
        <v>2020</v>
      </c>
      <c r="E464" s="2">
        <v>75.95</v>
      </c>
      <c r="F464" s="2">
        <v>98.89</v>
      </c>
      <c r="H464" s="1">
        <f>_xlfn.XLOOKUP('Data Source 1_customer readings'!A464,'Data Source 1_customer readings'!A464:A2862,'Data Source 1_customer readings'!J464:J2862)</f>
        <v>0</v>
      </c>
    </row>
    <row r="465" spans="1:8" x14ac:dyDescent="0.2">
      <c r="A465" s="2" t="s">
        <v>73</v>
      </c>
      <c r="B465" s="2">
        <v>5</v>
      </c>
      <c r="C465" s="2">
        <v>3</v>
      </c>
      <c r="D465" s="2">
        <v>2020</v>
      </c>
      <c r="E465" s="2">
        <v>75.95</v>
      </c>
      <c r="F465" s="2">
        <v>85.56</v>
      </c>
      <c r="H465" s="1">
        <f>_xlfn.XLOOKUP('Data Source 1_customer readings'!A465,'Data Source 1_customer readings'!A465:A2863,'Data Source 1_customer readings'!J465:J2863)</f>
        <v>0</v>
      </c>
    </row>
    <row r="466" spans="1:8" x14ac:dyDescent="0.2">
      <c r="A466" s="2" t="s">
        <v>79</v>
      </c>
      <c r="B466" s="2">
        <v>3</v>
      </c>
      <c r="C466" s="2">
        <v>4</v>
      </c>
      <c r="D466" s="2">
        <v>2020</v>
      </c>
      <c r="E466" s="2">
        <v>75.900000000000006</v>
      </c>
      <c r="F466" s="2">
        <v>93</v>
      </c>
      <c r="H466" s="1">
        <f>_xlfn.XLOOKUP('Data Source 1_customer readings'!A466,'Data Source 1_customer readings'!A466:A2864,'Data Source 1_customer readings'!J466:J2864)</f>
        <v>0</v>
      </c>
    </row>
    <row r="467" spans="1:8" x14ac:dyDescent="0.2">
      <c r="A467" s="2" t="s">
        <v>63</v>
      </c>
      <c r="B467" s="2">
        <v>25</v>
      </c>
      <c r="C467" s="2">
        <v>3</v>
      </c>
      <c r="D467" s="2">
        <v>2020</v>
      </c>
      <c r="E467" s="2">
        <v>75.33</v>
      </c>
      <c r="F467" s="2">
        <v>76.88</v>
      </c>
      <c r="H467" s="1">
        <f>_xlfn.XLOOKUP('Data Source 1_customer readings'!A467,'Data Source 1_customer readings'!A467:A2865,'Data Source 1_customer readings'!J467:J2865)</f>
        <v>0</v>
      </c>
    </row>
    <row r="468" spans="1:8" x14ac:dyDescent="0.2">
      <c r="A468" s="2" t="s">
        <v>58</v>
      </c>
      <c r="B468" s="2">
        <v>16</v>
      </c>
      <c r="C468" s="2">
        <v>3</v>
      </c>
      <c r="D468" s="2">
        <v>2020</v>
      </c>
      <c r="E468" s="2">
        <v>75.33</v>
      </c>
      <c r="F468" s="2">
        <v>70.06</v>
      </c>
      <c r="H468" s="1">
        <f>_xlfn.XLOOKUP('Data Source 1_customer readings'!A468,'Data Source 1_customer readings'!A468:A2866,'Data Source 1_customer readings'!J468:J2866)</f>
        <v>0</v>
      </c>
    </row>
    <row r="469" spans="1:8" x14ac:dyDescent="0.2">
      <c r="A469" s="2" t="s">
        <v>64</v>
      </c>
      <c r="B469" s="2">
        <v>21</v>
      </c>
      <c r="C469" s="2">
        <v>10</v>
      </c>
      <c r="D469" s="2">
        <v>2020</v>
      </c>
      <c r="E469" s="2">
        <v>75.02</v>
      </c>
      <c r="F469" s="2">
        <v>79.98</v>
      </c>
      <c r="H469" s="1">
        <f>_xlfn.XLOOKUP('Data Source 1_customer readings'!A469,'Data Source 1_customer readings'!A469:A2867,'Data Source 1_customer readings'!J469:J2867)</f>
        <v>0</v>
      </c>
    </row>
    <row r="470" spans="1:8" x14ac:dyDescent="0.2">
      <c r="A470" s="2" t="s">
        <v>81</v>
      </c>
      <c r="B470" s="2">
        <v>19</v>
      </c>
      <c r="C470" s="2">
        <v>4</v>
      </c>
      <c r="D470" s="2">
        <v>2020</v>
      </c>
      <c r="E470" s="2">
        <v>75</v>
      </c>
      <c r="F470" s="2">
        <v>95.4</v>
      </c>
      <c r="H470" s="1">
        <f>_xlfn.XLOOKUP('Data Source 1_customer readings'!A470,'Data Source 1_customer readings'!A470:A2868,'Data Source 1_customer readings'!J470:J2868)</f>
        <v>0</v>
      </c>
    </row>
    <row r="471" spans="1:8" x14ac:dyDescent="0.2">
      <c r="A471" s="2" t="s">
        <v>76</v>
      </c>
      <c r="B471" s="2">
        <v>9</v>
      </c>
      <c r="C471" s="2">
        <v>4</v>
      </c>
      <c r="D471" s="2">
        <v>2020</v>
      </c>
      <c r="E471" s="2">
        <v>74.7</v>
      </c>
      <c r="F471" s="2">
        <v>75.599999999999994</v>
      </c>
      <c r="H471" s="1" t="b">
        <f>_xlfn.XLOOKUP('Data Source 1_customer readings'!A471,'Data Source 1_customer readings'!A471:A2869,'Data Source 1_customer readings'!J471:J2869)</f>
        <v>0</v>
      </c>
    </row>
    <row r="472" spans="1:8" x14ac:dyDescent="0.2">
      <c r="A472" s="2" t="s">
        <v>77</v>
      </c>
      <c r="B472" s="2">
        <v>16</v>
      </c>
      <c r="C472" s="2">
        <v>3</v>
      </c>
      <c r="D472" s="2">
        <v>2020</v>
      </c>
      <c r="E472" s="2">
        <v>74.400000000000006</v>
      </c>
      <c r="F472" s="2">
        <v>105.4</v>
      </c>
      <c r="H472" s="1">
        <f>_xlfn.XLOOKUP('Data Source 1_customer readings'!A472,'Data Source 1_customer readings'!A472:A2870,'Data Source 1_customer readings'!J472:J2870)</f>
        <v>0</v>
      </c>
    </row>
    <row r="473" spans="1:8" x14ac:dyDescent="0.2">
      <c r="A473" s="2" t="s">
        <v>93</v>
      </c>
      <c r="B473" s="2">
        <v>3</v>
      </c>
      <c r="C473" s="2">
        <v>7</v>
      </c>
      <c r="D473" s="2">
        <v>2020</v>
      </c>
      <c r="E473" s="2">
        <v>74.400000000000006</v>
      </c>
      <c r="F473" s="2">
        <v>92.69</v>
      </c>
      <c r="H473" s="1">
        <f>_xlfn.XLOOKUP('Data Source 1_customer readings'!A473,'Data Source 1_customer readings'!A473:A2871,'Data Source 1_customer readings'!J473:J2871)</f>
        <v>0</v>
      </c>
    </row>
    <row r="474" spans="1:8" x14ac:dyDescent="0.2">
      <c r="A474" s="2" t="s">
        <v>81</v>
      </c>
      <c r="B474" s="2">
        <v>19</v>
      </c>
      <c r="C474" s="2">
        <v>3</v>
      </c>
      <c r="D474" s="2">
        <v>2020</v>
      </c>
      <c r="E474" s="2">
        <v>74.400000000000006</v>
      </c>
      <c r="F474" s="2">
        <v>87.73</v>
      </c>
      <c r="H474" s="1">
        <f>_xlfn.XLOOKUP('Data Source 1_customer readings'!A474,'Data Source 1_customer readings'!A474:A2872,'Data Source 1_customer readings'!J474:J2872)</f>
        <v>0</v>
      </c>
    </row>
    <row r="475" spans="1:8" x14ac:dyDescent="0.2">
      <c r="A475" s="2" t="s">
        <v>68</v>
      </c>
      <c r="B475" s="2">
        <v>11</v>
      </c>
      <c r="C475" s="2">
        <v>3</v>
      </c>
      <c r="D475" s="2">
        <v>2020</v>
      </c>
      <c r="E475" s="2">
        <v>73.78</v>
      </c>
      <c r="F475" s="2">
        <v>98.58</v>
      </c>
      <c r="H475" s="1">
        <f>_xlfn.XLOOKUP('Data Source 1_customer readings'!A475,'Data Source 1_customer readings'!A475:A2873,'Data Source 1_customer readings'!J475:J2873)</f>
        <v>0</v>
      </c>
    </row>
    <row r="476" spans="1:8" x14ac:dyDescent="0.2">
      <c r="A476" s="2" t="s">
        <v>92</v>
      </c>
      <c r="B476" s="2">
        <v>7</v>
      </c>
      <c r="C476" s="2">
        <v>7</v>
      </c>
      <c r="D476" s="2">
        <v>2020</v>
      </c>
      <c r="E476" s="2">
        <v>73.78</v>
      </c>
      <c r="F476" s="2">
        <v>93.93</v>
      </c>
      <c r="H476" s="1">
        <f>_xlfn.XLOOKUP('Data Source 1_customer readings'!A476,'Data Source 1_customer readings'!A476:A2874,'Data Source 1_customer readings'!J476:J2874)</f>
        <v>0</v>
      </c>
    </row>
    <row r="477" spans="1:8" x14ac:dyDescent="0.2">
      <c r="A477" s="2" t="s">
        <v>61</v>
      </c>
      <c r="B477" s="2">
        <v>23</v>
      </c>
      <c r="C477" s="2">
        <v>3</v>
      </c>
      <c r="D477" s="2">
        <v>2020</v>
      </c>
      <c r="E477" s="2">
        <v>73.78</v>
      </c>
      <c r="F477" s="2">
        <v>77.19</v>
      </c>
      <c r="H477" s="1">
        <f>_xlfn.XLOOKUP('Data Source 1_customer readings'!A477,'Data Source 1_customer readings'!A477:A2875,'Data Source 1_customer readings'!J477:J2875)</f>
        <v>0</v>
      </c>
    </row>
    <row r="478" spans="1:8" x14ac:dyDescent="0.2">
      <c r="A478" s="2" t="s">
        <v>66</v>
      </c>
      <c r="B478" s="2">
        <v>23</v>
      </c>
      <c r="C478" s="2">
        <v>4</v>
      </c>
      <c r="D478" s="2">
        <v>2020</v>
      </c>
      <c r="E478" s="2">
        <v>73.5</v>
      </c>
      <c r="F478" s="2">
        <v>80.400000000000006</v>
      </c>
      <c r="H478" s="1">
        <f>_xlfn.XLOOKUP('Data Source 1_customer readings'!A478,'Data Source 1_customer readings'!A478:A2876,'Data Source 1_customer readings'!J478:J2876)</f>
        <v>0</v>
      </c>
    </row>
    <row r="479" spans="1:8" x14ac:dyDescent="0.2">
      <c r="A479" s="2" t="s">
        <v>70</v>
      </c>
      <c r="B479" s="2">
        <v>16</v>
      </c>
      <c r="C479" s="2">
        <v>10</v>
      </c>
      <c r="D479" s="2">
        <v>2020</v>
      </c>
      <c r="E479" s="2">
        <v>73.47</v>
      </c>
      <c r="F479" s="2">
        <v>100.13</v>
      </c>
      <c r="H479" s="1">
        <f>_xlfn.XLOOKUP('Data Source 1_customer readings'!A479,'Data Source 1_customer readings'!A479:A2877,'Data Source 1_customer readings'!J479:J2877)</f>
        <v>0</v>
      </c>
    </row>
    <row r="480" spans="1:8" x14ac:dyDescent="0.2">
      <c r="A480" s="2" t="s">
        <v>68</v>
      </c>
      <c r="B480" s="2">
        <v>11</v>
      </c>
      <c r="C480" s="2">
        <v>4</v>
      </c>
      <c r="D480" s="2">
        <v>2020</v>
      </c>
      <c r="E480" s="2">
        <v>73.2</v>
      </c>
      <c r="F480" s="2">
        <v>92.4</v>
      </c>
      <c r="H480" s="1">
        <f>_xlfn.XLOOKUP('Data Source 1_customer readings'!A480,'Data Source 1_customer readings'!A480:A2878,'Data Source 1_customer readings'!J480:J2878)</f>
        <v>0</v>
      </c>
    </row>
    <row r="481" spans="1:8" x14ac:dyDescent="0.2">
      <c r="A481" s="2" t="s">
        <v>57</v>
      </c>
      <c r="B481" s="2">
        <v>17</v>
      </c>
      <c r="C481" s="2">
        <v>3</v>
      </c>
      <c r="D481" s="2">
        <v>2020</v>
      </c>
      <c r="E481" s="2">
        <v>73.16</v>
      </c>
      <c r="F481" s="2">
        <v>75.95</v>
      </c>
      <c r="H481" s="1">
        <f>_xlfn.XLOOKUP('Data Source 1_customer readings'!A481,'Data Source 1_customer readings'!A481:A2879,'Data Source 1_customer readings'!J481:J2879)</f>
        <v>0</v>
      </c>
    </row>
    <row r="482" spans="1:8" x14ac:dyDescent="0.2">
      <c r="A482" s="2" t="s">
        <v>71</v>
      </c>
      <c r="B482" s="2">
        <v>21</v>
      </c>
      <c r="C482" s="2">
        <v>4</v>
      </c>
      <c r="D482" s="2">
        <v>2020</v>
      </c>
      <c r="E482" s="2">
        <v>72.3</v>
      </c>
      <c r="F482" s="2">
        <v>102.3</v>
      </c>
      <c r="H482" s="1">
        <f>_xlfn.XLOOKUP('Data Source 1_customer readings'!A482,'Data Source 1_customer readings'!A482:A2880,'Data Source 1_customer readings'!J482:J2880)</f>
        <v>0</v>
      </c>
    </row>
    <row r="483" spans="1:8" x14ac:dyDescent="0.2">
      <c r="A483" s="2" t="s">
        <v>66</v>
      </c>
      <c r="B483" s="2">
        <v>23</v>
      </c>
      <c r="C483" s="2">
        <v>3</v>
      </c>
      <c r="D483" s="2">
        <v>2020</v>
      </c>
      <c r="E483" s="2">
        <v>72.23</v>
      </c>
      <c r="F483" s="2">
        <v>77.5</v>
      </c>
      <c r="H483" s="1">
        <f>_xlfn.XLOOKUP('Data Source 1_customer readings'!A483,'Data Source 1_customer readings'!A483:A2881,'Data Source 1_customer readings'!J483:J2881)</f>
        <v>0</v>
      </c>
    </row>
    <row r="484" spans="1:8" x14ac:dyDescent="0.2">
      <c r="A484" s="2" t="s">
        <v>46</v>
      </c>
      <c r="B484" s="2">
        <v>9</v>
      </c>
      <c r="C484" s="2">
        <v>10</v>
      </c>
      <c r="D484" s="2">
        <v>2020</v>
      </c>
      <c r="E484" s="2">
        <v>72.23</v>
      </c>
      <c r="F484" s="2">
        <v>69.44</v>
      </c>
      <c r="H484" s="1">
        <f>_xlfn.XLOOKUP('Data Source 1_customer readings'!A484,'Data Source 1_customer readings'!A484:A2882,'Data Source 1_customer readings'!J484:J2882)</f>
        <v>0</v>
      </c>
    </row>
    <row r="485" spans="1:8" x14ac:dyDescent="0.2">
      <c r="A485" s="2" t="s">
        <v>56</v>
      </c>
      <c r="B485" s="2">
        <v>14</v>
      </c>
      <c r="C485" s="2">
        <v>10</v>
      </c>
      <c r="D485" s="2">
        <v>2020</v>
      </c>
      <c r="E485" s="2">
        <v>71.92</v>
      </c>
      <c r="F485" s="2">
        <v>83.7</v>
      </c>
      <c r="H485" s="1">
        <f>_xlfn.XLOOKUP('Data Source 1_customer readings'!A485,'Data Source 1_customer readings'!A485:A2883,'Data Source 1_customer readings'!J485:J2883)</f>
        <v>0</v>
      </c>
    </row>
    <row r="486" spans="1:8" x14ac:dyDescent="0.2">
      <c r="A486" s="2" t="s">
        <v>64</v>
      </c>
      <c r="B486" s="2">
        <v>21</v>
      </c>
      <c r="C486" s="2">
        <v>3</v>
      </c>
      <c r="D486" s="2">
        <v>2020</v>
      </c>
      <c r="E486" s="2">
        <v>71.92</v>
      </c>
      <c r="F486" s="2">
        <v>83.08</v>
      </c>
      <c r="H486" s="1">
        <f>_xlfn.XLOOKUP('Data Source 1_customer readings'!A486,'Data Source 1_customer readings'!A486:A2884,'Data Source 1_customer readings'!J486:J2884)</f>
        <v>0</v>
      </c>
    </row>
    <row r="487" spans="1:8" x14ac:dyDescent="0.2">
      <c r="A487" s="2" t="s">
        <v>55</v>
      </c>
      <c r="B487" s="2">
        <v>18</v>
      </c>
      <c r="C487" s="2">
        <v>10</v>
      </c>
      <c r="D487" s="2">
        <v>2020</v>
      </c>
      <c r="E487" s="2">
        <v>71.92</v>
      </c>
      <c r="F487" s="2">
        <v>80.91</v>
      </c>
      <c r="H487" s="1">
        <f>_xlfn.XLOOKUP('Data Source 1_customer readings'!A487,'Data Source 1_customer readings'!A487:A2885,'Data Source 1_customer readings'!J487:J2885)</f>
        <v>0</v>
      </c>
    </row>
    <row r="488" spans="1:8" x14ac:dyDescent="0.2">
      <c r="A488" s="2" t="s">
        <v>77</v>
      </c>
      <c r="B488" s="2">
        <v>16</v>
      </c>
      <c r="C488" s="2">
        <v>4</v>
      </c>
      <c r="D488" s="2">
        <v>2020</v>
      </c>
      <c r="E488" s="2">
        <v>71.7</v>
      </c>
      <c r="F488" s="2">
        <v>101.1</v>
      </c>
      <c r="H488" s="1">
        <f>_xlfn.XLOOKUP('Data Source 1_customer readings'!A488,'Data Source 1_customer readings'!A488:A2886,'Data Source 1_customer readings'!J488:J2886)</f>
        <v>0</v>
      </c>
    </row>
    <row r="489" spans="1:8" x14ac:dyDescent="0.2">
      <c r="A489" s="2" t="s">
        <v>63</v>
      </c>
      <c r="B489" s="2">
        <v>25</v>
      </c>
      <c r="C489" s="2">
        <v>4</v>
      </c>
      <c r="D489" s="2">
        <v>2020</v>
      </c>
      <c r="E489" s="2">
        <v>71.7</v>
      </c>
      <c r="F489" s="2">
        <v>77.7</v>
      </c>
      <c r="H489" s="1">
        <f>_xlfn.XLOOKUP('Data Source 1_customer readings'!A489,'Data Source 1_customer readings'!A489:A2887,'Data Source 1_customer readings'!J489:J2887)</f>
        <v>0</v>
      </c>
    </row>
    <row r="490" spans="1:8" x14ac:dyDescent="0.2">
      <c r="A490" s="2" t="s">
        <v>49</v>
      </c>
      <c r="B490" s="2">
        <v>3</v>
      </c>
      <c r="C490" s="2">
        <v>4</v>
      </c>
      <c r="D490" s="2">
        <v>2020</v>
      </c>
      <c r="E490" s="2">
        <v>71.7</v>
      </c>
      <c r="F490" s="2">
        <v>48.3</v>
      </c>
      <c r="H490" s="1" t="b">
        <f>_xlfn.XLOOKUP('Data Source 1_customer readings'!A490,'Data Source 1_customer readings'!A490:A2888,'Data Source 1_customer readings'!J490:J2888)</f>
        <v>0</v>
      </c>
    </row>
    <row r="491" spans="1:8" x14ac:dyDescent="0.2">
      <c r="A491" s="2" t="s">
        <v>41</v>
      </c>
      <c r="B491" s="2">
        <v>15</v>
      </c>
      <c r="C491" s="2">
        <v>10</v>
      </c>
      <c r="D491" s="2">
        <v>2020</v>
      </c>
      <c r="E491" s="2">
        <v>71.61</v>
      </c>
      <c r="F491" s="2">
        <v>94.86</v>
      </c>
      <c r="H491" s="1">
        <f>_xlfn.XLOOKUP('Data Source 1_customer readings'!A491,'Data Source 1_customer readings'!A491:A2889,'Data Source 1_customer readings'!J491:J2889)</f>
        <v>0</v>
      </c>
    </row>
    <row r="492" spans="1:8" x14ac:dyDescent="0.2">
      <c r="A492" s="2" t="s">
        <v>84</v>
      </c>
      <c r="B492" s="2">
        <v>20</v>
      </c>
      <c r="C492" s="2">
        <v>5</v>
      </c>
      <c r="D492" s="2">
        <v>2020</v>
      </c>
      <c r="E492" s="2">
        <v>71.61</v>
      </c>
      <c r="F492" s="2">
        <v>94.24</v>
      </c>
      <c r="H492" s="1">
        <f>_xlfn.XLOOKUP('Data Source 1_customer readings'!A492,'Data Source 1_customer readings'!A492:A2890,'Data Source 1_customer readings'!J492:J2890)</f>
        <v>0</v>
      </c>
    </row>
    <row r="493" spans="1:8" x14ac:dyDescent="0.2">
      <c r="A493" s="2" t="s">
        <v>72</v>
      </c>
      <c r="B493" s="2">
        <v>22</v>
      </c>
      <c r="C493" s="2">
        <v>4</v>
      </c>
      <c r="D493" s="2">
        <v>2020</v>
      </c>
      <c r="E493" s="2">
        <v>71.400000000000006</v>
      </c>
      <c r="F493" s="2">
        <v>102.9</v>
      </c>
      <c r="H493" s="1">
        <f>_xlfn.XLOOKUP('Data Source 1_customer readings'!A493,'Data Source 1_customer readings'!A493:A2891,'Data Source 1_customer readings'!J493:J2891)</f>
        <v>0</v>
      </c>
    </row>
    <row r="494" spans="1:8" x14ac:dyDescent="0.2">
      <c r="A494" s="2" t="s">
        <v>51</v>
      </c>
      <c r="B494" s="2">
        <v>16</v>
      </c>
      <c r="C494" s="2">
        <v>10</v>
      </c>
      <c r="D494" s="2">
        <v>2020</v>
      </c>
      <c r="E494" s="2">
        <v>71.3</v>
      </c>
      <c r="F494" s="2">
        <v>75.33</v>
      </c>
      <c r="H494" s="1" t="b">
        <f>_xlfn.XLOOKUP('Data Source 1_customer readings'!A494,'Data Source 1_customer readings'!A494:A2892,'Data Source 1_customer readings'!J494:J2892)</f>
        <v>0</v>
      </c>
    </row>
    <row r="495" spans="1:8" x14ac:dyDescent="0.2">
      <c r="A495" s="2" t="s">
        <v>64</v>
      </c>
      <c r="B495" s="2">
        <v>21</v>
      </c>
      <c r="C495" s="2">
        <v>4</v>
      </c>
      <c r="D495" s="2">
        <v>2020</v>
      </c>
      <c r="E495" s="2">
        <v>71.099999999999994</v>
      </c>
      <c r="F495" s="2">
        <v>74.099999999999994</v>
      </c>
      <c r="H495" s="1">
        <f>_xlfn.XLOOKUP('Data Source 1_customer readings'!A495,'Data Source 1_customer readings'!A495:A2893,'Data Source 1_customer readings'!J495:J2893)</f>
        <v>0</v>
      </c>
    </row>
    <row r="496" spans="1:8" x14ac:dyDescent="0.2">
      <c r="A496" s="2" t="s">
        <v>83</v>
      </c>
      <c r="B496" s="2">
        <v>25</v>
      </c>
      <c r="C496" s="2">
        <v>5</v>
      </c>
      <c r="D496" s="2">
        <v>2020</v>
      </c>
      <c r="E496" s="2">
        <v>70.989999999999995</v>
      </c>
      <c r="F496" s="2">
        <v>107.88</v>
      </c>
      <c r="H496" s="1">
        <f>_xlfn.XLOOKUP('Data Source 1_customer readings'!A496,'Data Source 1_customer readings'!A496:A2894,'Data Source 1_customer readings'!J496:J2894)</f>
        <v>0</v>
      </c>
    </row>
    <row r="497" spans="1:8" x14ac:dyDescent="0.2">
      <c r="A497" s="2" t="s">
        <v>44</v>
      </c>
      <c r="B497" s="2">
        <v>1</v>
      </c>
      <c r="C497" s="2">
        <v>10</v>
      </c>
      <c r="D497" s="2">
        <v>2020</v>
      </c>
      <c r="E497" s="2">
        <v>70.989999999999995</v>
      </c>
      <c r="F497" s="2">
        <v>83.39</v>
      </c>
      <c r="H497" s="1">
        <f>_xlfn.XLOOKUP('Data Source 1_customer readings'!A497,'Data Source 1_customer readings'!A497:A2895,'Data Source 1_customer readings'!J497:J2895)</f>
        <v>0</v>
      </c>
    </row>
    <row r="498" spans="1:8" x14ac:dyDescent="0.2">
      <c r="A498" s="2" t="s">
        <v>92</v>
      </c>
      <c r="B498" s="2">
        <v>7</v>
      </c>
      <c r="C498" s="2">
        <v>6</v>
      </c>
      <c r="D498" s="2">
        <v>2020</v>
      </c>
      <c r="E498" s="2">
        <v>70.8</v>
      </c>
      <c r="F498" s="2">
        <v>89.4</v>
      </c>
      <c r="H498" s="1">
        <f>_xlfn.XLOOKUP('Data Source 1_customer readings'!A498,'Data Source 1_customer readings'!A498:A2896,'Data Source 1_customer readings'!J498:J2896)</f>
        <v>0</v>
      </c>
    </row>
    <row r="499" spans="1:8" x14ac:dyDescent="0.2">
      <c r="A499" s="2" t="s">
        <v>51</v>
      </c>
      <c r="B499" s="2">
        <v>16</v>
      </c>
      <c r="C499" s="2">
        <v>4</v>
      </c>
      <c r="D499" s="2">
        <v>2020</v>
      </c>
      <c r="E499" s="2">
        <v>70.8</v>
      </c>
      <c r="F499" s="2">
        <v>68.7</v>
      </c>
      <c r="H499" s="1">
        <f>_xlfn.XLOOKUP('Data Source 1_customer readings'!A499,'Data Source 1_customer readings'!A499:A2897,'Data Source 1_customer readings'!J499:J2897)</f>
        <v>0</v>
      </c>
    </row>
    <row r="500" spans="1:8" x14ac:dyDescent="0.2">
      <c r="A500" s="2" t="s">
        <v>69</v>
      </c>
      <c r="B500" s="2">
        <v>12</v>
      </c>
      <c r="C500" s="2">
        <v>10</v>
      </c>
      <c r="D500" s="2">
        <v>2020</v>
      </c>
      <c r="E500" s="2">
        <v>70.680000000000007</v>
      </c>
      <c r="F500" s="2">
        <v>86.49</v>
      </c>
      <c r="H500" s="1">
        <f>_xlfn.XLOOKUP('Data Source 1_customer readings'!A500,'Data Source 1_customer readings'!A500:A2898,'Data Source 1_customer readings'!J500:J2898)</f>
        <v>0</v>
      </c>
    </row>
    <row r="501" spans="1:8" x14ac:dyDescent="0.2">
      <c r="A501" s="2" t="s">
        <v>66</v>
      </c>
      <c r="B501" s="2">
        <v>23</v>
      </c>
      <c r="C501" s="2">
        <v>10</v>
      </c>
      <c r="D501" s="2">
        <v>2020</v>
      </c>
      <c r="E501" s="2">
        <v>70.680000000000007</v>
      </c>
      <c r="F501" s="2">
        <v>85.25</v>
      </c>
      <c r="H501" s="1">
        <f>_xlfn.XLOOKUP('Data Source 1_customer readings'!A501,'Data Source 1_customer readings'!A501:A2899,'Data Source 1_customer readings'!J501:J2899)</f>
        <v>0</v>
      </c>
    </row>
    <row r="502" spans="1:8" x14ac:dyDescent="0.2">
      <c r="A502" s="2" t="s">
        <v>53</v>
      </c>
      <c r="B502" s="2">
        <v>18</v>
      </c>
      <c r="C502" s="2">
        <v>10</v>
      </c>
      <c r="D502" s="2">
        <v>2020</v>
      </c>
      <c r="E502" s="2">
        <v>70.37</v>
      </c>
      <c r="F502" s="2">
        <v>83.08</v>
      </c>
      <c r="H502" s="1">
        <f>_xlfn.XLOOKUP('Data Source 1_customer readings'!A502,'Data Source 1_customer readings'!A502:A2900,'Data Source 1_customer readings'!J502:J2900)</f>
        <v>0</v>
      </c>
    </row>
    <row r="503" spans="1:8" x14ac:dyDescent="0.2">
      <c r="A503" s="2" t="s">
        <v>36</v>
      </c>
      <c r="B503" s="2">
        <v>12</v>
      </c>
      <c r="C503" s="2">
        <v>3</v>
      </c>
      <c r="D503" s="2">
        <v>2020</v>
      </c>
      <c r="E503" s="2">
        <v>70.37</v>
      </c>
      <c r="F503" s="2">
        <v>82.77</v>
      </c>
      <c r="H503" s="1">
        <f>_xlfn.XLOOKUP('Data Source 1_customer readings'!A503,'Data Source 1_customer readings'!A503:A2901,'Data Source 1_customer readings'!J503:J2901)</f>
        <v>0</v>
      </c>
    </row>
    <row r="504" spans="1:8" x14ac:dyDescent="0.2">
      <c r="A504" s="2" t="s">
        <v>60</v>
      </c>
      <c r="B504" s="2">
        <v>20</v>
      </c>
      <c r="C504" s="2">
        <v>10</v>
      </c>
      <c r="D504" s="2">
        <v>2020</v>
      </c>
      <c r="E504" s="2">
        <v>70.37</v>
      </c>
      <c r="F504" s="2">
        <v>71.92</v>
      </c>
      <c r="H504" s="1">
        <f>_xlfn.XLOOKUP('Data Source 1_customer readings'!A504,'Data Source 1_customer readings'!A504:A2902,'Data Source 1_customer readings'!J504:J2902)</f>
        <v>0</v>
      </c>
    </row>
    <row r="505" spans="1:8" x14ac:dyDescent="0.2">
      <c r="A505" s="2" t="s">
        <v>55</v>
      </c>
      <c r="B505" s="2">
        <v>18</v>
      </c>
      <c r="C505" s="2">
        <v>3</v>
      </c>
      <c r="D505" s="2">
        <v>2020</v>
      </c>
      <c r="E505" s="2">
        <v>70.06</v>
      </c>
      <c r="F505" s="2">
        <v>72.540000000000006</v>
      </c>
      <c r="H505" s="1">
        <f>_xlfn.XLOOKUP('Data Source 1_customer readings'!A505,'Data Source 1_customer readings'!A505:A2903,'Data Source 1_customer readings'!J505:J2903)</f>
        <v>0</v>
      </c>
    </row>
    <row r="506" spans="1:8" x14ac:dyDescent="0.2">
      <c r="A506" s="2" t="s">
        <v>74</v>
      </c>
      <c r="B506" s="2">
        <v>5</v>
      </c>
      <c r="C506" s="2">
        <v>4</v>
      </c>
      <c r="D506" s="2">
        <v>2020</v>
      </c>
      <c r="E506" s="2">
        <v>69.900000000000006</v>
      </c>
      <c r="F506" s="2">
        <v>78</v>
      </c>
      <c r="H506" s="1">
        <f>_xlfn.XLOOKUP('Data Source 1_customer readings'!A506,'Data Source 1_customer readings'!A506:A2904,'Data Source 1_customer readings'!J506:J2904)</f>
        <v>0</v>
      </c>
    </row>
    <row r="507" spans="1:8" x14ac:dyDescent="0.2">
      <c r="A507" s="2" t="s">
        <v>69</v>
      </c>
      <c r="B507" s="2">
        <v>12</v>
      </c>
      <c r="C507" s="2">
        <v>3</v>
      </c>
      <c r="D507" s="2">
        <v>2020</v>
      </c>
      <c r="E507" s="2">
        <v>69.75</v>
      </c>
      <c r="F507" s="2">
        <v>81.22</v>
      </c>
      <c r="H507" s="1">
        <f>_xlfn.XLOOKUP('Data Source 1_customer readings'!A507,'Data Source 1_customer readings'!A507:A2905,'Data Source 1_customer readings'!J507:J2905)</f>
        <v>0</v>
      </c>
    </row>
    <row r="508" spans="1:8" x14ac:dyDescent="0.2">
      <c r="A508" s="2" t="s">
        <v>91</v>
      </c>
      <c r="B508" s="2">
        <v>5</v>
      </c>
      <c r="C508" s="2">
        <v>5</v>
      </c>
      <c r="D508" s="2">
        <v>2020</v>
      </c>
      <c r="E508" s="2">
        <v>69.75</v>
      </c>
      <c r="F508" s="2">
        <v>54.56</v>
      </c>
      <c r="H508" s="1">
        <f>_xlfn.XLOOKUP('Data Source 1_customer readings'!A508,'Data Source 1_customer readings'!A508:A2906,'Data Source 1_customer readings'!J508:J2906)</f>
        <v>0</v>
      </c>
    </row>
    <row r="509" spans="1:8" x14ac:dyDescent="0.2">
      <c r="A509" s="2" t="s">
        <v>41</v>
      </c>
      <c r="B509" s="2">
        <v>15</v>
      </c>
      <c r="C509" s="2">
        <v>3</v>
      </c>
      <c r="D509" s="2">
        <v>2020</v>
      </c>
      <c r="E509" s="2">
        <v>69.44</v>
      </c>
      <c r="F509" s="2">
        <v>109.12</v>
      </c>
      <c r="H509" s="1">
        <f>_xlfn.XLOOKUP('Data Source 1_customer readings'!A509,'Data Source 1_customer readings'!A509:A2907,'Data Source 1_customer readings'!J509:J2907)</f>
        <v>0</v>
      </c>
    </row>
    <row r="510" spans="1:8" x14ac:dyDescent="0.2">
      <c r="A510" s="2" t="s">
        <v>67</v>
      </c>
      <c r="B510" s="2">
        <v>13</v>
      </c>
      <c r="C510" s="2">
        <v>3</v>
      </c>
      <c r="D510" s="2">
        <v>2020</v>
      </c>
      <c r="E510" s="2">
        <v>69.44</v>
      </c>
      <c r="F510" s="2">
        <v>86.49</v>
      </c>
      <c r="H510" s="1">
        <f>_xlfn.XLOOKUP('Data Source 1_customer readings'!A510,'Data Source 1_customer readings'!A510:A2908,'Data Source 1_customer readings'!J510:J2908)</f>
        <v>0</v>
      </c>
    </row>
    <row r="511" spans="1:8" x14ac:dyDescent="0.2">
      <c r="A511" s="2" t="s">
        <v>83</v>
      </c>
      <c r="B511" s="2">
        <v>25</v>
      </c>
      <c r="C511" s="2">
        <v>9</v>
      </c>
      <c r="D511" s="2">
        <v>2020</v>
      </c>
      <c r="E511" s="2">
        <v>69.3</v>
      </c>
      <c r="F511" s="2">
        <v>116.4</v>
      </c>
      <c r="H511" s="1" t="b">
        <f>_xlfn.XLOOKUP('Data Source 1_customer readings'!A511,'Data Source 1_customer readings'!A511:A2909,'Data Source 1_customer readings'!J511:J2909)</f>
        <v>0</v>
      </c>
    </row>
    <row r="512" spans="1:8" x14ac:dyDescent="0.2">
      <c r="A512" s="2" t="s">
        <v>90</v>
      </c>
      <c r="B512" s="2">
        <v>18</v>
      </c>
      <c r="C512" s="2">
        <v>9</v>
      </c>
      <c r="D512" s="2">
        <v>2020</v>
      </c>
      <c r="E512" s="2">
        <v>69.3</v>
      </c>
      <c r="F512" s="2">
        <v>93.6</v>
      </c>
      <c r="H512" s="1">
        <f>_xlfn.XLOOKUP('Data Source 1_customer readings'!A512,'Data Source 1_customer readings'!A512:A2910,'Data Source 1_customer readings'!J512:J2910)</f>
        <v>0</v>
      </c>
    </row>
    <row r="513" spans="1:8" x14ac:dyDescent="0.2">
      <c r="A513" s="2" t="s">
        <v>69</v>
      </c>
      <c r="B513" s="2">
        <v>12</v>
      </c>
      <c r="C513" s="2">
        <v>4</v>
      </c>
      <c r="D513" s="2">
        <v>2020</v>
      </c>
      <c r="E513" s="2">
        <v>69.3</v>
      </c>
      <c r="F513" s="2">
        <v>80.400000000000006</v>
      </c>
      <c r="H513" s="1">
        <f>_xlfn.XLOOKUP('Data Source 1_customer readings'!A513,'Data Source 1_customer readings'!A513:A2911,'Data Source 1_customer readings'!J513:J2911)</f>
        <v>0</v>
      </c>
    </row>
    <row r="514" spans="1:8" x14ac:dyDescent="0.2">
      <c r="A514" s="2" t="s">
        <v>91</v>
      </c>
      <c r="B514" s="2">
        <v>5</v>
      </c>
      <c r="C514" s="2">
        <v>9</v>
      </c>
      <c r="D514" s="2">
        <v>2020</v>
      </c>
      <c r="E514" s="2">
        <v>69</v>
      </c>
      <c r="F514" s="2">
        <v>51.9</v>
      </c>
      <c r="H514" s="1">
        <f>_xlfn.XLOOKUP('Data Source 1_customer readings'!A514,'Data Source 1_customer readings'!A514:A2912,'Data Source 1_customer readings'!J514:J2912)</f>
        <v>0</v>
      </c>
    </row>
    <row r="515" spans="1:8" x14ac:dyDescent="0.2">
      <c r="A515" s="2" t="s">
        <v>57</v>
      </c>
      <c r="B515" s="2">
        <v>17</v>
      </c>
      <c r="C515" s="2">
        <v>10</v>
      </c>
      <c r="D515" s="2">
        <v>2020</v>
      </c>
      <c r="E515" s="2">
        <v>68.819999999999993</v>
      </c>
      <c r="F515" s="2">
        <v>87.42</v>
      </c>
      <c r="H515" s="1">
        <f>_xlfn.XLOOKUP('Data Source 1_customer readings'!A515,'Data Source 1_customer readings'!A515:A2913,'Data Source 1_customer readings'!J515:J2913)</f>
        <v>0</v>
      </c>
    </row>
    <row r="516" spans="1:8" x14ac:dyDescent="0.2">
      <c r="A516" s="2" t="s">
        <v>51</v>
      </c>
      <c r="B516" s="2">
        <v>16</v>
      </c>
      <c r="C516" s="2">
        <v>3</v>
      </c>
      <c r="D516" s="2">
        <v>2020</v>
      </c>
      <c r="E516" s="2">
        <v>68.819999999999993</v>
      </c>
      <c r="F516" s="2">
        <v>65.72</v>
      </c>
      <c r="H516" s="1">
        <f>_xlfn.XLOOKUP('Data Source 1_customer readings'!A516,'Data Source 1_customer readings'!A516:A2914,'Data Source 1_customer readings'!J516:J2914)</f>
        <v>0</v>
      </c>
    </row>
    <row r="517" spans="1:8" x14ac:dyDescent="0.2">
      <c r="A517" s="2" t="s">
        <v>65</v>
      </c>
      <c r="B517" s="2">
        <v>11</v>
      </c>
      <c r="C517" s="2">
        <v>4</v>
      </c>
      <c r="D517" s="2">
        <v>2020</v>
      </c>
      <c r="E517" s="2">
        <v>68.7</v>
      </c>
      <c r="F517" s="2">
        <v>78.3</v>
      </c>
      <c r="H517" s="1">
        <f>_xlfn.XLOOKUP('Data Source 1_customer readings'!A517,'Data Source 1_customer readings'!A517:A2915,'Data Source 1_customer readings'!J517:J2915)</f>
        <v>0</v>
      </c>
    </row>
    <row r="518" spans="1:8" x14ac:dyDescent="0.2">
      <c r="A518" s="2" t="s">
        <v>49</v>
      </c>
      <c r="B518" s="2">
        <v>3</v>
      </c>
      <c r="C518" s="2">
        <v>10</v>
      </c>
      <c r="D518" s="2">
        <v>2020</v>
      </c>
      <c r="E518" s="2">
        <v>68.510000000000005</v>
      </c>
      <c r="F518" s="2">
        <v>52.39</v>
      </c>
      <c r="H518" s="1">
        <f>_xlfn.XLOOKUP('Data Source 1_customer readings'!A518,'Data Source 1_customer readings'!A518:A2916,'Data Source 1_customer readings'!J518:J2916)</f>
        <v>0</v>
      </c>
    </row>
    <row r="519" spans="1:8" x14ac:dyDescent="0.2">
      <c r="A519" s="2" t="s">
        <v>73</v>
      </c>
      <c r="B519" s="2">
        <v>5</v>
      </c>
      <c r="C519" s="2">
        <v>4</v>
      </c>
      <c r="D519" s="2">
        <v>2020</v>
      </c>
      <c r="E519" s="2">
        <v>68.400000000000006</v>
      </c>
      <c r="F519" s="2">
        <v>74.7</v>
      </c>
      <c r="H519" s="1">
        <f>_xlfn.XLOOKUP('Data Source 1_customer readings'!A519,'Data Source 1_customer readings'!A519:A2917,'Data Source 1_customer readings'!J519:J2917)</f>
        <v>0</v>
      </c>
    </row>
    <row r="520" spans="1:8" x14ac:dyDescent="0.2">
      <c r="A520" s="2" t="s">
        <v>88</v>
      </c>
      <c r="B520" s="2">
        <v>23</v>
      </c>
      <c r="C520" s="2">
        <v>5</v>
      </c>
      <c r="D520" s="2">
        <v>2020</v>
      </c>
      <c r="E520" s="2">
        <v>68.2</v>
      </c>
      <c r="F520" s="2">
        <v>97.34</v>
      </c>
      <c r="H520" s="1">
        <f>_xlfn.XLOOKUP('Data Source 1_customer readings'!A520,'Data Source 1_customer readings'!A520:A2918,'Data Source 1_customer readings'!J520:J2918)</f>
        <v>0</v>
      </c>
    </row>
    <row r="521" spans="1:8" x14ac:dyDescent="0.2">
      <c r="A521" s="2" t="s">
        <v>93</v>
      </c>
      <c r="B521" s="2">
        <v>3</v>
      </c>
      <c r="C521" s="2">
        <v>6</v>
      </c>
      <c r="D521" s="2">
        <v>2020</v>
      </c>
      <c r="E521" s="2">
        <v>68.099999999999994</v>
      </c>
      <c r="F521" s="2">
        <v>95.1</v>
      </c>
      <c r="H521" s="1">
        <f>_xlfn.XLOOKUP('Data Source 1_customer readings'!A521,'Data Source 1_customer readings'!A521:A2919,'Data Source 1_customer readings'!J521:J2919)</f>
        <v>0</v>
      </c>
    </row>
    <row r="522" spans="1:8" x14ac:dyDescent="0.2">
      <c r="A522" s="2" t="s">
        <v>68</v>
      </c>
      <c r="B522" s="2">
        <v>11</v>
      </c>
      <c r="C522" s="2">
        <v>10</v>
      </c>
      <c r="D522" s="2">
        <v>2020</v>
      </c>
      <c r="E522" s="2">
        <v>67.89</v>
      </c>
      <c r="F522" s="2">
        <v>96.41</v>
      </c>
      <c r="H522" s="1">
        <f>_xlfn.XLOOKUP('Data Source 1_customer readings'!A522,'Data Source 1_customer readings'!A522:A2920,'Data Source 1_customer readings'!J522:J2920)</f>
        <v>0</v>
      </c>
    </row>
    <row r="523" spans="1:8" x14ac:dyDescent="0.2">
      <c r="A523" s="2" t="s">
        <v>35</v>
      </c>
      <c r="B523" s="2">
        <v>9</v>
      </c>
      <c r="C523" s="2">
        <v>10</v>
      </c>
      <c r="D523" s="2">
        <v>2020</v>
      </c>
      <c r="E523" s="2">
        <v>67.89</v>
      </c>
      <c r="F523" s="2">
        <v>76.569999999999993</v>
      </c>
      <c r="H523" s="1" t="b">
        <f>_xlfn.XLOOKUP('Data Source 1_customer readings'!A523,'Data Source 1_customer readings'!A523:A2921,'Data Source 1_customer readings'!J523:J2921)</f>
        <v>0</v>
      </c>
    </row>
    <row r="524" spans="1:8" x14ac:dyDescent="0.2">
      <c r="A524" s="2" t="s">
        <v>60</v>
      </c>
      <c r="B524" s="2">
        <v>20</v>
      </c>
      <c r="C524" s="2">
        <v>3</v>
      </c>
      <c r="D524" s="2">
        <v>2020</v>
      </c>
      <c r="E524" s="2">
        <v>67.58</v>
      </c>
      <c r="F524" s="2">
        <v>79.67</v>
      </c>
      <c r="H524" s="1" t="b">
        <f>_xlfn.XLOOKUP('Data Source 1_customer readings'!A524,'Data Source 1_customer readings'!A524:A2922,'Data Source 1_customer readings'!J524:J2922)</f>
        <v>0</v>
      </c>
    </row>
    <row r="525" spans="1:8" x14ac:dyDescent="0.2">
      <c r="A525" s="2" t="s">
        <v>36</v>
      </c>
      <c r="B525" s="2">
        <v>12</v>
      </c>
      <c r="C525" s="2">
        <v>10</v>
      </c>
      <c r="D525" s="2">
        <v>2020</v>
      </c>
      <c r="E525" s="2">
        <v>67.58</v>
      </c>
      <c r="F525" s="2">
        <v>66.03</v>
      </c>
      <c r="H525" s="1">
        <f>_xlfn.XLOOKUP('Data Source 1_customer readings'!A525,'Data Source 1_customer readings'!A525:A2923,'Data Source 1_customer readings'!J525:J2923)</f>
        <v>0</v>
      </c>
    </row>
    <row r="526" spans="1:8" x14ac:dyDescent="0.2">
      <c r="A526" s="2" t="s">
        <v>42</v>
      </c>
      <c r="B526" s="2">
        <v>12</v>
      </c>
      <c r="C526" s="2">
        <v>4</v>
      </c>
      <c r="D526" s="2">
        <v>2020</v>
      </c>
      <c r="E526" s="2">
        <v>67.5</v>
      </c>
      <c r="F526" s="2">
        <v>82.2</v>
      </c>
      <c r="H526" s="1">
        <f>_xlfn.XLOOKUP('Data Source 1_customer readings'!A526,'Data Source 1_customer readings'!A526:A2924,'Data Source 1_customer readings'!J526:J2924)</f>
        <v>0</v>
      </c>
    </row>
    <row r="527" spans="1:8" x14ac:dyDescent="0.2">
      <c r="A527" s="2" t="s">
        <v>42</v>
      </c>
      <c r="B527" s="2">
        <v>12</v>
      </c>
      <c r="C527" s="2">
        <v>3</v>
      </c>
      <c r="D527" s="2">
        <v>2020</v>
      </c>
      <c r="E527" s="2">
        <v>67.27</v>
      </c>
      <c r="F527" s="2">
        <v>68.2</v>
      </c>
      <c r="H527" s="1">
        <f>_xlfn.XLOOKUP('Data Source 1_customer readings'!A527,'Data Source 1_customer readings'!A527:A2925,'Data Source 1_customer readings'!J527:J2925)</f>
        <v>0</v>
      </c>
    </row>
    <row r="528" spans="1:8" x14ac:dyDescent="0.2">
      <c r="A528" s="2" t="s">
        <v>54</v>
      </c>
      <c r="B528" s="2">
        <v>5</v>
      </c>
      <c r="C528" s="2">
        <v>3</v>
      </c>
      <c r="D528" s="2">
        <v>2020</v>
      </c>
      <c r="E528" s="2">
        <v>66.959999999999994</v>
      </c>
      <c r="F528" s="2">
        <v>93.62</v>
      </c>
      <c r="H528" s="1">
        <f>_xlfn.XLOOKUP('Data Source 1_customer readings'!A528,'Data Source 1_customer readings'!A528:A2926,'Data Source 1_customer readings'!J528:J2926)</f>
        <v>0</v>
      </c>
    </row>
    <row r="529" spans="1:8" x14ac:dyDescent="0.2">
      <c r="A529" s="2" t="s">
        <v>36</v>
      </c>
      <c r="B529" s="2">
        <v>12</v>
      </c>
      <c r="C529" s="2">
        <v>4</v>
      </c>
      <c r="D529" s="2">
        <v>2020</v>
      </c>
      <c r="E529" s="2">
        <v>66.900000000000006</v>
      </c>
      <c r="F529" s="2">
        <v>81.3</v>
      </c>
      <c r="H529" s="1">
        <f>_xlfn.XLOOKUP('Data Source 1_customer readings'!A529,'Data Source 1_customer readings'!A529:A2927,'Data Source 1_customer readings'!J529:J2927)</f>
        <v>0</v>
      </c>
    </row>
    <row r="530" spans="1:8" x14ac:dyDescent="0.2">
      <c r="A530" s="2" t="s">
        <v>91</v>
      </c>
      <c r="B530" s="2">
        <v>5</v>
      </c>
      <c r="C530" s="2">
        <v>7</v>
      </c>
      <c r="D530" s="2">
        <v>2020</v>
      </c>
      <c r="E530" s="2">
        <v>66.650000000000006</v>
      </c>
      <c r="F530" s="2">
        <v>74.400000000000006</v>
      </c>
      <c r="H530" s="1" t="b">
        <f>_xlfn.XLOOKUP('Data Source 1_customer readings'!A530,'Data Source 1_customer readings'!A530:A2928,'Data Source 1_customer readings'!J530:J2928)</f>
        <v>0</v>
      </c>
    </row>
    <row r="531" spans="1:8" x14ac:dyDescent="0.2">
      <c r="A531" s="2" t="s">
        <v>44</v>
      </c>
      <c r="B531" s="2">
        <v>1</v>
      </c>
      <c r="C531" s="2">
        <v>4</v>
      </c>
      <c r="D531" s="2">
        <v>2020</v>
      </c>
      <c r="E531" s="2">
        <v>66.599999999999994</v>
      </c>
      <c r="F531" s="2">
        <v>92.1</v>
      </c>
      <c r="H531" s="1">
        <f>_xlfn.XLOOKUP('Data Source 1_customer readings'!A531,'Data Source 1_customer readings'!A531:A2929,'Data Source 1_customer readings'!J531:J2929)</f>
        <v>0</v>
      </c>
    </row>
    <row r="532" spans="1:8" x14ac:dyDescent="0.2">
      <c r="A532" s="2" t="s">
        <v>57</v>
      </c>
      <c r="B532" s="2">
        <v>17</v>
      </c>
      <c r="C532" s="2">
        <v>4</v>
      </c>
      <c r="D532" s="2">
        <v>2020</v>
      </c>
      <c r="E532" s="2">
        <v>66.599999999999994</v>
      </c>
      <c r="F532" s="2">
        <v>84.3</v>
      </c>
      <c r="H532" s="1">
        <f>_xlfn.XLOOKUP('Data Source 1_customer readings'!A532,'Data Source 1_customer readings'!A532:A2930,'Data Source 1_customer readings'!J532:J2930)</f>
        <v>0</v>
      </c>
    </row>
    <row r="533" spans="1:8" x14ac:dyDescent="0.2">
      <c r="A533" s="2" t="s">
        <v>40</v>
      </c>
      <c r="B533" s="2">
        <v>15</v>
      </c>
      <c r="C533" s="2">
        <v>3</v>
      </c>
      <c r="D533" s="2">
        <v>2020</v>
      </c>
      <c r="E533" s="2">
        <v>66.34</v>
      </c>
      <c r="F533" s="2">
        <v>85.56</v>
      </c>
      <c r="H533" s="1">
        <f>_xlfn.XLOOKUP('Data Source 1_customer readings'!A533,'Data Source 1_customer readings'!A533:A2931,'Data Source 1_customer readings'!J533:J2931)</f>
        <v>0</v>
      </c>
    </row>
    <row r="534" spans="1:8" x14ac:dyDescent="0.2">
      <c r="A534" s="2" t="s">
        <v>56</v>
      </c>
      <c r="B534" s="2">
        <v>14</v>
      </c>
      <c r="C534" s="2">
        <v>3</v>
      </c>
      <c r="D534" s="2">
        <v>2020</v>
      </c>
      <c r="E534" s="2">
        <v>66.34</v>
      </c>
      <c r="F534" s="2">
        <v>85.25</v>
      </c>
      <c r="H534" s="1" t="b">
        <f>_xlfn.XLOOKUP('Data Source 1_customer readings'!A534,'Data Source 1_customer readings'!A534:A2932,'Data Source 1_customer readings'!J534:J2932)</f>
        <v>0</v>
      </c>
    </row>
    <row r="535" spans="1:8" x14ac:dyDescent="0.2">
      <c r="A535" s="2" t="s">
        <v>50</v>
      </c>
      <c r="B535" s="2">
        <v>24</v>
      </c>
      <c r="C535" s="2">
        <v>3</v>
      </c>
      <c r="D535" s="2">
        <v>2020</v>
      </c>
      <c r="E535" s="2">
        <v>66.34</v>
      </c>
      <c r="F535" s="2">
        <v>75.33</v>
      </c>
      <c r="H535" s="1">
        <f>_xlfn.XLOOKUP('Data Source 1_customer readings'!A535,'Data Source 1_customer readings'!A535:A2933,'Data Source 1_customer readings'!J535:J2933)</f>
        <v>0</v>
      </c>
    </row>
    <row r="536" spans="1:8" x14ac:dyDescent="0.2">
      <c r="A536" s="2" t="s">
        <v>60</v>
      </c>
      <c r="B536" s="2">
        <v>20</v>
      </c>
      <c r="C536" s="2">
        <v>4</v>
      </c>
      <c r="D536" s="2">
        <v>2020</v>
      </c>
      <c r="E536" s="2">
        <v>66.3</v>
      </c>
      <c r="F536" s="2">
        <v>80.7</v>
      </c>
      <c r="H536" s="1" t="b">
        <f>_xlfn.XLOOKUP('Data Source 1_customer readings'!A536,'Data Source 1_customer readings'!A536:A2934,'Data Source 1_customer readings'!J536:J2934)</f>
        <v>1</v>
      </c>
    </row>
    <row r="537" spans="1:8" x14ac:dyDescent="0.2">
      <c r="A537" s="2" t="s">
        <v>52</v>
      </c>
      <c r="B537" s="2">
        <v>1</v>
      </c>
      <c r="C537" s="2">
        <v>4</v>
      </c>
      <c r="D537" s="2">
        <v>2020</v>
      </c>
      <c r="E537" s="2">
        <v>66.3</v>
      </c>
      <c r="F537" s="2">
        <v>77.400000000000006</v>
      </c>
      <c r="H537" s="1" t="b">
        <f>_xlfn.XLOOKUP('Data Source 1_customer readings'!A537,'Data Source 1_customer readings'!A537:A2935,'Data Source 1_customer readings'!J537:J2935)</f>
        <v>0</v>
      </c>
    </row>
    <row r="538" spans="1:8" x14ac:dyDescent="0.2">
      <c r="A538" s="2" t="s">
        <v>35</v>
      </c>
      <c r="B538" s="2">
        <v>9</v>
      </c>
      <c r="C538" s="2">
        <v>3</v>
      </c>
      <c r="D538" s="2">
        <v>2020</v>
      </c>
      <c r="E538" s="2">
        <v>65.72</v>
      </c>
      <c r="F538" s="2">
        <v>85.25</v>
      </c>
      <c r="H538" s="1">
        <f>_xlfn.XLOOKUP('Data Source 1_customer readings'!A538,'Data Source 1_customer readings'!A538:A2936,'Data Source 1_customer readings'!J538:J2936)</f>
        <v>0</v>
      </c>
    </row>
    <row r="539" spans="1:8" x14ac:dyDescent="0.2">
      <c r="A539" s="2" t="s">
        <v>85</v>
      </c>
      <c r="B539" s="2">
        <v>3</v>
      </c>
      <c r="C539" s="2">
        <v>5</v>
      </c>
      <c r="D539" s="2">
        <v>2020</v>
      </c>
      <c r="E539" s="2">
        <v>65.72</v>
      </c>
      <c r="F539" s="2">
        <v>69.13</v>
      </c>
      <c r="H539" s="1">
        <f>_xlfn.XLOOKUP('Data Source 1_customer readings'!A539,'Data Source 1_customer readings'!A539:A2937,'Data Source 1_customer readings'!J539:J2937)</f>
        <v>0</v>
      </c>
    </row>
    <row r="540" spans="1:8" x14ac:dyDescent="0.2">
      <c r="A540" s="2" t="s">
        <v>48</v>
      </c>
      <c r="B540" s="2">
        <v>24</v>
      </c>
      <c r="C540" s="2">
        <v>3</v>
      </c>
      <c r="D540" s="2">
        <v>2020</v>
      </c>
      <c r="E540" s="2">
        <v>65.72</v>
      </c>
      <c r="F540" s="2">
        <v>66.03</v>
      </c>
      <c r="H540" s="1">
        <f>_xlfn.XLOOKUP('Data Source 1_customer readings'!A540,'Data Source 1_customer readings'!A540:A2938,'Data Source 1_customer readings'!J540:J2938)</f>
        <v>0</v>
      </c>
    </row>
    <row r="541" spans="1:8" x14ac:dyDescent="0.2">
      <c r="A541" s="2" t="s">
        <v>61</v>
      </c>
      <c r="B541" s="2">
        <v>23</v>
      </c>
      <c r="C541" s="2">
        <v>4</v>
      </c>
      <c r="D541" s="2">
        <v>2020</v>
      </c>
      <c r="E541" s="2">
        <v>65.7</v>
      </c>
      <c r="F541" s="2">
        <v>95.1</v>
      </c>
      <c r="H541" s="1">
        <f>_xlfn.XLOOKUP('Data Source 1_customer readings'!A541,'Data Source 1_customer readings'!A541:A2939,'Data Source 1_customer readings'!J541:J2939)</f>
        <v>0</v>
      </c>
    </row>
    <row r="542" spans="1:8" x14ac:dyDescent="0.2">
      <c r="A542" s="2" t="s">
        <v>91</v>
      </c>
      <c r="B542" s="2">
        <v>5</v>
      </c>
      <c r="C542" s="2">
        <v>6</v>
      </c>
      <c r="D542" s="2">
        <v>2020</v>
      </c>
      <c r="E542" s="2">
        <v>65.7</v>
      </c>
      <c r="F542" s="2">
        <v>53.4</v>
      </c>
      <c r="H542" s="1">
        <f>_xlfn.XLOOKUP('Data Source 1_customer readings'!A542,'Data Source 1_customer readings'!A542:A2940,'Data Source 1_customer readings'!J542:J2940)</f>
        <v>0</v>
      </c>
    </row>
    <row r="543" spans="1:8" x14ac:dyDescent="0.2">
      <c r="A543" s="2" t="s">
        <v>92</v>
      </c>
      <c r="B543" s="2">
        <v>7</v>
      </c>
      <c r="C543" s="2">
        <v>8</v>
      </c>
      <c r="D543" s="2">
        <v>2020</v>
      </c>
      <c r="E543" s="2">
        <v>65.41</v>
      </c>
      <c r="F543" s="2">
        <v>77.19</v>
      </c>
      <c r="H543" s="1">
        <f>_xlfn.XLOOKUP('Data Source 1_customer readings'!A543,'Data Source 1_customer readings'!A543:A2941,'Data Source 1_customer readings'!J543:J2941)</f>
        <v>0</v>
      </c>
    </row>
    <row r="544" spans="1:8" x14ac:dyDescent="0.2">
      <c r="A544" s="2" t="s">
        <v>49</v>
      </c>
      <c r="B544" s="2">
        <v>3</v>
      </c>
      <c r="C544" s="2">
        <v>3</v>
      </c>
      <c r="D544" s="2">
        <v>2020</v>
      </c>
      <c r="E544" s="2">
        <v>65.41</v>
      </c>
      <c r="F544" s="2">
        <v>60.14</v>
      </c>
      <c r="H544" s="1">
        <f>_xlfn.XLOOKUP('Data Source 1_customer readings'!A544,'Data Source 1_customer readings'!A544:A2942,'Data Source 1_customer readings'!J544:J2942)</f>
        <v>0</v>
      </c>
    </row>
    <row r="545" spans="1:8" x14ac:dyDescent="0.2">
      <c r="A545" s="2" t="s">
        <v>84</v>
      </c>
      <c r="B545" s="2">
        <v>20</v>
      </c>
      <c r="C545" s="2">
        <v>9</v>
      </c>
      <c r="D545" s="2">
        <v>2020</v>
      </c>
      <c r="E545" s="2">
        <v>65.400000000000006</v>
      </c>
      <c r="F545" s="2">
        <v>91.2</v>
      </c>
      <c r="H545" s="1" t="b">
        <f>_xlfn.XLOOKUP('Data Source 1_customer readings'!A545,'Data Source 1_customer readings'!A545:A2943,'Data Source 1_customer readings'!J545:J2943)</f>
        <v>0</v>
      </c>
    </row>
    <row r="546" spans="1:8" x14ac:dyDescent="0.2">
      <c r="A546" s="2" t="s">
        <v>43</v>
      </c>
      <c r="B546" s="2">
        <v>15</v>
      </c>
      <c r="C546" s="2">
        <v>4</v>
      </c>
      <c r="D546" s="2">
        <v>2020</v>
      </c>
      <c r="E546" s="2">
        <v>65.099999999999994</v>
      </c>
      <c r="F546" s="2">
        <v>89.4</v>
      </c>
      <c r="H546" s="1">
        <f>_xlfn.XLOOKUP('Data Source 1_customer readings'!A546,'Data Source 1_customer readings'!A546:A2944,'Data Source 1_customer readings'!J546:J2944)</f>
        <v>0</v>
      </c>
    </row>
    <row r="547" spans="1:8" x14ac:dyDescent="0.2">
      <c r="A547" s="2" t="s">
        <v>63</v>
      </c>
      <c r="B547" s="2">
        <v>25</v>
      </c>
      <c r="C547" s="2">
        <v>10</v>
      </c>
      <c r="D547" s="2">
        <v>2020</v>
      </c>
      <c r="E547" s="2">
        <v>65.099999999999994</v>
      </c>
      <c r="F547" s="2">
        <v>88.04</v>
      </c>
      <c r="H547" s="1">
        <f>_xlfn.XLOOKUP('Data Source 1_customer readings'!A547,'Data Source 1_customer readings'!A547:A2945,'Data Source 1_customer readings'!J547:J2945)</f>
        <v>0</v>
      </c>
    </row>
    <row r="548" spans="1:8" x14ac:dyDescent="0.2">
      <c r="A548" s="2" t="s">
        <v>47</v>
      </c>
      <c r="B548" s="2">
        <v>19</v>
      </c>
      <c r="C548" s="2">
        <v>3</v>
      </c>
      <c r="D548" s="2">
        <v>2020</v>
      </c>
      <c r="E548" s="2">
        <v>65.099999999999994</v>
      </c>
      <c r="F548" s="2">
        <v>80.599999999999994</v>
      </c>
      <c r="H548" s="1">
        <f>_xlfn.XLOOKUP('Data Source 1_customer readings'!A548,'Data Source 1_customer readings'!A548:A2946,'Data Source 1_customer readings'!J548:J2946)</f>
        <v>0</v>
      </c>
    </row>
    <row r="549" spans="1:8" x14ac:dyDescent="0.2">
      <c r="A549" s="2" t="s">
        <v>59</v>
      </c>
      <c r="B549" s="2">
        <v>11</v>
      </c>
      <c r="C549" s="2">
        <v>10</v>
      </c>
      <c r="D549" s="2">
        <v>2020</v>
      </c>
      <c r="E549" s="2">
        <v>64.790000000000006</v>
      </c>
      <c r="F549" s="2">
        <v>88.97</v>
      </c>
      <c r="H549" s="1">
        <f>_xlfn.XLOOKUP('Data Source 1_customer readings'!A549,'Data Source 1_customer readings'!A549:A2947,'Data Source 1_customer readings'!J549:J2947)</f>
        <v>0</v>
      </c>
    </row>
    <row r="550" spans="1:8" x14ac:dyDescent="0.2">
      <c r="A550" s="2" t="s">
        <v>59</v>
      </c>
      <c r="B550" s="2">
        <v>11</v>
      </c>
      <c r="C550" s="2">
        <v>3</v>
      </c>
      <c r="D550" s="2">
        <v>2020</v>
      </c>
      <c r="E550" s="2">
        <v>64.790000000000006</v>
      </c>
      <c r="F550" s="2">
        <v>72.23</v>
      </c>
      <c r="H550" s="1">
        <f>_xlfn.XLOOKUP('Data Source 1_customer readings'!A550,'Data Source 1_customer readings'!A550:A2948,'Data Source 1_customer readings'!J550:J2948)</f>
        <v>0</v>
      </c>
    </row>
    <row r="551" spans="1:8" x14ac:dyDescent="0.2">
      <c r="A551" s="2" t="s">
        <v>34</v>
      </c>
      <c r="B551" s="2">
        <v>4</v>
      </c>
      <c r="C551" s="2">
        <v>3</v>
      </c>
      <c r="D551" s="2">
        <v>2020</v>
      </c>
      <c r="E551" s="2">
        <v>64.790000000000006</v>
      </c>
      <c r="F551" s="2">
        <v>61.69</v>
      </c>
      <c r="H551" s="1">
        <f>_xlfn.XLOOKUP('Data Source 1_customer readings'!A551,'Data Source 1_customer readings'!A551:A2949,'Data Source 1_customer readings'!J551:J2949)</f>
        <v>0</v>
      </c>
    </row>
    <row r="552" spans="1:8" x14ac:dyDescent="0.2">
      <c r="A552" s="2" t="s">
        <v>67</v>
      </c>
      <c r="B552" s="2">
        <v>13</v>
      </c>
      <c r="C552" s="2">
        <v>10</v>
      </c>
      <c r="D552" s="2">
        <v>2020</v>
      </c>
      <c r="E552" s="2">
        <v>64.48</v>
      </c>
      <c r="F552" s="2">
        <v>88.97</v>
      </c>
      <c r="H552" s="1">
        <f>_xlfn.XLOOKUP('Data Source 1_customer readings'!A552,'Data Source 1_customer readings'!A552:A2950,'Data Source 1_customer readings'!J552:J2950)</f>
        <v>0</v>
      </c>
    </row>
    <row r="553" spans="1:8" x14ac:dyDescent="0.2">
      <c r="A553" s="2" t="s">
        <v>48</v>
      </c>
      <c r="B553" s="2">
        <v>24</v>
      </c>
      <c r="C553" s="2">
        <v>10</v>
      </c>
      <c r="D553" s="2">
        <v>2020</v>
      </c>
      <c r="E553" s="2">
        <v>64.48</v>
      </c>
      <c r="F553" s="2">
        <v>84.63</v>
      </c>
      <c r="H553" s="1">
        <f>_xlfn.XLOOKUP('Data Source 1_customer readings'!A553,'Data Source 1_customer readings'!A553:A2951,'Data Source 1_customer readings'!J553:J2951)</f>
        <v>0</v>
      </c>
    </row>
    <row r="554" spans="1:8" x14ac:dyDescent="0.2">
      <c r="A554" s="2" t="s">
        <v>39</v>
      </c>
      <c r="B554" s="2">
        <v>22</v>
      </c>
      <c r="C554" s="2">
        <v>3</v>
      </c>
      <c r="D554" s="2">
        <v>2020</v>
      </c>
      <c r="E554" s="2">
        <v>64.48</v>
      </c>
      <c r="F554" s="2">
        <v>60.45</v>
      </c>
      <c r="H554" s="1">
        <f>_xlfn.XLOOKUP('Data Source 1_customer readings'!A554,'Data Source 1_customer readings'!A554:A2952,'Data Source 1_customer readings'!J554:J2952)</f>
        <v>0</v>
      </c>
    </row>
    <row r="555" spans="1:8" x14ac:dyDescent="0.2">
      <c r="A555" s="2" t="s">
        <v>37</v>
      </c>
      <c r="B555" s="2">
        <v>12</v>
      </c>
      <c r="C555" s="2">
        <v>4</v>
      </c>
      <c r="D555" s="2">
        <v>2020</v>
      </c>
      <c r="E555" s="2">
        <v>64.2</v>
      </c>
      <c r="F555" s="2">
        <v>65.7</v>
      </c>
      <c r="H555" s="1">
        <f>_xlfn.XLOOKUP('Data Source 1_customer readings'!A555,'Data Source 1_customer readings'!A555:A2953,'Data Source 1_customer readings'!J555:J2953)</f>
        <v>0</v>
      </c>
    </row>
    <row r="556" spans="1:8" x14ac:dyDescent="0.2">
      <c r="A556" s="2" t="s">
        <v>43</v>
      </c>
      <c r="B556" s="2">
        <v>15</v>
      </c>
      <c r="C556" s="2">
        <v>3</v>
      </c>
      <c r="D556" s="2">
        <v>2020</v>
      </c>
      <c r="E556" s="2">
        <v>64.17</v>
      </c>
      <c r="F556" s="2">
        <v>98.27</v>
      </c>
      <c r="H556" s="1">
        <f>_xlfn.XLOOKUP('Data Source 1_customer readings'!A556,'Data Source 1_customer readings'!A556:A2954,'Data Source 1_customer readings'!J556:J2954)</f>
        <v>0</v>
      </c>
    </row>
    <row r="557" spans="1:8" x14ac:dyDescent="0.2">
      <c r="A557" s="2" t="s">
        <v>46</v>
      </c>
      <c r="B557" s="2">
        <v>9</v>
      </c>
      <c r="C557" s="2">
        <v>3</v>
      </c>
      <c r="D557" s="2">
        <v>2020</v>
      </c>
      <c r="E557" s="2">
        <v>64.17</v>
      </c>
      <c r="F557" s="2">
        <v>69.44</v>
      </c>
      <c r="H557" s="1">
        <f>_xlfn.XLOOKUP('Data Source 1_customer readings'!A557,'Data Source 1_customer readings'!A557:A2955,'Data Source 1_customer readings'!J557:J2955)</f>
        <v>0</v>
      </c>
    </row>
    <row r="558" spans="1:8" x14ac:dyDescent="0.2">
      <c r="A558" s="2" t="s">
        <v>90</v>
      </c>
      <c r="B558" s="2">
        <v>18</v>
      </c>
      <c r="C558" s="2">
        <v>7</v>
      </c>
      <c r="D558" s="2">
        <v>2020</v>
      </c>
      <c r="E558" s="2">
        <v>63.86</v>
      </c>
      <c r="F558" s="2">
        <v>94.86</v>
      </c>
      <c r="H558" s="1">
        <f>_xlfn.XLOOKUP('Data Source 1_customer readings'!A558,'Data Source 1_customer readings'!A558:A2956,'Data Source 1_customer readings'!J558:J2956)</f>
        <v>0</v>
      </c>
    </row>
    <row r="559" spans="1:8" x14ac:dyDescent="0.2">
      <c r="A559" s="2" t="s">
        <v>45</v>
      </c>
      <c r="B559" s="2">
        <v>18</v>
      </c>
      <c r="C559" s="2">
        <v>10</v>
      </c>
      <c r="D559" s="2">
        <v>2020</v>
      </c>
      <c r="E559" s="2">
        <v>63.86</v>
      </c>
      <c r="F559" s="2">
        <v>59.83</v>
      </c>
      <c r="H559" s="1">
        <f>_xlfn.XLOOKUP('Data Source 1_customer readings'!A559,'Data Source 1_customer readings'!A559:A2957,'Data Source 1_customer readings'!J559:J2957)</f>
        <v>0</v>
      </c>
    </row>
    <row r="560" spans="1:8" x14ac:dyDescent="0.2">
      <c r="A560" s="2" t="s">
        <v>48</v>
      </c>
      <c r="B560" s="2">
        <v>24</v>
      </c>
      <c r="C560" s="2">
        <v>4</v>
      </c>
      <c r="D560" s="2">
        <v>2020</v>
      </c>
      <c r="E560" s="2">
        <v>63.6</v>
      </c>
      <c r="F560" s="2">
        <v>82.2</v>
      </c>
      <c r="H560" s="1">
        <f>_xlfn.XLOOKUP('Data Source 1_customer readings'!A560,'Data Source 1_customer readings'!A560:A2958,'Data Source 1_customer readings'!J560:J2958)</f>
        <v>0</v>
      </c>
    </row>
    <row r="561" spans="1:8" x14ac:dyDescent="0.2">
      <c r="A561" s="2" t="s">
        <v>89</v>
      </c>
      <c r="B561" s="2">
        <v>2</v>
      </c>
      <c r="C561" s="2">
        <v>9</v>
      </c>
      <c r="D561" s="2">
        <v>2020</v>
      </c>
      <c r="E561" s="2">
        <v>63.6</v>
      </c>
      <c r="F561" s="2">
        <v>63.9</v>
      </c>
      <c r="H561" s="1">
        <f>_xlfn.XLOOKUP('Data Source 1_customer readings'!A561,'Data Source 1_customer readings'!A561:A2959,'Data Source 1_customer readings'!J561:J2959)</f>
        <v>0</v>
      </c>
    </row>
    <row r="562" spans="1:8" x14ac:dyDescent="0.2">
      <c r="A562" s="2" t="s">
        <v>52</v>
      </c>
      <c r="B562" s="2">
        <v>1</v>
      </c>
      <c r="C562" s="2">
        <v>10</v>
      </c>
      <c r="D562" s="2">
        <v>2020</v>
      </c>
      <c r="E562" s="2">
        <v>63.55</v>
      </c>
      <c r="F562" s="2">
        <v>84.94</v>
      </c>
      <c r="H562" s="1">
        <f>_xlfn.XLOOKUP('Data Source 1_customer readings'!A562,'Data Source 1_customer readings'!A562:A2960,'Data Source 1_customer readings'!J562:J2960)</f>
        <v>0</v>
      </c>
    </row>
    <row r="563" spans="1:8" x14ac:dyDescent="0.2">
      <c r="A563" s="2" t="s">
        <v>44</v>
      </c>
      <c r="B563" s="2">
        <v>1</v>
      </c>
      <c r="C563" s="2">
        <v>3</v>
      </c>
      <c r="D563" s="2">
        <v>2020</v>
      </c>
      <c r="E563" s="2">
        <v>63.24</v>
      </c>
      <c r="F563" s="2">
        <v>93</v>
      </c>
      <c r="H563" s="1">
        <f>_xlfn.XLOOKUP('Data Source 1_customer readings'!A563,'Data Source 1_customer readings'!A563:A2961,'Data Source 1_customer readings'!J563:J2961)</f>
        <v>0</v>
      </c>
    </row>
    <row r="564" spans="1:8" x14ac:dyDescent="0.2">
      <c r="A564" s="2" t="s">
        <v>87</v>
      </c>
      <c r="B564" s="2">
        <v>1</v>
      </c>
      <c r="C564" s="2">
        <v>5</v>
      </c>
      <c r="D564" s="2">
        <v>2020</v>
      </c>
      <c r="E564" s="2">
        <v>63.24</v>
      </c>
      <c r="F564" s="2">
        <v>86.18</v>
      </c>
      <c r="H564" s="1">
        <f>_xlfn.XLOOKUP('Data Source 1_customer readings'!A564,'Data Source 1_customer readings'!A564:A2962,'Data Source 1_customer readings'!J564:J2962)</f>
        <v>0</v>
      </c>
    </row>
    <row r="565" spans="1:8" x14ac:dyDescent="0.2">
      <c r="A565" s="2" t="s">
        <v>88</v>
      </c>
      <c r="B565" s="2">
        <v>23</v>
      </c>
      <c r="C565" s="2">
        <v>6</v>
      </c>
      <c r="D565" s="2">
        <v>2020</v>
      </c>
      <c r="E565" s="2">
        <v>62.7</v>
      </c>
      <c r="F565" s="2">
        <v>99.3</v>
      </c>
      <c r="H565" s="1">
        <f>_xlfn.XLOOKUP('Data Source 1_customer readings'!A565,'Data Source 1_customer readings'!A565:A2963,'Data Source 1_customer readings'!J565:J2963)</f>
        <v>0</v>
      </c>
    </row>
    <row r="566" spans="1:8" x14ac:dyDescent="0.2">
      <c r="A566" s="2" t="s">
        <v>80</v>
      </c>
      <c r="B566" s="2">
        <v>12</v>
      </c>
      <c r="C566" s="2">
        <v>5</v>
      </c>
      <c r="D566" s="2">
        <v>2020</v>
      </c>
      <c r="E566" s="2">
        <v>62.62</v>
      </c>
      <c r="F566" s="2">
        <v>81.22</v>
      </c>
      <c r="H566" s="1">
        <f>_xlfn.XLOOKUP('Data Source 1_customer readings'!A566,'Data Source 1_customer readings'!A566:A2964,'Data Source 1_customer readings'!J566:J2964)</f>
        <v>0</v>
      </c>
    </row>
    <row r="567" spans="1:8" x14ac:dyDescent="0.2">
      <c r="A567" s="2" t="s">
        <v>53</v>
      </c>
      <c r="B567" s="2">
        <v>18</v>
      </c>
      <c r="C567" s="2">
        <v>4</v>
      </c>
      <c r="D567" s="2">
        <v>2020</v>
      </c>
      <c r="E567" s="2">
        <v>62.4</v>
      </c>
      <c r="F567" s="2">
        <v>72.599999999999994</v>
      </c>
      <c r="H567" s="1" t="b">
        <f>_xlfn.XLOOKUP('Data Source 1_customer readings'!A567,'Data Source 1_customer readings'!A567:A2965,'Data Source 1_customer readings'!J567:J2965)</f>
        <v>0</v>
      </c>
    </row>
    <row r="568" spans="1:8" x14ac:dyDescent="0.2">
      <c r="A568" s="2" t="s">
        <v>37</v>
      </c>
      <c r="B568" s="2">
        <v>12</v>
      </c>
      <c r="C568" s="2">
        <v>3</v>
      </c>
      <c r="D568" s="2">
        <v>2020</v>
      </c>
      <c r="E568" s="2">
        <v>62.31</v>
      </c>
      <c r="F568" s="2">
        <v>70.06</v>
      </c>
      <c r="H568" s="1">
        <f>_xlfn.XLOOKUP('Data Source 1_customer readings'!A568,'Data Source 1_customer readings'!A568:A2966,'Data Source 1_customer readings'!J568:J2966)</f>
        <v>0</v>
      </c>
    </row>
    <row r="569" spans="1:8" x14ac:dyDescent="0.2">
      <c r="A569" s="2" t="s">
        <v>50</v>
      </c>
      <c r="B569" s="2">
        <v>24</v>
      </c>
      <c r="C569" s="2">
        <v>4</v>
      </c>
      <c r="D569" s="2">
        <v>2020</v>
      </c>
      <c r="E569" s="2">
        <v>62.1</v>
      </c>
      <c r="F569" s="2">
        <v>80.099999999999994</v>
      </c>
      <c r="H569" s="1">
        <f>_xlfn.XLOOKUP('Data Source 1_customer readings'!A569,'Data Source 1_customer readings'!A569:A2967,'Data Source 1_customer readings'!J569:J2967)</f>
        <v>0</v>
      </c>
    </row>
    <row r="570" spans="1:8" x14ac:dyDescent="0.2">
      <c r="A570" s="2" t="s">
        <v>59</v>
      </c>
      <c r="B570" s="2">
        <v>11</v>
      </c>
      <c r="C570" s="2">
        <v>4</v>
      </c>
      <c r="D570" s="2">
        <v>2020</v>
      </c>
      <c r="E570" s="2">
        <v>62.1</v>
      </c>
      <c r="F570" s="2">
        <v>75</v>
      </c>
      <c r="H570" s="1">
        <f>_xlfn.XLOOKUP('Data Source 1_customer readings'!A570,'Data Source 1_customer readings'!A570:A2968,'Data Source 1_customer readings'!J570:J2968)</f>
        <v>0</v>
      </c>
    </row>
    <row r="571" spans="1:8" x14ac:dyDescent="0.2">
      <c r="A571" s="2" t="s">
        <v>47</v>
      </c>
      <c r="B571" s="2">
        <v>19</v>
      </c>
      <c r="C571" s="2">
        <v>4</v>
      </c>
      <c r="D571" s="2">
        <v>2020</v>
      </c>
      <c r="E571" s="2">
        <v>62.1</v>
      </c>
      <c r="F571" s="2">
        <v>72</v>
      </c>
      <c r="H571" s="1">
        <f>_xlfn.XLOOKUP('Data Source 1_customer readings'!A571,'Data Source 1_customer readings'!A571:A2969,'Data Source 1_customer readings'!J571:J2969)</f>
        <v>0</v>
      </c>
    </row>
    <row r="572" spans="1:8" x14ac:dyDescent="0.2">
      <c r="A572" s="2" t="s">
        <v>37</v>
      </c>
      <c r="B572" s="2">
        <v>12</v>
      </c>
      <c r="C572" s="2">
        <v>10</v>
      </c>
      <c r="D572" s="2">
        <v>2020</v>
      </c>
      <c r="E572" s="2">
        <v>62</v>
      </c>
      <c r="F572" s="2">
        <v>79.98</v>
      </c>
      <c r="H572" s="1">
        <f>_xlfn.XLOOKUP('Data Source 1_customer readings'!A572,'Data Source 1_customer readings'!A572:A2970,'Data Source 1_customer readings'!J572:J2970)</f>
        <v>0</v>
      </c>
    </row>
    <row r="573" spans="1:8" x14ac:dyDescent="0.2">
      <c r="A573" s="2" t="s">
        <v>45</v>
      </c>
      <c r="B573" s="2">
        <v>18</v>
      </c>
      <c r="C573" s="2">
        <v>3</v>
      </c>
      <c r="D573" s="2">
        <v>2020</v>
      </c>
      <c r="E573" s="2">
        <v>62</v>
      </c>
      <c r="F573" s="2">
        <v>74.09</v>
      </c>
      <c r="H573" s="1">
        <f>_xlfn.XLOOKUP('Data Source 1_customer readings'!A573,'Data Source 1_customer readings'!A573:A2971,'Data Source 1_customer readings'!J573:J2971)</f>
        <v>0</v>
      </c>
    </row>
    <row r="574" spans="1:8" x14ac:dyDescent="0.2">
      <c r="A574" s="2" t="s">
        <v>89</v>
      </c>
      <c r="B574" s="2">
        <v>2</v>
      </c>
      <c r="C574" s="2">
        <v>5</v>
      </c>
      <c r="D574" s="2">
        <v>2020</v>
      </c>
      <c r="E574" s="2">
        <v>62</v>
      </c>
      <c r="F574" s="2">
        <v>73.78</v>
      </c>
      <c r="H574" s="1">
        <f>_xlfn.XLOOKUP('Data Source 1_customer readings'!A574,'Data Source 1_customer readings'!A574:A2972,'Data Source 1_customer readings'!J574:J2972)</f>
        <v>0</v>
      </c>
    </row>
    <row r="575" spans="1:8" x14ac:dyDescent="0.2">
      <c r="A575" s="2" t="s">
        <v>88</v>
      </c>
      <c r="B575" s="2">
        <v>23</v>
      </c>
      <c r="C575" s="2">
        <v>7</v>
      </c>
      <c r="D575" s="2">
        <v>2020</v>
      </c>
      <c r="E575" s="2">
        <v>61.69</v>
      </c>
      <c r="F575" s="2">
        <v>108.19</v>
      </c>
      <c r="H575" s="1" t="b">
        <f>_xlfn.XLOOKUP('Data Source 1_customer readings'!A575,'Data Source 1_customer readings'!A575:A2973,'Data Source 1_customer readings'!J575:J2973)</f>
        <v>0</v>
      </c>
    </row>
    <row r="576" spans="1:8" x14ac:dyDescent="0.2">
      <c r="A576" s="2" t="s">
        <v>86</v>
      </c>
      <c r="B576" s="2">
        <v>6</v>
      </c>
      <c r="C576" s="2">
        <v>5</v>
      </c>
      <c r="D576" s="2">
        <v>2020</v>
      </c>
      <c r="E576" s="2">
        <v>61.38</v>
      </c>
      <c r="F576" s="2">
        <v>114.39</v>
      </c>
      <c r="H576" s="1">
        <f>_xlfn.XLOOKUP('Data Source 1_customer readings'!A576,'Data Source 1_customer readings'!A576:A2974,'Data Source 1_customer readings'!J576:J2974)</f>
        <v>0</v>
      </c>
    </row>
    <row r="577" spans="1:8" x14ac:dyDescent="0.2">
      <c r="A577" s="2" t="s">
        <v>90</v>
      </c>
      <c r="B577" s="2">
        <v>18</v>
      </c>
      <c r="C577" s="2">
        <v>5</v>
      </c>
      <c r="D577" s="2">
        <v>2020</v>
      </c>
      <c r="E577" s="2">
        <v>61.38</v>
      </c>
      <c r="F577" s="2">
        <v>92.07</v>
      </c>
      <c r="H577" s="1" t="b">
        <f>_xlfn.XLOOKUP('Data Source 1_customer readings'!A577,'Data Source 1_customer readings'!A577:A2975,'Data Source 1_customer readings'!J577:J2975)</f>
        <v>0</v>
      </c>
    </row>
    <row r="578" spans="1:8" x14ac:dyDescent="0.2">
      <c r="A578" s="2" t="s">
        <v>41</v>
      </c>
      <c r="B578" s="2">
        <v>15</v>
      </c>
      <c r="C578" s="2">
        <v>4</v>
      </c>
      <c r="D578" s="2">
        <v>2020</v>
      </c>
      <c r="E578" s="2">
        <v>61.2</v>
      </c>
      <c r="F578" s="2">
        <v>90.6</v>
      </c>
      <c r="H578" s="1">
        <f>_xlfn.XLOOKUP('Data Source 1_customer readings'!A578,'Data Source 1_customer readings'!A578:A2976,'Data Source 1_customer readings'!J578:J2976)</f>
        <v>0</v>
      </c>
    </row>
    <row r="579" spans="1:8" x14ac:dyDescent="0.2">
      <c r="A579" s="2" t="s">
        <v>55</v>
      </c>
      <c r="B579" s="2">
        <v>18</v>
      </c>
      <c r="C579" s="2">
        <v>4</v>
      </c>
      <c r="D579" s="2">
        <v>2020</v>
      </c>
      <c r="E579" s="2">
        <v>61.2</v>
      </c>
      <c r="F579" s="2">
        <v>69.599999999999994</v>
      </c>
      <c r="H579" s="1" t="b">
        <f>_xlfn.XLOOKUP('Data Source 1_customer readings'!A579,'Data Source 1_customer readings'!A579:A2977,'Data Source 1_customer readings'!J579:J2977)</f>
        <v>0</v>
      </c>
    </row>
    <row r="580" spans="1:8" x14ac:dyDescent="0.2">
      <c r="A580" s="2" t="s">
        <v>54</v>
      </c>
      <c r="B580" s="2">
        <v>5</v>
      </c>
      <c r="C580" s="2">
        <v>4</v>
      </c>
      <c r="D580" s="2">
        <v>2020</v>
      </c>
      <c r="E580" s="2">
        <v>60.9</v>
      </c>
      <c r="F580" s="2">
        <v>104.4</v>
      </c>
      <c r="H580" s="1">
        <f>_xlfn.XLOOKUP('Data Source 1_customer readings'!A580,'Data Source 1_customer readings'!A580:A2978,'Data Source 1_customer readings'!J580:J2978)</f>
        <v>0</v>
      </c>
    </row>
    <row r="581" spans="1:8" x14ac:dyDescent="0.2">
      <c r="A581" s="2" t="s">
        <v>89</v>
      </c>
      <c r="B581" s="2">
        <v>2</v>
      </c>
      <c r="C581" s="2">
        <v>6</v>
      </c>
      <c r="D581" s="2">
        <v>2020</v>
      </c>
      <c r="E581" s="2">
        <v>60.6</v>
      </c>
      <c r="F581" s="2">
        <v>68.099999999999994</v>
      </c>
      <c r="H581" s="1">
        <f>_xlfn.XLOOKUP('Data Source 1_customer readings'!A581,'Data Source 1_customer readings'!A581:A2979,'Data Source 1_customer readings'!J581:J2979)</f>
        <v>0</v>
      </c>
    </row>
    <row r="582" spans="1:8" x14ac:dyDescent="0.2">
      <c r="A582" s="2" t="s">
        <v>89</v>
      </c>
      <c r="B582" s="2">
        <v>2</v>
      </c>
      <c r="C582" s="2">
        <v>8</v>
      </c>
      <c r="D582" s="2">
        <v>2020</v>
      </c>
      <c r="E582" s="2">
        <v>60.45</v>
      </c>
      <c r="F582" s="2">
        <v>75.33</v>
      </c>
      <c r="H582" s="1">
        <f>_xlfn.XLOOKUP('Data Source 1_customer readings'!A582,'Data Source 1_customer readings'!A582:A2980,'Data Source 1_customer readings'!J582:J2980)</f>
        <v>0</v>
      </c>
    </row>
    <row r="583" spans="1:8" x14ac:dyDescent="0.2">
      <c r="A583" s="2" t="s">
        <v>56</v>
      </c>
      <c r="B583" s="2">
        <v>14</v>
      </c>
      <c r="C583" s="2">
        <v>4</v>
      </c>
      <c r="D583" s="2">
        <v>2020</v>
      </c>
      <c r="E583" s="2">
        <v>60.3</v>
      </c>
      <c r="F583" s="2">
        <v>72.900000000000006</v>
      </c>
      <c r="H583" s="1">
        <f>_xlfn.XLOOKUP('Data Source 1_customer readings'!A583,'Data Source 1_customer readings'!A583:A2981,'Data Source 1_customer readings'!J583:J2981)</f>
        <v>0</v>
      </c>
    </row>
    <row r="584" spans="1:8" x14ac:dyDescent="0.2">
      <c r="A584" s="2" t="s">
        <v>91</v>
      </c>
      <c r="B584" s="2">
        <v>5</v>
      </c>
      <c r="C584" s="2">
        <v>8</v>
      </c>
      <c r="D584" s="2">
        <v>2020</v>
      </c>
      <c r="E584" s="2">
        <v>60.14</v>
      </c>
      <c r="F584" s="2">
        <v>72.540000000000006</v>
      </c>
      <c r="H584" s="1" t="b">
        <f>_xlfn.XLOOKUP('Data Source 1_customer readings'!A584,'Data Source 1_customer readings'!A584:A2982,'Data Source 1_customer readings'!J584:J2982)</f>
        <v>0</v>
      </c>
    </row>
    <row r="585" spans="1:8" x14ac:dyDescent="0.2">
      <c r="A585" s="2" t="s">
        <v>38</v>
      </c>
      <c r="B585" s="2">
        <v>21</v>
      </c>
      <c r="C585" s="2">
        <v>3</v>
      </c>
      <c r="D585" s="2">
        <v>2020</v>
      </c>
      <c r="E585" s="2">
        <v>60.14</v>
      </c>
      <c r="F585" s="2">
        <v>71.3</v>
      </c>
      <c r="H585" s="1">
        <f>_xlfn.XLOOKUP('Data Source 1_customer readings'!A585,'Data Source 1_customer readings'!A585:A2983,'Data Source 1_customer readings'!J585:J2983)</f>
        <v>0</v>
      </c>
    </row>
    <row r="586" spans="1:8" x14ac:dyDescent="0.2">
      <c r="A586" s="2" t="s">
        <v>87</v>
      </c>
      <c r="B586" s="2">
        <v>1</v>
      </c>
      <c r="C586" s="2">
        <v>9</v>
      </c>
      <c r="D586" s="2">
        <v>2020</v>
      </c>
      <c r="E586" s="2">
        <v>60</v>
      </c>
      <c r="F586" s="2">
        <v>79.2</v>
      </c>
      <c r="H586" s="1">
        <f>_xlfn.XLOOKUP('Data Source 1_customer readings'!A586,'Data Source 1_customer readings'!A586:A2984,'Data Source 1_customer readings'!J586:J2984)</f>
        <v>0</v>
      </c>
    </row>
    <row r="587" spans="1:8" x14ac:dyDescent="0.2">
      <c r="A587" s="2" t="s">
        <v>46</v>
      </c>
      <c r="B587" s="2">
        <v>9</v>
      </c>
      <c r="C587" s="2">
        <v>4</v>
      </c>
      <c r="D587" s="2">
        <v>2020</v>
      </c>
      <c r="E587" s="2">
        <v>60</v>
      </c>
      <c r="F587" s="2">
        <v>66</v>
      </c>
      <c r="H587" s="1">
        <f>_xlfn.XLOOKUP('Data Source 1_customer readings'!A587,'Data Source 1_customer readings'!A587:A2985,'Data Source 1_customer readings'!J587:J2985)</f>
        <v>0</v>
      </c>
    </row>
    <row r="588" spans="1:8" x14ac:dyDescent="0.2">
      <c r="A588" s="2" t="s">
        <v>42</v>
      </c>
      <c r="B588" s="2">
        <v>12</v>
      </c>
      <c r="C588" s="2">
        <v>10</v>
      </c>
      <c r="D588" s="2">
        <v>2020</v>
      </c>
      <c r="E588" s="2">
        <v>59.52</v>
      </c>
      <c r="F588" s="2">
        <v>70.680000000000007</v>
      </c>
      <c r="H588" s="1">
        <f>_xlfn.XLOOKUP('Data Source 1_customer readings'!A588,'Data Source 1_customer readings'!A588:A2986,'Data Source 1_customer readings'!J588:J2986)</f>
        <v>0</v>
      </c>
    </row>
    <row r="589" spans="1:8" x14ac:dyDescent="0.2">
      <c r="A589" s="2" t="s">
        <v>45</v>
      </c>
      <c r="B589" s="2">
        <v>18</v>
      </c>
      <c r="C589" s="2">
        <v>4</v>
      </c>
      <c r="D589" s="2">
        <v>2020</v>
      </c>
      <c r="E589" s="2">
        <v>59.4</v>
      </c>
      <c r="F589" s="2">
        <v>74.099999999999994</v>
      </c>
      <c r="H589" s="1">
        <f>_xlfn.XLOOKUP('Data Source 1_customer readings'!A589,'Data Source 1_customer readings'!A589:A2987,'Data Source 1_customer readings'!J589:J2987)</f>
        <v>0</v>
      </c>
    </row>
    <row r="590" spans="1:8" x14ac:dyDescent="0.2">
      <c r="A590" s="2" t="s">
        <v>77</v>
      </c>
      <c r="B590" s="2">
        <v>16</v>
      </c>
      <c r="C590" s="2">
        <v>5</v>
      </c>
      <c r="D590" s="2">
        <v>2020</v>
      </c>
      <c r="E590" s="2">
        <v>59.21</v>
      </c>
      <c r="F590" s="2">
        <v>97.65</v>
      </c>
      <c r="H590" s="1">
        <f>_xlfn.XLOOKUP('Data Source 1_customer readings'!A590,'Data Source 1_customer readings'!A590:A2988,'Data Source 1_customer readings'!J590:J2988)</f>
        <v>0</v>
      </c>
    </row>
    <row r="591" spans="1:8" x14ac:dyDescent="0.2">
      <c r="A591" s="2" t="s">
        <v>43</v>
      </c>
      <c r="B591" s="2">
        <v>15</v>
      </c>
      <c r="C591" s="2">
        <v>10</v>
      </c>
      <c r="D591" s="2">
        <v>2020</v>
      </c>
      <c r="E591" s="2">
        <v>59.21</v>
      </c>
      <c r="F591" s="2">
        <v>83.39</v>
      </c>
      <c r="H591" s="1">
        <f>_xlfn.XLOOKUP('Data Source 1_customer readings'!A591,'Data Source 1_customer readings'!A591:A2989,'Data Source 1_customer readings'!J591:J2989)</f>
        <v>0</v>
      </c>
    </row>
    <row r="592" spans="1:8" x14ac:dyDescent="0.2">
      <c r="A592" s="2" t="s">
        <v>67</v>
      </c>
      <c r="B592" s="2">
        <v>13</v>
      </c>
      <c r="C592" s="2">
        <v>4</v>
      </c>
      <c r="D592" s="2">
        <v>2020</v>
      </c>
      <c r="E592" s="2">
        <v>59.1</v>
      </c>
      <c r="F592" s="2">
        <v>86.1</v>
      </c>
      <c r="H592" s="1">
        <f>_xlfn.XLOOKUP('Data Source 1_customer readings'!A592,'Data Source 1_customer readings'!A592:A2990,'Data Source 1_customer readings'!J592:J2990)</f>
        <v>0</v>
      </c>
    </row>
    <row r="593" spans="1:8" x14ac:dyDescent="0.2">
      <c r="A593" s="2" t="s">
        <v>52</v>
      </c>
      <c r="B593" s="2">
        <v>1</v>
      </c>
      <c r="C593" s="2">
        <v>3</v>
      </c>
      <c r="D593" s="2">
        <v>2020</v>
      </c>
      <c r="E593" s="2">
        <v>58.9</v>
      </c>
      <c r="F593" s="2">
        <v>78.430000000000007</v>
      </c>
      <c r="H593" s="1">
        <f>_xlfn.XLOOKUP('Data Source 1_customer readings'!A593,'Data Source 1_customer readings'!A593:A2991,'Data Source 1_customer readings'!J593:J2991)</f>
        <v>0</v>
      </c>
    </row>
    <row r="594" spans="1:8" x14ac:dyDescent="0.2">
      <c r="A594" s="2" t="s">
        <v>79</v>
      </c>
      <c r="B594" s="2">
        <v>3</v>
      </c>
      <c r="C594" s="2">
        <v>5</v>
      </c>
      <c r="D594" s="2">
        <v>2020</v>
      </c>
      <c r="E594" s="2">
        <v>58.59</v>
      </c>
      <c r="F594" s="2">
        <v>91.76</v>
      </c>
      <c r="H594" s="1">
        <f>_xlfn.XLOOKUP('Data Source 1_customer readings'!A594,'Data Source 1_customer readings'!A594:A2992,'Data Source 1_customer readings'!J594:J2992)</f>
        <v>0</v>
      </c>
    </row>
    <row r="595" spans="1:8" x14ac:dyDescent="0.2">
      <c r="A595" s="2" t="s">
        <v>47</v>
      </c>
      <c r="B595" s="2">
        <v>19</v>
      </c>
      <c r="C595" s="2">
        <v>10</v>
      </c>
      <c r="D595" s="2">
        <v>2020</v>
      </c>
      <c r="E595" s="2">
        <v>58.28</v>
      </c>
      <c r="F595" s="2">
        <v>68.819999999999993</v>
      </c>
      <c r="H595" s="1" t="b">
        <f>_xlfn.XLOOKUP('Data Source 1_customer readings'!A595,'Data Source 1_customer readings'!A595:A2993,'Data Source 1_customer readings'!J595:J2993)</f>
        <v>0</v>
      </c>
    </row>
    <row r="596" spans="1:8" x14ac:dyDescent="0.2">
      <c r="A596" s="2" t="s">
        <v>88</v>
      </c>
      <c r="B596" s="2">
        <v>23</v>
      </c>
      <c r="C596" s="2">
        <v>9</v>
      </c>
      <c r="D596" s="2">
        <v>2020</v>
      </c>
      <c r="E596" s="2">
        <v>58.2</v>
      </c>
      <c r="F596" s="2">
        <v>99.9</v>
      </c>
      <c r="H596" s="1">
        <f>_xlfn.XLOOKUP('Data Source 1_customer readings'!A596,'Data Source 1_customer readings'!A596:A2994,'Data Source 1_customer readings'!J596:J2994)</f>
        <v>0</v>
      </c>
    </row>
    <row r="597" spans="1:8" x14ac:dyDescent="0.2">
      <c r="A597" s="2" t="s">
        <v>72</v>
      </c>
      <c r="B597" s="2">
        <v>22</v>
      </c>
      <c r="C597" s="2">
        <v>9</v>
      </c>
      <c r="D597" s="2">
        <v>2020</v>
      </c>
      <c r="E597" s="2">
        <v>58.2</v>
      </c>
      <c r="F597" s="2">
        <v>91.2</v>
      </c>
      <c r="H597" s="1">
        <f>_xlfn.XLOOKUP('Data Source 1_customer readings'!A597,'Data Source 1_customer readings'!A597:A2995,'Data Source 1_customer readings'!J597:J2995)</f>
        <v>0</v>
      </c>
    </row>
    <row r="598" spans="1:8" x14ac:dyDescent="0.2">
      <c r="A598" s="2" t="s">
        <v>90</v>
      </c>
      <c r="B598" s="2">
        <v>18</v>
      </c>
      <c r="C598" s="2">
        <v>6</v>
      </c>
      <c r="D598" s="2">
        <v>2020</v>
      </c>
      <c r="E598" s="2">
        <v>58.2</v>
      </c>
      <c r="F598" s="2">
        <v>88.2</v>
      </c>
      <c r="H598" s="1">
        <f>_xlfn.XLOOKUP('Data Source 1_customer readings'!A598,'Data Source 1_customer readings'!A598:A2996,'Data Source 1_customer readings'!J598:J2996)</f>
        <v>0</v>
      </c>
    </row>
    <row r="599" spans="1:8" x14ac:dyDescent="0.2">
      <c r="A599" s="2" t="s">
        <v>90</v>
      </c>
      <c r="B599" s="2">
        <v>18</v>
      </c>
      <c r="C599" s="2">
        <v>8</v>
      </c>
      <c r="D599" s="2">
        <v>2020</v>
      </c>
      <c r="E599" s="2">
        <v>57.97</v>
      </c>
      <c r="F599" s="2">
        <v>92.38</v>
      </c>
      <c r="H599" s="1">
        <f>_xlfn.XLOOKUP('Data Source 1_customer readings'!A599,'Data Source 1_customer readings'!A599:A2997,'Data Source 1_customer readings'!J599:J2997)</f>
        <v>0</v>
      </c>
    </row>
    <row r="600" spans="1:8" x14ac:dyDescent="0.2">
      <c r="A600" s="2" t="s">
        <v>80</v>
      </c>
      <c r="B600" s="2">
        <v>12</v>
      </c>
      <c r="C600" s="2">
        <v>9</v>
      </c>
      <c r="D600" s="2">
        <v>2020</v>
      </c>
      <c r="E600" s="2">
        <v>57.9</v>
      </c>
      <c r="F600" s="2">
        <v>70.8</v>
      </c>
      <c r="H600" s="1">
        <f>_xlfn.XLOOKUP('Data Source 1_customer readings'!A600,'Data Source 1_customer readings'!A600:A2998,'Data Source 1_customer readings'!J600:J2998)</f>
        <v>0</v>
      </c>
    </row>
    <row r="601" spans="1:8" x14ac:dyDescent="0.2">
      <c r="A601" s="2" t="s">
        <v>72</v>
      </c>
      <c r="B601" s="2">
        <v>22</v>
      </c>
      <c r="C601" s="2">
        <v>5</v>
      </c>
      <c r="D601" s="2">
        <v>2020</v>
      </c>
      <c r="E601" s="2">
        <v>57.66</v>
      </c>
      <c r="F601" s="2">
        <v>98.89</v>
      </c>
      <c r="H601" s="1">
        <f>_xlfn.XLOOKUP('Data Source 1_customer readings'!A601,'Data Source 1_customer readings'!A601:A2999,'Data Source 1_customer readings'!J601:J2999)</f>
        <v>0</v>
      </c>
    </row>
    <row r="602" spans="1:8" x14ac:dyDescent="0.2">
      <c r="A602" s="2" t="s">
        <v>89</v>
      </c>
      <c r="B602" s="2">
        <v>2</v>
      </c>
      <c r="C602" s="2">
        <v>7</v>
      </c>
      <c r="D602" s="2">
        <v>2020</v>
      </c>
      <c r="E602" s="2">
        <v>57.35</v>
      </c>
      <c r="F602" s="2">
        <v>71.92</v>
      </c>
      <c r="H602" s="1">
        <f>_xlfn.XLOOKUP('Data Source 1_customer readings'!A602,'Data Source 1_customer readings'!A602:A3000,'Data Source 1_customer readings'!J602:J3000)</f>
        <v>0</v>
      </c>
    </row>
    <row r="603" spans="1:8" x14ac:dyDescent="0.2">
      <c r="A603" s="2" t="s">
        <v>38</v>
      </c>
      <c r="B603" s="2">
        <v>21</v>
      </c>
      <c r="C603" s="2">
        <v>4</v>
      </c>
      <c r="D603" s="2">
        <v>2020</v>
      </c>
      <c r="E603" s="2">
        <v>57.3</v>
      </c>
      <c r="F603" s="2">
        <v>69</v>
      </c>
      <c r="H603" s="1">
        <f>_xlfn.XLOOKUP('Data Source 1_customer readings'!A603,'Data Source 1_customer readings'!A603:A3001,'Data Source 1_customer readings'!J603:J3001)</f>
        <v>0</v>
      </c>
    </row>
    <row r="604" spans="1:8" x14ac:dyDescent="0.2">
      <c r="A604" s="2" t="s">
        <v>84</v>
      </c>
      <c r="B604" s="2">
        <v>20</v>
      </c>
      <c r="C604" s="2">
        <v>8</v>
      </c>
      <c r="D604" s="2">
        <v>2020</v>
      </c>
      <c r="E604" s="2">
        <v>57.04</v>
      </c>
      <c r="F604" s="2">
        <v>77.19</v>
      </c>
      <c r="H604" s="1">
        <f>_xlfn.XLOOKUP('Data Source 1_customer readings'!A604,'Data Source 1_customer readings'!A604:A3002,'Data Source 1_customer readings'!J604:J3002)</f>
        <v>0</v>
      </c>
    </row>
    <row r="605" spans="1:8" x14ac:dyDescent="0.2">
      <c r="A605" s="2" t="s">
        <v>85</v>
      </c>
      <c r="B605" s="2">
        <v>3</v>
      </c>
      <c r="C605" s="2">
        <v>9</v>
      </c>
      <c r="D605" s="2">
        <v>2020</v>
      </c>
      <c r="E605" s="2">
        <v>56.4</v>
      </c>
      <c r="F605" s="2">
        <v>74.7</v>
      </c>
      <c r="H605" s="1">
        <f>_xlfn.XLOOKUP('Data Source 1_customer readings'!A605,'Data Source 1_customer readings'!A605:A3003,'Data Source 1_customer readings'!J605:J3003)</f>
        <v>0</v>
      </c>
    </row>
    <row r="606" spans="1:8" x14ac:dyDescent="0.2">
      <c r="A606" s="2" t="s">
        <v>83</v>
      </c>
      <c r="B606" s="2">
        <v>25</v>
      </c>
      <c r="C606" s="2">
        <v>8</v>
      </c>
      <c r="D606" s="2">
        <v>2020</v>
      </c>
      <c r="E606" s="2">
        <v>56.11</v>
      </c>
      <c r="F606" s="2">
        <v>104.16</v>
      </c>
      <c r="H606" s="1">
        <f>_xlfn.XLOOKUP('Data Source 1_customer readings'!A606,'Data Source 1_customer readings'!A606:A3004,'Data Source 1_customer readings'!J606:J3004)</f>
        <v>0</v>
      </c>
    </row>
    <row r="607" spans="1:8" x14ac:dyDescent="0.2">
      <c r="A607" s="2" t="s">
        <v>84</v>
      </c>
      <c r="B607" s="2">
        <v>20</v>
      </c>
      <c r="C607" s="2">
        <v>7</v>
      </c>
      <c r="D607" s="2">
        <v>2020</v>
      </c>
      <c r="E607" s="2">
        <v>55.8</v>
      </c>
      <c r="F607" s="2">
        <v>79.98</v>
      </c>
      <c r="H607" s="1">
        <f>_xlfn.XLOOKUP('Data Source 1_customer readings'!A607,'Data Source 1_customer readings'!A607:A3005,'Data Source 1_customer readings'!J607:J3005)</f>
        <v>0</v>
      </c>
    </row>
    <row r="608" spans="1:8" x14ac:dyDescent="0.2">
      <c r="A608" s="2" t="s">
        <v>82</v>
      </c>
      <c r="B608" s="2">
        <v>8</v>
      </c>
      <c r="C608" s="2">
        <v>9</v>
      </c>
      <c r="D608" s="2">
        <v>2020</v>
      </c>
      <c r="E608" s="2">
        <v>55.5</v>
      </c>
      <c r="F608" s="2">
        <v>72.900000000000006</v>
      </c>
      <c r="H608" s="1">
        <f>_xlfn.XLOOKUP('Data Source 1_customer readings'!A608,'Data Source 1_customer readings'!A608:A3006,'Data Source 1_customer readings'!J608:J3006)</f>
        <v>0</v>
      </c>
    </row>
    <row r="609" spans="1:8" x14ac:dyDescent="0.2">
      <c r="A609" s="2" t="s">
        <v>39</v>
      </c>
      <c r="B609" s="2">
        <v>22</v>
      </c>
      <c r="C609" s="2">
        <v>10</v>
      </c>
      <c r="D609" s="2">
        <v>2020</v>
      </c>
      <c r="E609" s="2">
        <v>55.49</v>
      </c>
      <c r="F609" s="2">
        <v>73.16</v>
      </c>
      <c r="H609" s="1">
        <f>_xlfn.XLOOKUP('Data Source 1_customer readings'!A609,'Data Source 1_customer readings'!A609:A3007,'Data Source 1_customer readings'!J609:J3007)</f>
        <v>0</v>
      </c>
    </row>
    <row r="610" spans="1:8" x14ac:dyDescent="0.2">
      <c r="A610" s="2" t="s">
        <v>77</v>
      </c>
      <c r="B610" s="2">
        <v>16</v>
      </c>
      <c r="C610" s="2">
        <v>9</v>
      </c>
      <c r="D610" s="2">
        <v>2020</v>
      </c>
      <c r="E610" s="2">
        <v>55.2</v>
      </c>
      <c r="F610" s="2">
        <v>113.7</v>
      </c>
      <c r="H610" s="1">
        <f>_xlfn.XLOOKUP('Data Source 1_customer readings'!A610,'Data Source 1_customer readings'!A610:A3008,'Data Source 1_customer readings'!J610:J3008)</f>
        <v>0</v>
      </c>
    </row>
    <row r="611" spans="1:8" x14ac:dyDescent="0.2">
      <c r="A611" s="2" t="s">
        <v>34</v>
      </c>
      <c r="B611" s="2">
        <v>4</v>
      </c>
      <c r="C611" s="2">
        <v>10</v>
      </c>
      <c r="D611" s="2">
        <v>2020</v>
      </c>
      <c r="E611" s="2">
        <v>55.18</v>
      </c>
      <c r="F611" s="2">
        <v>78.430000000000007</v>
      </c>
      <c r="H611" s="1">
        <f>_xlfn.XLOOKUP('Data Source 1_customer readings'!A611,'Data Source 1_customer readings'!A611:A3009,'Data Source 1_customer readings'!J611:J3009)</f>
        <v>0</v>
      </c>
    </row>
    <row r="612" spans="1:8" x14ac:dyDescent="0.2">
      <c r="A612" s="2" t="s">
        <v>40</v>
      </c>
      <c r="B612" s="2">
        <v>15</v>
      </c>
      <c r="C612" s="2">
        <v>10</v>
      </c>
      <c r="D612" s="2">
        <v>2020</v>
      </c>
      <c r="E612" s="2">
        <v>55.18</v>
      </c>
      <c r="F612" s="2">
        <v>76.569999999999993</v>
      </c>
      <c r="H612" s="1">
        <f>_xlfn.XLOOKUP('Data Source 1_customer readings'!A612,'Data Source 1_customer readings'!A612:A3010,'Data Source 1_customer readings'!J612:J3010)</f>
        <v>0</v>
      </c>
    </row>
    <row r="613" spans="1:8" x14ac:dyDescent="0.2">
      <c r="A613" s="2" t="s">
        <v>79</v>
      </c>
      <c r="B613" s="2">
        <v>3</v>
      </c>
      <c r="C613" s="2">
        <v>9</v>
      </c>
      <c r="D613" s="2">
        <v>2020</v>
      </c>
      <c r="E613" s="2">
        <v>54.9</v>
      </c>
      <c r="F613" s="2">
        <v>97.2</v>
      </c>
      <c r="H613" s="1">
        <f>_xlfn.XLOOKUP('Data Source 1_customer readings'!A613,'Data Source 1_customer readings'!A613:A3011,'Data Source 1_customer readings'!J613:J3011)</f>
        <v>0</v>
      </c>
    </row>
    <row r="614" spans="1:8" x14ac:dyDescent="0.2">
      <c r="A614" s="2" t="s">
        <v>78</v>
      </c>
      <c r="B614" s="2">
        <v>18</v>
      </c>
      <c r="C614" s="2">
        <v>9</v>
      </c>
      <c r="D614" s="2">
        <v>2020</v>
      </c>
      <c r="E614" s="2">
        <v>54.6</v>
      </c>
      <c r="F614" s="2">
        <v>77.7</v>
      </c>
      <c r="H614" s="1">
        <f>_xlfn.XLOOKUP('Data Source 1_customer readings'!A614,'Data Source 1_customer readings'!A614:A3012,'Data Source 1_customer readings'!J614:J3012)</f>
        <v>0</v>
      </c>
    </row>
    <row r="615" spans="1:8" x14ac:dyDescent="0.2">
      <c r="A615" s="2" t="s">
        <v>34</v>
      </c>
      <c r="B615" s="2">
        <v>4</v>
      </c>
      <c r="C615" s="2">
        <v>4</v>
      </c>
      <c r="D615" s="2">
        <v>2020</v>
      </c>
      <c r="E615" s="2">
        <v>54.6</v>
      </c>
      <c r="F615" s="2">
        <v>64.2</v>
      </c>
      <c r="H615" s="1">
        <f>_xlfn.XLOOKUP('Data Source 1_customer readings'!A615,'Data Source 1_customer readings'!A615:A3013,'Data Source 1_customer readings'!J615:J3013)</f>
        <v>0</v>
      </c>
    </row>
    <row r="616" spans="1:8" x14ac:dyDescent="0.2">
      <c r="A616" s="2" t="s">
        <v>82</v>
      </c>
      <c r="B616" s="2">
        <v>8</v>
      </c>
      <c r="C616" s="2">
        <v>7</v>
      </c>
      <c r="D616" s="2">
        <v>2020</v>
      </c>
      <c r="E616" s="2">
        <v>54.56</v>
      </c>
      <c r="F616" s="2">
        <v>85.56</v>
      </c>
      <c r="H616" s="1">
        <f>_xlfn.XLOOKUP('Data Source 1_customer readings'!A616,'Data Source 1_customer readings'!A616:A3014,'Data Source 1_customer readings'!J616:J3014)</f>
        <v>0</v>
      </c>
    </row>
    <row r="617" spans="1:8" x14ac:dyDescent="0.2">
      <c r="A617" s="2" t="s">
        <v>61</v>
      </c>
      <c r="B617" s="2">
        <v>23</v>
      </c>
      <c r="C617" s="2">
        <v>5</v>
      </c>
      <c r="D617" s="2">
        <v>2020</v>
      </c>
      <c r="E617" s="2">
        <v>54.25</v>
      </c>
      <c r="F617" s="2">
        <v>104.78</v>
      </c>
      <c r="H617" s="1">
        <f>_xlfn.XLOOKUP('Data Source 1_customer readings'!A617,'Data Source 1_customer readings'!A617:A3015,'Data Source 1_customer readings'!J617:J3015)</f>
        <v>0</v>
      </c>
    </row>
    <row r="618" spans="1:8" x14ac:dyDescent="0.2">
      <c r="A618" s="2" t="s">
        <v>71</v>
      </c>
      <c r="B618" s="2">
        <v>21</v>
      </c>
      <c r="C618" s="2">
        <v>9</v>
      </c>
      <c r="D618" s="2">
        <v>2020</v>
      </c>
      <c r="E618" s="2">
        <v>54</v>
      </c>
      <c r="F618" s="2">
        <v>123</v>
      </c>
      <c r="H618" s="1">
        <f>_xlfn.XLOOKUP('Data Source 1_customer readings'!A618,'Data Source 1_customer readings'!A618:A3016,'Data Source 1_customer readings'!J618:J3016)</f>
        <v>0</v>
      </c>
    </row>
    <row r="619" spans="1:8" x14ac:dyDescent="0.2">
      <c r="A619" s="2" t="s">
        <v>81</v>
      </c>
      <c r="B619" s="2">
        <v>19</v>
      </c>
      <c r="C619" s="2">
        <v>9</v>
      </c>
      <c r="D619" s="2">
        <v>2020</v>
      </c>
      <c r="E619" s="2">
        <v>54</v>
      </c>
      <c r="F619" s="2">
        <v>82.2</v>
      </c>
      <c r="H619" s="1">
        <f>_xlfn.XLOOKUP('Data Source 1_customer readings'!A619,'Data Source 1_customer readings'!A619:A3017,'Data Source 1_customer readings'!J619:J3017)</f>
        <v>0</v>
      </c>
    </row>
    <row r="620" spans="1:8" x14ac:dyDescent="0.2">
      <c r="A620" s="2" t="s">
        <v>86</v>
      </c>
      <c r="B620" s="2">
        <v>6</v>
      </c>
      <c r="C620" s="2">
        <v>8</v>
      </c>
      <c r="D620" s="2">
        <v>2020</v>
      </c>
      <c r="E620" s="2">
        <v>53.94</v>
      </c>
      <c r="F620" s="2">
        <v>96.72</v>
      </c>
      <c r="H620" s="1">
        <f>_xlfn.XLOOKUP('Data Source 1_customer readings'!A620,'Data Source 1_customer readings'!A620:A3018,'Data Source 1_customer readings'!J620:J3018)</f>
        <v>0</v>
      </c>
    </row>
    <row r="621" spans="1:8" x14ac:dyDescent="0.2">
      <c r="A621" s="2" t="s">
        <v>81</v>
      </c>
      <c r="B621" s="2">
        <v>19</v>
      </c>
      <c r="C621" s="2">
        <v>8</v>
      </c>
      <c r="D621" s="2">
        <v>2020</v>
      </c>
      <c r="E621" s="2">
        <v>53.94</v>
      </c>
      <c r="F621" s="2">
        <v>74.400000000000006</v>
      </c>
      <c r="H621" s="1">
        <f>_xlfn.XLOOKUP('Data Source 1_customer readings'!A621,'Data Source 1_customer readings'!A621:A3019,'Data Source 1_customer readings'!J621:J3019)</f>
        <v>0</v>
      </c>
    </row>
    <row r="622" spans="1:8" x14ac:dyDescent="0.2">
      <c r="A622" s="2" t="s">
        <v>35</v>
      </c>
      <c r="B622" s="2">
        <v>9</v>
      </c>
      <c r="C622" s="2">
        <v>4</v>
      </c>
      <c r="D622" s="2">
        <v>2020</v>
      </c>
      <c r="E622" s="2">
        <v>53.7</v>
      </c>
      <c r="F622" s="2">
        <v>67.8</v>
      </c>
      <c r="H622" s="1" t="b">
        <f>_xlfn.XLOOKUP('Data Source 1_customer readings'!A622,'Data Source 1_customer readings'!A622:A3020,'Data Source 1_customer readings'!J622:J3020)</f>
        <v>0</v>
      </c>
    </row>
    <row r="623" spans="1:8" x14ac:dyDescent="0.2">
      <c r="A623" s="2" t="s">
        <v>39</v>
      </c>
      <c r="B623" s="2">
        <v>22</v>
      </c>
      <c r="C623" s="2">
        <v>4</v>
      </c>
      <c r="D623" s="2">
        <v>2020</v>
      </c>
      <c r="E623" s="2">
        <v>53.1</v>
      </c>
      <c r="F623" s="2">
        <v>60.6</v>
      </c>
      <c r="H623" s="1">
        <f>_xlfn.XLOOKUP('Data Source 1_customer readings'!A623,'Data Source 1_customer readings'!A623:A3021,'Data Source 1_customer readings'!J623:J3021)</f>
        <v>0</v>
      </c>
    </row>
    <row r="624" spans="1:8" x14ac:dyDescent="0.2">
      <c r="A624" s="2" t="s">
        <v>62</v>
      </c>
      <c r="B624" s="2">
        <v>1</v>
      </c>
      <c r="C624" s="2">
        <v>5</v>
      </c>
      <c r="D624" s="2">
        <v>2020</v>
      </c>
      <c r="E624" s="2">
        <v>53.01</v>
      </c>
      <c r="F624" s="2">
        <v>87.42</v>
      </c>
      <c r="H624" s="1" t="b">
        <f>_xlfn.XLOOKUP('Data Source 1_customer readings'!A624,'Data Source 1_customer readings'!A624:A3022,'Data Source 1_customer readings'!J624:J3022)</f>
        <v>0</v>
      </c>
    </row>
    <row r="625" spans="1:8" x14ac:dyDescent="0.2">
      <c r="A625" s="2" t="s">
        <v>40</v>
      </c>
      <c r="B625" s="2">
        <v>15</v>
      </c>
      <c r="C625" s="2">
        <v>4</v>
      </c>
      <c r="D625" s="2">
        <v>2020</v>
      </c>
      <c r="E625" s="2">
        <v>52.8</v>
      </c>
      <c r="F625" s="2">
        <v>87</v>
      </c>
      <c r="H625" s="1">
        <f>_xlfn.XLOOKUP('Data Source 1_customer readings'!A625,'Data Source 1_customer readings'!A625:A3023,'Data Source 1_customer readings'!J625:J3023)</f>
        <v>0</v>
      </c>
    </row>
    <row r="626" spans="1:8" x14ac:dyDescent="0.2">
      <c r="A626" s="2" t="s">
        <v>78</v>
      </c>
      <c r="B626" s="2">
        <v>18</v>
      </c>
      <c r="C626" s="2">
        <v>5</v>
      </c>
      <c r="D626" s="2">
        <v>2020</v>
      </c>
      <c r="E626" s="2">
        <v>52.39</v>
      </c>
      <c r="F626" s="2">
        <v>73.78</v>
      </c>
      <c r="H626" s="1">
        <f>_xlfn.XLOOKUP('Data Source 1_customer readings'!A626,'Data Source 1_customer readings'!A626:A3024,'Data Source 1_customer readings'!J626:J3024)</f>
        <v>0</v>
      </c>
    </row>
    <row r="627" spans="1:8" x14ac:dyDescent="0.2">
      <c r="A627" s="2" t="s">
        <v>83</v>
      </c>
      <c r="B627" s="2">
        <v>25</v>
      </c>
      <c r="C627" s="2">
        <v>6</v>
      </c>
      <c r="D627" s="2">
        <v>2020</v>
      </c>
      <c r="E627" s="2">
        <v>52.2</v>
      </c>
      <c r="F627" s="2">
        <v>105.9</v>
      </c>
      <c r="H627" s="1">
        <f>_xlfn.XLOOKUP('Data Source 1_customer readings'!A627,'Data Source 1_customer readings'!A627:A3025,'Data Source 1_customer readings'!J627:J3025)</f>
        <v>0</v>
      </c>
    </row>
    <row r="628" spans="1:8" x14ac:dyDescent="0.2">
      <c r="A628" s="2" t="s">
        <v>88</v>
      </c>
      <c r="B628" s="2">
        <v>23</v>
      </c>
      <c r="C628" s="2">
        <v>8</v>
      </c>
      <c r="D628" s="2">
        <v>2020</v>
      </c>
      <c r="E628" s="2">
        <v>52.08</v>
      </c>
      <c r="F628" s="2">
        <v>101.68</v>
      </c>
      <c r="H628" s="1">
        <f>_xlfn.XLOOKUP('Data Source 1_customer readings'!A628,'Data Source 1_customer readings'!A628:A3026,'Data Source 1_customer readings'!J628:J3026)</f>
        <v>0</v>
      </c>
    </row>
    <row r="629" spans="1:8" x14ac:dyDescent="0.2">
      <c r="A629" s="2" t="s">
        <v>86</v>
      </c>
      <c r="B629" s="2">
        <v>6</v>
      </c>
      <c r="C629" s="2">
        <v>7</v>
      </c>
      <c r="D629" s="2">
        <v>2020</v>
      </c>
      <c r="E629" s="2">
        <v>51.77</v>
      </c>
      <c r="F629" s="2">
        <v>105.4</v>
      </c>
      <c r="H629" s="1">
        <f>_xlfn.XLOOKUP('Data Source 1_customer readings'!A629,'Data Source 1_customer readings'!A629:A3027,'Data Source 1_customer readings'!J629:J3027)</f>
        <v>0</v>
      </c>
    </row>
    <row r="630" spans="1:8" x14ac:dyDescent="0.2">
      <c r="A630" s="2" t="s">
        <v>65</v>
      </c>
      <c r="B630" s="2">
        <v>11</v>
      </c>
      <c r="C630" s="2">
        <v>5</v>
      </c>
      <c r="D630" s="2">
        <v>2020</v>
      </c>
      <c r="E630" s="2">
        <v>51.77</v>
      </c>
      <c r="F630" s="2">
        <v>92.38</v>
      </c>
      <c r="H630" s="1">
        <f>_xlfn.XLOOKUP('Data Source 1_customer readings'!A630,'Data Source 1_customer readings'!A630:A3028,'Data Source 1_customer readings'!J630:J3028)</f>
        <v>0</v>
      </c>
    </row>
    <row r="631" spans="1:8" x14ac:dyDescent="0.2">
      <c r="A631" s="2" t="s">
        <v>80</v>
      </c>
      <c r="B631" s="2">
        <v>12</v>
      </c>
      <c r="C631" s="2">
        <v>8</v>
      </c>
      <c r="D631" s="2">
        <v>2020</v>
      </c>
      <c r="E631" s="2">
        <v>51.77</v>
      </c>
      <c r="F631" s="2">
        <v>92.38</v>
      </c>
      <c r="H631" s="1">
        <f>_xlfn.XLOOKUP('Data Source 1_customer readings'!A631,'Data Source 1_customer readings'!A631:A3029,'Data Source 1_customer readings'!J631:J3029)</f>
        <v>0</v>
      </c>
    </row>
    <row r="632" spans="1:8" x14ac:dyDescent="0.2">
      <c r="A632" s="2" t="s">
        <v>38</v>
      </c>
      <c r="B632" s="2">
        <v>21</v>
      </c>
      <c r="C632" s="2">
        <v>10</v>
      </c>
      <c r="D632" s="2">
        <v>2020</v>
      </c>
      <c r="E632" s="2">
        <v>51.77</v>
      </c>
      <c r="F632" s="2">
        <v>71.92</v>
      </c>
      <c r="H632" s="1">
        <f>_xlfn.XLOOKUP('Data Source 1_customer readings'!A632,'Data Source 1_customer readings'!A632:A3030,'Data Source 1_customer readings'!J632:J3030)</f>
        <v>0</v>
      </c>
    </row>
    <row r="633" spans="1:8" x14ac:dyDescent="0.2">
      <c r="A633" s="2" t="s">
        <v>64</v>
      </c>
      <c r="B633" s="2">
        <v>21</v>
      </c>
      <c r="C633" s="2">
        <v>5</v>
      </c>
      <c r="D633" s="2">
        <v>2020</v>
      </c>
      <c r="E633" s="2">
        <v>51.46</v>
      </c>
      <c r="F633" s="2">
        <v>66.650000000000006</v>
      </c>
      <c r="H633" s="1" t="b">
        <f>_xlfn.XLOOKUP('Data Source 1_customer readings'!A633,'Data Source 1_customer readings'!A633:A3031,'Data Source 1_customer readings'!J633:J3031)</f>
        <v>0</v>
      </c>
    </row>
    <row r="634" spans="1:8" x14ac:dyDescent="0.2">
      <c r="A634" s="2" t="s">
        <v>87</v>
      </c>
      <c r="B634" s="2">
        <v>1</v>
      </c>
      <c r="C634" s="2">
        <v>6</v>
      </c>
      <c r="D634" s="2">
        <v>2020</v>
      </c>
      <c r="E634" s="2">
        <v>51.3</v>
      </c>
      <c r="F634" s="2">
        <v>74.099999999999994</v>
      </c>
      <c r="H634" s="1">
        <f>_xlfn.XLOOKUP('Data Source 1_customer readings'!A634,'Data Source 1_customer readings'!A634:A3032,'Data Source 1_customer readings'!J634:J3032)</f>
        <v>0</v>
      </c>
    </row>
    <row r="635" spans="1:8" x14ac:dyDescent="0.2">
      <c r="A635" s="2" t="s">
        <v>87</v>
      </c>
      <c r="B635" s="2">
        <v>1</v>
      </c>
      <c r="C635" s="2">
        <v>8</v>
      </c>
      <c r="D635" s="2">
        <v>2020</v>
      </c>
      <c r="E635" s="2">
        <v>51.15</v>
      </c>
      <c r="F635" s="2">
        <v>79.67</v>
      </c>
      <c r="H635" s="1">
        <f>_xlfn.XLOOKUP('Data Source 1_customer readings'!A635,'Data Source 1_customer readings'!A635:A3033,'Data Source 1_customer readings'!J635:J3033)</f>
        <v>0</v>
      </c>
    </row>
    <row r="636" spans="1:8" x14ac:dyDescent="0.2">
      <c r="A636" s="2" t="s">
        <v>66</v>
      </c>
      <c r="B636" s="2">
        <v>23</v>
      </c>
      <c r="C636" s="2">
        <v>5</v>
      </c>
      <c r="D636" s="2">
        <v>2020</v>
      </c>
      <c r="E636" s="2">
        <v>50.84</v>
      </c>
      <c r="F636" s="2">
        <v>75.33</v>
      </c>
      <c r="H636" s="1">
        <f>_xlfn.XLOOKUP('Data Source 1_customer readings'!A636,'Data Source 1_customer readings'!A636:A3034,'Data Source 1_customer readings'!J636:J3034)</f>
        <v>0</v>
      </c>
    </row>
    <row r="637" spans="1:8" x14ac:dyDescent="0.2">
      <c r="A637" s="2" t="s">
        <v>62</v>
      </c>
      <c r="B637" s="2">
        <v>1</v>
      </c>
      <c r="C637" s="2">
        <v>8</v>
      </c>
      <c r="D637" s="2">
        <v>2020</v>
      </c>
      <c r="E637" s="2">
        <v>50.84</v>
      </c>
      <c r="F637" s="2">
        <v>75.33</v>
      </c>
      <c r="H637" s="1" t="b">
        <f>_xlfn.XLOOKUP('Data Source 1_customer readings'!A637,'Data Source 1_customer readings'!A637:A3035,'Data Source 1_customer readings'!J637:J3035)</f>
        <v>0</v>
      </c>
    </row>
    <row r="638" spans="1:8" x14ac:dyDescent="0.2">
      <c r="A638" s="2" t="s">
        <v>33</v>
      </c>
      <c r="B638" s="2">
        <v>21</v>
      </c>
      <c r="C638" s="2">
        <v>10</v>
      </c>
      <c r="D638" s="2">
        <v>2020</v>
      </c>
      <c r="E638" s="2">
        <v>50.84</v>
      </c>
      <c r="F638" s="2">
        <v>71.61</v>
      </c>
      <c r="H638" s="1">
        <f>_xlfn.XLOOKUP('Data Source 1_customer readings'!A638,'Data Source 1_customer readings'!A638:A3036,'Data Source 1_customer readings'!J638:J3036)</f>
        <v>0</v>
      </c>
    </row>
    <row r="639" spans="1:8" x14ac:dyDescent="0.2">
      <c r="A639" s="2" t="s">
        <v>68</v>
      </c>
      <c r="B639" s="2">
        <v>11</v>
      </c>
      <c r="C639" s="2">
        <v>9</v>
      </c>
      <c r="D639" s="2">
        <v>2020</v>
      </c>
      <c r="E639" s="2">
        <v>50.7</v>
      </c>
      <c r="F639" s="2">
        <v>93.3</v>
      </c>
      <c r="H639" s="1">
        <f>_xlfn.XLOOKUP('Data Source 1_customer readings'!A639,'Data Source 1_customer readings'!A639:A3037,'Data Source 1_customer readings'!J639:J3037)</f>
        <v>0</v>
      </c>
    </row>
    <row r="640" spans="1:8" x14ac:dyDescent="0.2">
      <c r="A640" s="2" t="s">
        <v>73</v>
      </c>
      <c r="B640" s="2">
        <v>5</v>
      </c>
      <c r="C640" s="2">
        <v>5</v>
      </c>
      <c r="D640" s="2">
        <v>2020</v>
      </c>
      <c r="E640" s="2">
        <v>50.53</v>
      </c>
      <c r="F640" s="2">
        <v>75.95</v>
      </c>
      <c r="H640" s="1">
        <f>_xlfn.XLOOKUP('Data Source 1_customer readings'!A640,'Data Source 1_customer readings'!A640:A3038,'Data Source 1_customer readings'!J640:J3038)</f>
        <v>0</v>
      </c>
    </row>
    <row r="641" spans="1:8" x14ac:dyDescent="0.2">
      <c r="A641" s="2" t="s">
        <v>86</v>
      </c>
      <c r="B641" s="2">
        <v>6</v>
      </c>
      <c r="C641" s="2">
        <v>9</v>
      </c>
      <c r="D641" s="2">
        <v>2020</v>
      </c>
      <c r="E641" s="2">
        <v>50.4</v>
      </c>
      <c r="F641" s="2">
        <v>82.5</v>
      </c>
      <c r="H641" s="1">
        <f>_xlfn.XLOOKUP('Data Source 1_customer readings'!A641,'Data Source 1_customer readings'!A641:A3039,'Data Source 1_customer readings'!J641:J3039)</f>
        <v>0</v>
      </c>
    </row>
    <row r="642" spans="1:8" x14ac:dyDescent="0.2">
      <c r="A642" s="2" t="s">
        <v>74</v>
      </c>
      <c r="B642" s="2">
        <v>5</v>
      </c>
      <c r="C642" s="2">
        <v>9</v>
      </c>
      <c r="D642" s="2">
        <v>2020</v>
      </c>
      <c r="E642" s="2">
        <v>50.4</v>
      </c>
      <c r="F642" s="2">
        <v>75.900000000000006</v>
      </c>
      <c r="H642" s="1">
        <f>_xlfn.XLOOKUP('Data Source 1_customer readings'!A642,'Data Source 1_customer readings'!A642:A3040,'Data Source 1_customer readings'!J642:J3040)</f>
        <v>0</v>
      </c>
    </row>
    <row r="643" spans="1:8" x14ac:dyDescent="0.2">
      <c r="A643" s="2" t="s">
        <v>82</v>
      </c>
      <c r="B643" s="2">
        <v>8</v>
      </c>
      <c r="C643" s="2">
        <v>5</v>
      </c>
      <c r="D643" s="2">
        <v>2020</v>
      </c>
      <c r="E643" s="2">
        <v>50.22</v>
      </c>
      <c r="F643" s="2">
        <v>71.61</v>
      </c>
      <c r="H643" s="1">
        <f>_xlfn.XLOOKUP('Data Source 1_customer readings'!A643,'Data Source 1_customer readings'!A643:A3041,'Data Source 1_customer readings'!J643:J3041)</f>
        <v>0</v>
      </c>
    </row>
    <row r="644" spans="1:8" x14ac:dyDescent="0.2">
      <c r="A644" s="2" t="s">
        <v>85</v>
      </c>
      <c r="B644" s="2">
        <v>3</v>
      </c>
      <c r="C644" s="2">
        <v>8</v>
      </c>
      <c r="D644" s="2">
        <v>2020</v>
      </c>
      <c r="E644" s="2">
        <v>49.91</v>
      </c>
      <c r="F644" s="2">
        <v>74.09</v>
      </c>
      <c r="H644" s="1">
        <f>_xlfn.XLOOKUP('Data Source 1_customer readings'!A644,'Data Source 1_customer readings'!A644:A3042,'Data Source 1_customer readings'!J644:J3042)</f>
        <v>0</v>
      </c>
    </row>
    <row r="645" spans="1:8" x14ac:dyDescent="0.2">
      <c r="A645" s="2" t="s">
        <v>76</v>
      </c>
      <c r="B645" s="2">
        <v>9</v>
      </c>
      <c r="C645" s="2">
        <v>5</v>
      </c>
      <c r="D645" s="2">
        <v>2020</v>
      </c>
      <c r="E645" s="2">
        <v>49.91</v>
      </c>
      <c r="F645" s="2">
        <v>70.37</v>
      </c>
      <c r="H645" s="1">
        <f>_xlfn.XLOOKUP('Data Source 1_customer readings'!A645,'Data Source 1_customer readings'!A645:A3043,'Data Source 1_customer readings'!J645:J3043)</f>
        <v>0</v>
      </c>
    </row>
    <row r="646" spans="1:8" x14ac:dyDescent="0.2">
      <c r="A646" s="2" t="s">
        <v>79</v>
      </c>
      <c r="B646" s="2">
        <v>3</v>
      </c>
      <c r="C646" s="2">
        <v>6</v>
      </c>
      <c r="D646" s="2">
        <v>2020</v>
      </c>
      <c r="E646" s="2">
        <v>49.8</v>
      </c>
      <c r="F646" s="2">
        <v>93.9</v>
      </c>
      <c r="H646" s="1">
        <f>_xlfn.XLOOKUP('Data Source 1_customer readings'!A646,'Data Source 1_customer readings'!A646:A3044,'Data Source 1_customer readings'!J646:J3044)</f>
        <v>0</v>
      </c>
    </row>
    <row r="647" spans="1:8" x14ac:dyDescent="0.2">
      <c r="A647" s="2" t="s">
        <v>87</v>
      </c>
      <c r="B647" s="2">
        <v>1</v>
      </c>
      <c r="C647" s="2">
        <v>7</v>
      </c>
      <c r="D647" s="2">
        <v>2020</v>
      </c>
      <c r="E647" s="2">
        <v>49.6</v>
      </c>
      <c r="F647" s="2">
        <v>88.35</v>
      </c>
      <c r="H647" s="1">
        <f>_xlfn.XLOOKUP('Data Source 1_customer readings'!A647,'Data Source 1_customer readings'!A647:A3045,'Data Source 1_customer readings'!J647:J3045)</f>
        <v>0</v>
      </c>
    </row>
    <row r="648" spans="1:8" x14ac:dyDescent="0.2">
      <c r="A648" s="2" t="s">
        <v>85</v>
      </c>
      <c r="B648" s="2">
        <v>3</v>
      </c>
      <c r="C648" s="2">
        <v>7</v>
      </c>
      <c r="D648" s="2">
        <v>2020</v>
      </c>
      <c r="E648" s="2">
        <v>49.6</v>
      </c>
      <c r="F648" s="2">
        <v>88.35</v>
      </c>
      <c r="H648" s="1">
        <f>_xlfn.XLOOKUP('Data Source 1_customer readings'!A648,'Data Source 1_customer readings'!A648:A3046,'Data Source 1_customer readings'!J648:J3046)</f>
        <v>0</v>
      </c>
    </row>
    <row r="649" spans="1:8" x14ac:dyDescent="0.2">
      <c r="A649" s="2" t="s">
        <v>61</v>
      </c>
      <c r="B649" s="2">
        <v>23</v>
      </c>
      <c r="C649" s="2">
        <v>9</v>
      </c>
      <c r="D649" s="2">
        <v>2020</v>
      </c>
      <c r="E649" s="2">
        <v>49.5</v>
      </c>
      <c r="F649" s="2">
        <v>103.5</v>
      </c>
      <c r="H649" s="1">
        <f>_xlfn.XLOOKUP('Data Source 1_customer readings'!A649,'Data Source 1_customer readings'!A649:A3047,'Data Source 1_customer readings'!J649:J3047)</f>
        <v>0</v>
      </c>
    </row>
    <row r="650" spans="1:8" x14ac:dyDescent="0.2">
      <c r="A650" s="2" t="s">
        <v>84</v>
      </c>
      <c r="B650" s="2">
        <v>20</v>
      </c>
      <c r="C650" s="2">
        <v>6</v>
      </c>
      <c r="D650" s="2">
        <v>2020</v>
      </c>
      <c r="E650" s="2">
        <v>49.2</v>
      </c>
      <c r="F650" s="2">
        <v>94.5</v>
      </c>
      <c r="H650" s="1">
        <f>_xlfn.XLOOKUP('Data Source 1_customer readings'!A650,'Data Source 1_customer readings'!A650:A3048,'Data Source 1_customer readings'!J650:J3048)</f>
        <v>0</v>
      </c>
    </row>
    <row r="651" spans="1:8" x14ac:dyDescent="0.2">
      <c r="A651" s="2" t="s">
        <v>82</v>
      </c>
      <c r="B651" s="2">
        <v>8</v>
      </c>
      <c r="C651" s="2">
        <v>8</v>
      </c>
      <c r="D651" s="2">
        <v>2020</v>
      </c>
      <c r="E651" s="2">
        <v>48.98</v>
      </c>
      <c r="F651" s="2">
        <v>76.88</v>
      </c>
      <c r="H651" s="1">
        <f>_xlfn.XLOOKUP('Data Source 1_customer readings'!A651,'Data Source 1_customer readings'!A651:A3049,'Data Source 1_customer readings'!J651:J3049)</f>
        <v>0</v>
      </c>
    </row>
    <row r="652" spans="1:8" x14ac:dyDescent="0.2">
      <c r="A652" s="2" t="s">
        <v>65</v>
      </c>
      <c r="B652" s="2">
        <v>11</v>
      </c>
      <c r="C652" s="2">
        <v>9</v>
      </c>
      <c r="D652" s="2">
        <v>2020</v>
      </c>
      <c r="E652" s="2">
        <v>48.9</v>
      </c>
      <c r="F652" s="2">
        <v>82.2</v>
      </c>
      <c r="H652" s="1">
        <f>_xlfn.XLOOKUP('Data Source 1_customer readings'!A652,'Data Source 1_customer readings'!A652:A3050,'Data Source 1_customer readings'!J652:J3050)</f>
        <v>0</v>
      </c>
    </row>
    <row r="653" spans="1:8" x14ac:dyDescent="0.2">
      <c r="A653" s="2" t="s">
        <v>79</v>
      </c>
      <c r="B653" s="2">
        <v>3</v>
      </c>
      <c r="C653" s="2">
        <v>7</v>
      </c>
      <c r="D653" s="2">
        <v>2020</v>
      </c>
      <c r="E653" s="2">
        <v>48.67</v>
      </c>
      <c r="F653" s="2">
        <v>107.26</v>
      </c>
      <c r="H653" s="1">
        <f>_xlfn.XLOOKUP('Data Source 1_customer readings'!A653,'Data Source 1_customer readings'!A653:A3051,'Data Source 1_customer readings'!J653:J3051)</f>
        <v>0</v>
      </c>
    </row>
    <row r="654" spans="1:8" x14ac:dyDescent="0.2">
      <c r="A654" s="2" t="s">
        <v>72</v>
      </c>
      <c r="B654" s="2">
        <v>22</v>
      </c>
      <c r="C654" s="2">
        <v>8</v>
      </c>
      <c r="D654" s="2">
        <v>2020</v>
      </c>
      <c r="E654" s="2">
        <v>48.67</v>
      </c>
      <c r="F654" s="2">
        <v>87.11</v>
      </c>
      <c r="H654" s="1">
        <f>_xlfn.XLOOKUP('Data Source 1_customer readings'!A654,'Data Source 1_customer readings'!A654:A3052,'Data Source 1_customer readings'!J654:J3052)</f>
        <v>0</v>
      </c>
    </row>
    <row r="655" spans="1:8" x14ac:dyDescent="0.2">
      <c r="A655" s="2" t="s">
        <v>86</v>
      </c>
      <c r="B655" s="2">
        <v>6</v>
      </c>
      <c r="C655" s="2">
        <v>6</v>
      </c>
      <c r="D655" s="2">
        <v>2020</v>
      </c>
      <c r="E655" s="2">
        <v>48.6</v>
      </c>
      <c r="F655" s="2">
        <v>81.900000000000006</v>
      </c>
      <c r="H655" s="1">
        <f>_xlfn.XLOOKUP('Data Source 1_customer readings'!A655,'Data Source 1_customer readings'!A655:A3053,'Data Source 1_customer readings'!J655:J3053)</f>
        <v>0</v>
      </c>
    </row>
    <row r="656" spans="1:8" x14ac:dyDescent="0.2">
      <c r="A656" s="2" t="s">
        <v>75</v>
      </c>
      <c r="B656" s="2">
        <v>2</v>
      </c>
      <c r="C656" s="2">
        <v>9</v>
      </c>
      <c r="D656" s="2">
        <v>2020</v>
      </c>
      <c r="E656" s="2">
        <v>48.6</v>
      </c>
      <c r="F656" s="2">
        <v>63.3</v>
      </c>
      <c r="H656" s="1">
        <f>_xlfn.XLOOKUP('Data Source 1_customer readings'!A656,'Data Source 1_customer readings'!A656:A3054,'Data Source 1_customer readings'!J656:J3054)</f>
        <v>0</v>
      </c>
    </row>
    <row r="657" spans="1:8" x14ac:dyDescent="0.2">
      <c r="A657" s="2" t="s">
        <v>71</v>
      </c>
      <c r="B657" s="2">
        <v>21</v>
      </c>
      <c r="C657" s="2">
        <v>7</v>
      </c>
      <c r="D657" s="2">
        <v>2020</v>
      </c>
      <c r="E657" s="2">
        <v>48.36</v>
      </c>
      <c r="F657" s="2">
        <v>108.81</v>
      </c>
      <c r="H657" s="1">
        <f>_xlfn.XLOOKUP('Data Source 1_customer readings'!A657,'Data Source 1_customer readings'!A657:A3055,'Data Source 1_customer readings'!J657:J3055)</f>
        <v>0</v>
      </c>
    </row>
    <row r="658" spans="1:8" x14ac:dyDescent="0.2">
      <c r="A658" s="2" t="s">
        <v>75</v>
      </c>
      <c r="B658" s="2">
        <v>2</v>
      </c>
      <c r="C658" s="2">
        <v>7</v>
      </c>
      <c r="D658" s="2">
        <v>2020</v>
      </c>
      <c r="E658" s="2">
        <v>48.36</v>
      </c>
      <c r="F658" s="2">
        <v>77.19</v>
      </c>
      <c r="H658" s="1">
        <f>_xlfn.XLOOKUP('Data Source 1_customer readings'!A658,'Data Source 1_customer readings'!A658:A3056,'Data Source 1_customer readings'!J658:J3056)</f>
        <v>0</v>
      </c>
    </row>
    <row r="659" spans="1:8" x14ac:dyDescent="0.2">
      <c r="A659" s="2" t="s">
        <v>85</v>
      </c>
      <c r="B659" s="2">
        <v>3</v>
      </c>
      <c r="C659" s="2">
        <v>6</v>
      </c>
      <c r="D659" s="2">
        <v>2020</v>
      </c>
      <c r="E659" s="2">
        <v>48.3</v>
      </c>
      <c r="F659" s="2">
        <v>70.5</v>
      </c>
      <c r="H659" s="1">
        <f>_xlfn.XLOOKUP('Data Source 1_customer readings'!A659,'Data Source 1_customer readings'!A659:A3057,'Data Source 1_customer readings'!J659:J3057)</f>
        <v>0</v>
      </c>
    </row>
    <row r="660" spans="1:8" x14ac:dyDescent="0.2">
      <c r="A660" s="2" t="s">
        <v>74</v>
      </c>
      <c r="B660" s="2">
        <v>5</v>
      </c>
      <c r="C660" s="2">
        <v>5</v>
      </c>
      <c r="D660" s="2">
        <v>2020</v>
      </c>
      <c r="E660" s="2">
        <v>48.05</v>
      </c>
      <c r="F660" s="2">
        <v>69.13</v>
      </c>
      <c r="H660" s="1" t="b">
        <f>_xlfn.XLOOKUP('Data Source 1_customer readings'!A660,'Data Source 1_customer readings'!A660:A3058,'Data Source 1_customer readings'!J660:J3058)</f>
        <v>0</v>
      </c>
    </row>
    <row r="661" spans="1:8" x14ac:dyDescent="0.2">
      <c r="A661" s="2" t="s">
        <v>82</v>
      </c>
      <c r="B661" s="2">
        <v>8</v>
      </c>
      <c r="C661" s="2">
        <v>6</v>
      </c>
      <c r="D661" s="2">
        <v>2020</v>
      </c>
      <c r="E661" s="2">
        <v>48</v>
      </c>
      <c r="F661" s="2">
        <v>67.8</v>
      </c>
      <c r="H661" s="1">
        <f>_xlfn.XLOOKUP('Data Source 1_customer readings'!A661,'Data Source 1_customer readings'!A661:A3059,'Data Source 1_customer readings'!J661:J3059)</f>
        <v>0</v>
      </c>
    </row>
    <row r="662" spans="1:8" x14ac:dyDescent="0.2">
      <c r="A662" s="2" t="s">
        <v>78</v>
      </c>
      <c r="B662" s="2">
        <v>18</v>
      </c>
      <c r="C662" s="2">
        <v>8</v>
      </c>
      <c r="D662" s="2">
        <v>2020</v>
      </c>
      <c r="E662" s="2">
        <v>47.74</v>
      </c>
      <c r="F662" s="2">
        <v>83.39</v>
      </c>
      <c r="H662" s="1">
        <f>_xlfn.XLOOKUP('Data Source 1_customer readings'!A662,'Data Source 1_customer readings'!A662:A3060,'Data Source 1_customer readings'!J662:J3060)</f>
        <v>0</v>
      </c>
    </row>
    <row r="663" spans="1:8" x14ac:dyDescent="0.2">
      <c r="A663" s="2" t="s">
        <v>81</v>
      </c>
      <c r="B663" s="2">
        <v>19</v>
      </c>
      <c r="C663" s="2">
        <v>7</v>
      </c>
      <c r="D663" s="2">
        <v>2020</v>
      </c>
      <c r="E663" s="2">
        <v>47.74</v>
      </c>
      <c r="F663" s="2">
        <v>76.88</v>
      </c>
      <c r="H663" s="1">
        <f>_xlfn.XLOOKUP('Data Source 1_customer readings'!A663,'Data Source 1_customer readings'!A663:A3061,'Data Source 1_customer readings'!J663:J3061)</f>
        <v>0</v>
      </c>
    </row>
    <row r="664" spans="1:8" x14ac:dyDescent="0.2">
      <c r="A664" s="2" t="s">
        <v>59</v>
      </c>
      <c r="B664" s="2">
        <v>11</v>
      </c>
      <c r="C664" s="2">
        <v>9</v>
      </c>
      <c r="D664" s="2">
        <v>2020</v>
      </c>
      <c r="E664" s="2">
        <v>47.7</v>
      </c>
      <c r="F664" s="2">
        <v>80.7</v>
      </c>
      <c r="H664" s="1">
        <f>_xlfn.XLOOKUP('Data Source 1_customer readings'!A664,'Data Source 1_customer readings'!A664:A3062,'Data Source 1_customer readings'!J664:J3062)</f>
        <v>0</v>
      </c>
    </row>
    <row r="665" spans="1:8" x14ac:dyDescent="0.2">
      <c r="A665" s="2" t="s">
        <v>53</v>
      </c>
      <c r="B665" s="2">
        <v>18</v>
      </c>
      <c r="C665" s="2">
        <v>9</v>
      </c>
      <c r="D665" s="2">
        <v>2020</v>
      </c>
      <c r="E665" s="2">
        <v>47.1</v>
      </c>
      <c r="F665" s="2">
        <v>87.9</v>
      </c>
      <c r="H665" s="1">
        <f>_xlfn.XLOOKUP('Data Source 1_customer readings'!A665,'Data Source 1_customer readings'!A665:A3063,'Data Source 1_customer readings'!J665:J3063)</f>
        <v>0</v>
      </c>
    </row>
    <row r="666" spans="1:8" x14ac:dyDescent="0.2">
      <c r="A666" s="2" t="s">
        <v>81</v>
      </c>
      <c r="B666" s="2">
        <v>19</v>
      </c>
      <c r="C666" s="2">
        <v>5</v>
      </c>
      <c r="D666" s="2">
        <v>2020</v>
      </c>
      <c r="E666" s="2">
        <v>46.81</v>
      </c>
      <c r="F666" s="2">
        <v>92.69</v>
      </c>
      <c r="H666" s="1" t="b">
        <f>_xlfn.XLOOKUP('Data Source 1_customer readings'!A666,'Data Source 1_customer readings'!A666:A3064,'Data Source 1_customer readings'!J666:J3064)</f>
        <v>0</v>
      </c>
    </row>
    <row r="667" spans="1:8" x14ac:dyDescent="0.2">
      <c r="A667" s="2" t="s">
        <v>70</v>
      </c>
      <c r="B667" s="2">
        <v>16</v>
      </c>
      <c r="C667" s="2">
        <v>5</v>
      </c>
      <c r="D667" s="2">
        <v>2020</v>
      </c>
      <c r="E667" s="2">
        <v>46.81</v>
      </c>
      <c r="F667" s="2">
        <v>77.81</v>
      </c>
      <c r="H667" s="1">
        <f>_xlfn.XLOOKUP('Data Source 1_customer readings'!A667,'Data Source 1_customer readings'!A667:A3065,'Data Source 1_customer readings'!J667:J3065)</f>
        <v>0</v>
      </c>
    </row>
    <row r="668" spans="1:8" x14ac:dyDescent="0.2">
      <c r="A668" s="2" t="s">
        <v>68</v>
      </c>
      <c r="B668" s="2">
        <v>11</v>
      </c>
      <c r="C668" s="2">
        <v>6</v>
      </c>
      <c r="D668" s="2">
        <v>2020</v>
      </c>
      <c r="E668" s="2">
        <v>46.8</v>
      </c>
      <c r="F668" s="2">
        <v>87.9</v>
      </c>
      <c r="H668" s="1">
        <f>_xlfn.XLOOKUP('Data Source 1_customer readings'!A668,'Data Source 1_customer readings'!A668:A3066,'Data Source 1_customer readings'!J668:J3066)</f>
        <v>0</v>
      </c>
    </row>
    <row r="669" spans="1:8" x14ac:dyDescent="0.2">
      <c r="A669" s="2" t="s">
        <v>83</v>
      </c>
      <c r="B669" s="2">
        <v>25</v>
      </c>
      <c r="C669" s="2">
        <v>7</v>
      </c>
      <c r="D669" s="2">
        <v>2020</v>
      </c>
      <c r="E669" s="2">
        <v>46.5</v>
      </c>
      <c r="F669" s="2">
        <v>127.41</v>
      </c>
      <c r="H669" s="1">
        <f>_xlfn.XLOOKUP('Data Source 1_customer readings'!A669,'Data Source 1_customer readings'!A669:A3067,'Data Source 1_customer readings'!J669:J3067)</f>
        <v>0</v>
      </c>
    </row>
    <row r="670" spans="1:8" x14ac:dyDescent="0.2">
      <c r="A670" s="2" t="s">
        <v>60</v>
      </c>
      <c r="B670" s="2">
        <v>20</v>
      </c>
      <c r="C670" s="2">
        <v>5</v>
      </c>
      <c r="D670" s="2">
        <v>2020</v>
      </c>
      <c r="E670" s="2">
        <v>46.5</v>
      </c>
      <c r="F670" s="2">
        <v>90.52</v>
      </c>
      <c r="H670" s="1" t="b">
        <f>_xlfn.XLOOKUP('Data Source 1_customer readings'!A670,'Data Source 1_customer readings'!A670:A3068,'Data Source 1_customer readings'!J670:J3068)</f>
        <v>0</v>
      </c>
    </row>
    <row r="671" spans="1:8" x14ac:dyDescent="0.2">
      <c r="A671" s="2" t="s">
        <v>60</v>
      </c>
      <c r="B671" s="2">
        <v>20</v>
      </c>
      <c r="C671" s="2">
        <v>9</v>
      </c>
      <c r="D671" s="2">
        <v>2020</v>
      </c>
      <c r="E671" s="2">
        <v>46.2</v>
      </c>
      <c r="F671" s="2">
        <v>80.099999999999994</v>
      </c>
      <c r="H671" s="1" t="b">
        <f>_xlfn.XLOOKUP('Data Source 1_customer readings'!A671,'Data Source 1_customer readings'!A671:A3069,'Data Source 1_customer readings'!J671:J3069)</f>
        <v>0</v>
      </c>
    </row>
    <row r="672" spans="1:8" x14ac:dyDescent="0.2">
      <c r="A672" s="2" t="s">
        <v>62</v>
      </c>
      <c r="B672" s="2">
        <v>1</v>
      </c>
      <c r="C672" s="2">
        <v>9</v>
      </c>
      <c r="D672" s="2">
        <v>2020</v>
      </c>
      <c r="E672" s="2">
        <v>46.2</v>
      </c>
      <c r="F672" s="2">
        <v>71.099999999999994</v>
      </c>
      <c r="H672" s="1">
        <f>_xlfn.XLOOKUP('Data Source 1_customer readings'!A672,'Data Source 1_customer readings'!A672:A3070,'Data Source 1_customer readings'!J672:J3070)</f>
        <v>0</v>
      </c>
    </row>
    <row r="673" spans="1:8" x14ac:dyDescent="0.2">
      <c r="A673" s="2" t="s">
        <v>73</v>
      </c>
      <c r="B673" s="2">
        <v>5</v>
      </c>
      <c r="C673" s="2">
        <v>8</v>
      </c>
      <c r="D673" s="2">
        <v>2020</v>
      </c>
      <c r="E673" s="2">
        <v>46.19</v>
      </c>
      <c r="F673" s="2">
        <v>89.28</v>
      </c>
      <c r="H673" s="1">
        <f>_xlfn.XLOOKUP('Data Source 1_customer readings'!A673,'Data Source 1_customer readings'!A673:A3071,'Data Source 1_customer readings'!J673:J3071)</f>
        <v>0</v>
      </c>
    </row>
    <row r="674" spans="1:8" x14ac:dyDescent="0.2">
      <c r="A674" s="2" t="s">
        <v>70</v>
      </c>
      <c r="B674" s="2">
        <v>16</v>
      </c>
      <c r="C674" s="2">
        <v>7</v>
      </c>
      <c r="D674" s="2">
        <v>2020</v>
      </c>
      <c r="E674" s="2">
        <v>46.19</v>
      </c>
      <c r="F674" s="2">
        <v>86.8</v>
      </c>
      <c r="H674" s="1">
        <f>_xlfn.XLOOKUP('Data Source 1_customer readings'!A674,'Data Source 1_customer readings'!A674:A3072,'Data Source 1_customer readings'!J674:J3072)</f>
        <v>0</v>
      </c>
    </row>
    <row r="675" spans="1:8" x14ac:dyDescent="0.2">
      <c r="A675" s="2" t="s">
        <v>51</v>
      </c>
      <c r="B675" s="2">
        <v>16</v>
      </c>
      <c r="C675" s="2">
        <v>5</v>
      </c>
      <c r="D675" s="2">
        <v>2020</v>
      </c>
      <c r="E675" s="2">
        <v>46.19</v>
      </c>
      <c r="F675" s="2">
        <v>79.05</v>
      </c>
      <c r="H675" s="1">
        <f>_xlfn.XLOOKUP('Data Source 1_customer readings'!A675,'Data Source 1_customer readings'!A675:A3073,'Data Source 1_customer readings'!J675:J3073)</f>
        <v>0</v>
      </c>
    </row>
    <row r="676" spans="1:8" x14ac:dyDescent="0.2">
      <c r="A676" s="2" t="s">
        <v>75</v>
      </c>
      <c r="B676" s="2">
        <v>2</v>
      </c>
      <c r="C676" s="2">
        <v>5</v>
      </c>
      <c r="D676" s="2">
        <v>2020</v>
      </c>
      <c r="E676" s="2">
        <v>46.19</v>
      </c>
      <c r="F676" s="2">
        <v>70.989999999999995</v>
      </c>
      <c r="H676" s="1">
        <f>_xlfn.XLOOKUP('Data Source 1_customer readings'!A676,'Data Source 1_customer readings'!A676:A3074,'Data Source 1_customer readings'!J676:J3074)</f>
        <v>0</v>
      </c>
    </row>
    <row r="677" spans="1:8" x14ac:dyDescent="0.2">
      <c r="A677" s="2" t="s">
        <v>73</v>
      </c>
      <c r="B677" s="2">
        <v>5</v>
      </c>
      <c r="C677" s="2">
        <v>9</v>
      </c>
      <c r="D677" s="2">
        <v>2020</v>
      </c>
      <c r="E677" s="2">
        <v>45.9</v>
      </c>
      <c r="F677" s="2">
        <v>83.4</v>
      </c>
      <c r="H677" s="1">
        <f>_xlfn.XLOOKUP('Data Source 1_customer readings'!A677,'Data Source 1_customer readings'!A677:A3075,'Data Source 1_customer readings'!J677:J3075)</f>
        <v>0</v>
      </c>
    </row>
    <row r="678" spans="1:8" x14ac:dyDescent="0.2">
      <c r="A678" s="2" t="s">
        <v>44</v>
      </c>
      <c r="B678" s="2">
        <v>1</v>
      </c>
      <c r="C678" s="2">
        <v>9</v>
      </c>
      <c r="D678" s="2">
        <v>2020</v>
      </c>
      <c r="E678" s="2">
        <v>45.6</v>
      </c>
      <c r="F678" s="2">
        <v>95.7</v>
      </c>
      <c r="H678" s="1">
        <f>_xlfn.XLOOKUP('Data Source 1_customer readings'!A678,'Data Source 1_customer readings'!A678:A3076,'Data Source 1_customer readings'!J678:J3076)</f>
        <v>0</v>
      </c>
    </row>
    <row r="679" spans="1:8" x14ac:dyDescent="0.2">
      <c r="A679" s="2" t="s">
        <v>56</v>
      </c>
      <c r="B679" s="2">
        <v>14</v>
      </c>
      <c r="C679" s="2">
        <v>9</v>
      </c>
      <c r="D679" s="2">
        <v>2020</v>
      </c>
      <c r="E679" s="2">
        <v>45.6</v>
      </c>
      <c r="F679" s="2">
        <v>79.8</v>
      </c>
      <c r="H679" s="1">
        <f>_xlfn.XLOOKUP('Data Source 1_customer readings'!A679,'Data Source 1_customer readings'!A679:A3077,'Data Source 1_customer readings'!J679:J3077)</f>
        <v>0</v>
      </c>
    </row>
    <row r="680" spans="1:8" x14ac:dyDescent="0.2">
      <c r="A680" s="2" t="s">
        <v>49</v>
      </c>
      <c r="B680" s="2">
        <v>3</v>
      </c>
      <c r="C680" s="2">
        <v>9</v>
      </c>
      <c r="D680" s="2">
        <v>2020</v>
      </c>
      <c r="E680" s="2">
        <v>45.6</v>
      </c>
      <c r="F680" s="2">
        <v>51.3</v>
      </c>
      <c r="H680" s="1">
        <f>_xlfn.XLOOKUP('Data Source 1_customer readings'!A680,'Data Source 1_customer readings'!A680:A3078,'Data Source 1_customer readings'!J680:J3078)</f>
        <v>0</v>
      </c>
    </row>
    <row r="681" spans="1:8" x14ac:dyDescent="0.2">
      <c r="A681" s="2" t="s">
        <v>74</v>
      </c>
      <c r="B681" s="2">
        <v>5</v>
      </c>
      <c r="C681" s="2">
        <v>7</v>
      </c>
      <c r="D681" s="2">
        <v>2020</v>
      </c>
      <c r="E681" s="2">
        <v>45.57</v>
      </c>
      <c r="F681" s="2">
        <v>83.08</v>
      </c>
      <c r="H681" s="1">
        <f>_xlfn.XLOOKUP('Data Source 1_customer readings'!A681,'Data Source 1_customer readings'!A681:A3079,'Data Source 1_customer readings'!J681:J3079)</f>
        <v>0</v>
      </c>
    </row>
    <row r="682" spans="1:8" x14ac:dyDescent="0.2">
      <c r="A682" s="2" t="s">
        <v>76</v>
      </c>
      <c r="B682" s="2">
        <v>9</v>
      </c>
      <c r="C682" s="2">
        <v>9</v>
      </c>
      <c r="D682" s="2">
        <v>2020</v>
      </c>
      <c r="E682" s="2">
        <v>45.3</v>
      </c>
      <c r="F682" s="2">
        <v>63.6</v>
      </c>
      <c r="H682" s="1">
        <f>_xlfn.XLOOKUP('Data Source 1_customer readings'!A682,'Data Source 1_customer readings'!A682:A3080,'Data Source 1_customer readings'!J682:J3080)</f>
        <v>0</v>
      </c>
    </row>
    <row r="683" spans="1:8" x14ac:dyDescent="0.2">
      <c r="A683" s="2" t="s">
        <v>71</v>
      </c>
      <c r="B683" s="2">
        <v>21</v>
      </c>
      <c r="C683" s="2">
        <v>5</v>
      </c>
      <c r="D683" s="2">
        <v>2020</v>
      </c>
      <c r="E683" s="2">
        <v>45.26</v>
      </c>
      <c r="F683" s="2">
        <v>106.95</v>
      </c>
      <c r="H683" s="1">
        <f>_xlfn.XLOOKUP('Data Source 1_customer readings'!A683,'Data Source 1_customer readings'!A683:A3081,'Data Source 1_customer readings'!J683:J3081)</f>
        <v>0</v>
      </c>
    </row>
    <row r="684" spans="1:8" x14ac:dyDescent="0.2">
      <c r="A684" s="2" t="s">
        <v>64</v>
      </c>
      <c r="B684" s="2">
        <v>21</v>
      </c>
      <c r="C684" s="2">
        <v>9</v>
      </c>
      <c r="D684" s="2">
        <v>2020</v>
      </c>
      <c r="E684" s="2">
        <v>45</v>
      </c>
      <c r="F684" s="2">
        <v>66.599999999999994</v>
      </c>
      <c r="H684" s="1">
        <f>_xlfn.XLOOKUP('Data Source 1_customer readings'!A684,'Data Source 1_customer readings'!A684:A3082,'Data Source 1_customer readings'!J684:J3082)</f>
        <v>0</v>
      </c>
    </row>
    <row r="685" spans="1:8" x14ac:dyDescent="0.2">
      <c r="A685" s="2" t="s">
        <v>71</v>
      </c>
      <c r="B685" s="2">
        <v>21</v>
      </c>
      <c r="C685" s="2">
        <v>8</v>
      </c>
      <c r="D685" s="2">
        <v>2020</v>
      </c>
      <c r="E685" s="2">
        <v>44.95</v>
      </c>
      <c r="F685" s="2">
        <v>110.98</v>
      </c>
      <c r="H685" s="1">
        <f>_xlfn.XLOOKUP('Data Source 1_customer readings'!A685,'Data Source 1_customer readings'!A685:A3083,'Data Source 1_customer readings'!J685:J3083)</f>
        <v>0</v>
      </c>
    </row>
    <row r="686" spans="1:8" x14ac:dyDescent="0.2">
      <c r="A686" s="2" t="s">
        <v>59</v>
      </c>
      <c r="B686" s="2">
        <v>11</v>
      </c>
      <c r="C686" s="2">
        <v>5</v>
      </c>
      <c r="D686" s="2">
        <v>2020</v>
      </c>
      <c r="E686" s="2">
        <v>44.95</v>
      </c>
      <c r="F686" s="2">
        <v>81.53</v>
      </c>
      <c r="H686" s="1">
        <f>_xlfn.XLOOKUP('Data Source 1_customer readings'!A686,'Data Source 1_customer readings'!A686:A3084,'Data Source 1_customer readings'!J686:J3084)</f>
        <v>0</v>
      </c>
    </row>
    <row r="687" spans="1:8" x14ac:dyDescent="0.2">
      <c r="A687" s="2" t="s">
        <v>80</v>
      </c>
      <c r="B687" s="2">
        <v>12</v>
      </c>
      <c r="C687" s="2">
        <v>7</v>
      </c>
      <c r="D687" s="2">
        <v>2020</v>
      </c>
      <c r="E687" s="2">
        <v>44.64</v>
      </c>
      <c r="F687" s="2">
        <v>91.45</v>
      </c>
      <c r="H687" s="1">
        <f>_xlfn.XLOOKUP('Data Source 1_customer readings'!A687,'Data Source 1_customer readings'!A687:A3085,'Data Source 1_customer readings'!J687:J3085)</f>
        <v>0</v>
      </c>
    </row>
    <row r="688" spans="1:8" x14ac:dyDescent="0.2">
      <c r="A688" s="2" t="s">
        <v>64</v>
      </c>
      <c r="B688" s="2">
        <v>21</v>
      </c>
      <c r="C688" s="2">
        <v>8</v>
      </c>
      <c r="D688" s="2">
        <v>2020</v>
      </c>
      <c r="E688" s="2">
        <v>44.64</v>
      </c>
      <c r="F688" s="2">
        <v>65.099999999999994</v>
      </c>
      <c r="H688" s="1">
        <f>_xlfn.XLOOKUP('Data Source 1_customer readings'!A688,'Data Source 1_customer readings'!A688:A3086,'Data Source 1_customer readings'!J688:J3086)</f>
        <v>0</v>
      </c>
    </row>
    <row r="689" spans="1:8" x14ac:dyDescent="0.2">
      <c r="A689" s="2" t="s">
        <v>78</v>
      </c>
      <c r="B689" s="2">
        <v>18</v>
      </c>
      <c r="C689" s="2">
        <v>6</v>
      </c>
      <c r="D689" s="2">
        <v>2020</v>
      </c>
      <c r="E689" s="2">
        <v>44.4</v>
      </c>
      <c r="F689" s="2">
        <v>92.4</v>
      </c>
      <c r="H689" s="1">
        <f>_xlfn.XLOOKUP('Data Source 1_customer readings'!A689,'Data Source 1_customer readings'!A689:A3087,'Data Source 1_customer readings'!J689:J3087)</f>
        <v>0</v>
      </c>
    </row>
    <row r="690" spans="1:8" x14ac:dyDescent="0.2">
      <c r="A690" s="2" t="s">
        <v>81</v>
      </c>
      <c r="B690" s="2">
        <v>19</v>
      </c>
      <c r="C690" s="2">
        <v>6</v>
      </c>
      <c r="D690" s="2">
        <v>2020</v>
      </c>
      <c r="E690" s="2">
        <v>44.4</v>
      </c>
      <c r="F690" s="2">
        <v>77.099999999999994</v>
      </c>
      <c r="H690" s="1" t="b">
        <f>_xlfn.XLOOKUP('Data Source 1_customer readings'!A690,'Data Source 1_customer readings'!A690:A3088,'Data Source 1_customer readings'!J690:J3088)</f>
        <v>0</v>
      </c>
    </row>
    <row r="691" spans="1:8" x14ac:dyDescent="0.2">
      <c r="A691" s="2" t="s">
        <v>77</v>
      </c>
      <c r="B691" s="2">
        <v>16</v>
      </c>
      <c r="C691" s="2">
        <v>8</v>
      </c>
      <c r="D691" s="2">
        <v>2020</v>
      </c>
      <c r="E691" s="2">
        <v>44.33</v>
      </c>
      <c r="F691" s="2">
        <v>95.79</v>
      </c>
      <c r="H691" s="1">
        <f>_xlfn.XLOOKUP('Data Source 1_customer readings'!A691,'Data Source 1_customer readings'!A691:A3089,'Data Source 1_customer readings'!J691:J3089)</f>
        <v>0</v>
      </c>
    </row>
    <row r="692" spans="1:8" x14ac:dyDescent="0.2">
      <c r="A692" s="2" t="s">
        <v>73</v>
      </c>
      <c r="B692" s="2">
        <v>5</v>
      </c>
      <c r="C692" s="2">
        <v>7</v>
      </c>
      <c r="D692" s="2">
        <v>2020</v>
      </c>
      <c r="E692" s="2">
        <v>44.33</v>
      </c>
      <c r="F692" s="2">
        <v>80.290000000000006</v>
      </c>
      <c r="H692" s="1">
        <f>_xlfn.XLOOKUP('Data Source 1_customer readings'!A692,'Data Source 1_customer readings'!A692:A3090,'Data Source 1_customer readings'!J692:J3090)</f>
        <v>0</v>
      </c>
    </row>
    <row r="693" spans="1:8" x14ac:dyDescent="0.2">
      <c r="A693" s="2" t="s">
        <v>78</v>
      </c>
      <c r="B693" s="2">
        <v>18</v>
      </c>
      <c r="C693" s="2">
        <v>7</v>
      </c>
      <c r="D693" s="2">
        <v>2020</v>
      </c>
      <c r="E693" s="2">
        <v>44.33</v>
      </c>
      <c r="F693" s="2">
        <v>72.23</v>
      </c>
      <c r="H693" s="1">
        <f>_xlfn.XLOOKUP('Data Source 1_customer readings'!A693,'Data Source 1_customer readings'!A693:A3091,'Data Source 1_customer readings'!J693:J3091)</f>
        <v>0</v>
      </c>
    </row>
    <row r="694" spans="1:8" x14ac:dyDescent="0.2">
      <c r="A694" s="2" t="s">
        <v>72</v>
      </c>
      <c r="B694" s="2">
        <v>22</v>
      </c>
      <c r="C694" s="2">
        <v>6</v>
      </c>
      <c r="D694" s="2">
        <v>2020</v>
      </c>
      <c r="E694" s="2">
        <v>44.1</v>
      </c>
      <c r="F694" s="2">
        <v>100.8</v>
      </c>
      <c r="H694" s="1">
        <f>_xlfn.XLOOKUP('Data Source 1_customer readings'!A694,'Data Source 1_customer readings'!A694:A3092,'Data Source 1_customer readings'!J694:J3092)</f>
        <v>0</v>
      </c>
    </row>
    <row r="695" spans="1:8" x14ac:dyDescent="0.2">
      <c r="A695" s="2" t="s">
        <v>80</v>
      </c>
      <c r="B695" s="2">
        <v>12</v>
      </c>
      <c r="C695" s="2">
        <v>6</v>
      </c>
      <c r="D695" s="2">
        <v>2020</v>
      </c>
      <c r="E695" s="2">
        <v>44.1</v>
      </c>
      <c r="F695" s="2">
        <v>76.2</v>
      </c>
      <c r="H695" s="1">
        <f>_xlfn.XLOOKUP('Data Source 1_customer readings'!A695,'Data Source 1_customer readings'!A695:A3093,'Data Source 1_customer readings'!J695:J3093)</f>
        <v>0</v>
      </c>
    </row>
    <row r="696" spans="1:8" x14ac:dyDescent="0.2">
      <c r="A696" s="2" t="s">
        <v>50</v>
      </c>
      <c r="B696" s="2">
        <v>24</v>
      </c>
      <c r="C696" s="2">
        <v>9</v>
      </c>
      <c r="D696" s="2">
        <v>2020</v>
      </c>
      <c r="E696" s="2">
        <v>44.1</v>
      </c>
      <c r="F696" s="2">
        <v>65.099999999999994</v>
      </c>
      <c r="H696" s="1">
        <f>_xlfn.XLOOKUP('Data Source 1_customer readings'!A696,'Data Source 1_customer readings'!A696:A3094,'Data Source 1_customer readings'!J696:J3094)</f>
        <v>0</v>
      </c>
    </row>
    <row r="697" spans="1:8" x14ac:dyDescent="0.2">
      <c r="A697" s="2" t="s">
        <v>44</v>
      </c>
      <c r="B697" s="2">
        <v>1</v>
      </c>
      <c r="C697" s="2">
        <v>5</v>
      </c>
      <c r="D697" s="2">
        <v>2020</v>
      </c>
      <c r="E697" s="2">
        <v>44.02</v>
      </c>
      <c r="F697" s="2">
        <v>85.56</v>
      </c>
      <c r="H697" s="1">
        <f>_xlfn.XLOOKUP('Data Source 1_customer readings'!A697,'Data Source 1_customer readings'!A697:A3095,'Data Source 1_customer readings'!J697:J3095)</f>
        <v>0</v>
      </c>
    </row>
    <row r="698" spans="1:8" x14ac:dyDescent="0.2">
      <c r="A698" s="2" t="s">
        <v>75</v>
      </c>
      <c r="B698" s="2">
        <v>2</v>
      </c>
      <c r="C698" s="2">
        <v>8</v>
      </c>
      <c r="D698" s="2">
        <v>2020</v>
      </c>
      <c r="E698" s="2">
        <v>44.02</v>
      </c>
      <c r="F698" s="2">
        <v>83.39</v>
      </c>
      <c r="H698" s="1" t="b">
        <f>_xlfn.XLOOKUP('Data Source 1_customer readings'!A698,'Data Source 1_customer readings'!A698:A3096,'Data Source 1_customer readings'!J698:J3096)</f>
        <v>0</v>
      </c>
    </row>
    <row r="699" spans="1:8" x14ac:dyDescent="0.2">
      <c r="A699" s="2" t="s">
        <v>74</v>
      </c>
      <c r="B699" s="2">
        <v>5</v>
      </c>
      <c r="C699" s="2">
        <v>8</v>
      </c>
      <c r="D699" s="2">
        <v>2020</v>
      </c>
      <c r="E699" s="2">
        <v>44.02</v>
      </c>
      <c r="F699" s="2">
        <v>80.290000000000006</v>
      </c>
      <c r="H699" s="1">
        <f>_xlfn.XLOOKUP('Data Source 1_customer readings'!A699,'Data Source 1_customer readings'!A699:A3097,'Data Source 1_customer readings'!J699:J3097)</f>
        <v>0</v>
      </c>
    </row>
    <row r="700" spans="1:8" x14ac:dyDescent="0.2">
      <c r="A700" s="2" t="s">
        <v>68</v>
      </c>
      <c r="B700" s="2">
        <v>11</v>
      </c>
      <c r="C700" s="2">
        <v>5</v>
      </c>
      <c r="D700" s="2">
        <v>2020</v>
      </c>
      <c r="E700" s="2">
        <v>43.71</v>
      </c>
      <c r="F700" s="2">
        <v>96.1</v>
      </c>
      <c r="H700" s="1" t="b">
        <f>_xlfn.XLOOKUP('Data Source 1_customer readings'!A700,'Data Source 1_customer readings'!A700:A3098,'Data Source 1_customer readings'!J700:J3098)</f>
        <v>0</v>
      </c>
    </row>
    <row r="701" spans="1:8" x14ac:dyDescent="0.2">
      <c r="A701" s="2" t="s">
        <v>58</v>
      </c>
      <c r="B701" s="2">
        <v>16</v>
      </c>
      <c r="C701" s="2">
        <v>5</v>
      </c>
      <c r="D701" s="2">
        <v>2020</v>
      </c>
      <c r="E701" s="2">
        <v>43.71</v>
      </c>
      <c r="F701" s="2">
        <v>75.64</v>
      </c>
      <c r="H701" s="1">
        <f>_xlfn.XLOOKUP('Data Source 1_customer readings'!A701,'Data Source 1_customer readings'!A701:A3099,'Data Source 1_customer readings'!J701:J3099)</f>
        <v>0</v>
      </c>
    </row>
    <row r="702" spans="1:8" x14ac:dyDescent="0.2">
      <c r="A702" s="2" t="s">
        <v>63</v>
      </c>
      <c r="B702" s="2">
        <v>25</v>
      </c>
      <c r="C702" s="2">
        <v>5</v>
      </c>
      <c r="D702" s="2">
        <v>2020</v>
      </c>
      <c r="E702" s="2">
        <v>43.71</v>
      </c>
      <c r="F702" s="2">
        <v>75.02</v>
      </c>
      <c r="H702" s="1">
        <f>_xlfn.XLOOKUP('Data Source 1_customer readings'!A702,'Data Source 1_customer readings'!A702:A3100,'Data Source 1_customer readings'!J702:J3100)</f>
        <v>0</v>
      </c>
    </row>
    <row r="703" spans="1:8" x14ac:dyDescent="0.2">
      <c r="A703" s="2" t="s">
        <v>74</v>
      </c>
      <c r="B703" s="2">
        <v>5</v>
      </c>
      <c r="C703" s="2">
        <v>6</v>
      </c>
      <c r="D703" s="2">
        <v>2020</v>
      </c>
      <c r="E703" s="2">
        <v>43.5</v>
      </c>
      <c r="F703" s="2">
        <v>81.3</v>
      </c>
      <c r="H703" s="1">
        <f>_xlfn.XLOOKUP('Data Source 1_customer readings'!A703,'Data Source 1_customer readings'!A703:A3101,'Data Source 1_customer readings'!J703:J3101)</f>
        <v>0</v>
      </c>
    </row>
    <row r="704" spans="1:8" x14ac:dyDescent="0.2">
      <c r="A704" s="2" t="s">
        <v>67</v>
      </c>
      <c r="B704" s="2">
        <v>13</v>
      </c>
      <c r="C704" s="2">
        <v>9</v>
      </c>
      <c r="D704" s="2">
        <v>2020</v>
      </c>
      <c r="E704" s="2">
        <v>43.5</v>
      </c>
      <c r="F704" s="2">
        <v>68.7</v>
      </c>
      <c r="H704" s="1">
        <f>_xlfn.XLOOKUP('Data Source 1_customer readings'!A704,'Data Source 1_customer readings'!A704:A3102,'Data Source 1_customer readings'!J704:J3102)</f>
        <v>0</v>
      </c>
    </row>
    <row r="705" spans="1:8" x14ac:dyDescent="0.2">
      <c r="A705" s="2" t="s">
        <v>79</v>
      </c>
      <c r="B705" s="2">
        <v>3</v>
      </c>
      <c r="C705" s="2">
        <v>8</v>
      </c>
      <c r="D705" s="2">
        <v>2020</v>
      </c>
      <c r="E705" s="2">
        <v>43.4</v>
      </c>
      <c r="F705" s="2">
        <v>119.97</v>
      </c>
      <c r="H705" s="1">
        <f>_xlfn.XLOOKUP('Data Source 1_customer readings'!A705,'Data Source 1_customer readings'!A705:A3103,'Data Source 1_customer readings'!J705:J3103)</f>
        <v>0</v>
      </c>
    </row>
    <row r="706" spans="1:8" x14ac:dyDescent="0.2">
      <c r="A706" s="2" t="s">
        <v>70</v>
      </c>
      <c r="B706" s="2">
        <v>16</v>
      </c>
      <c r="C706" s="2">
        <v>9</v>
      </c>
      <c r="D706" s="2">
        <v>2020</v>
      </c>
      <c r="E706" s="2">
        <v>43.2</v>
      </c>
      <c r="F706" s="2">
        <v>92.7</v>
      </c>
      <c r="H706" s="1">
        <f>_xlfn.XLOOKUP('Data Source 1_customer readings'!A706,'Data Source 1_customer readings'!A706:A3104,'Data Source 1_customer readings'!J706:J3104)</f>
        <v>0</v>
      </c>
    </row>
    <row r="707" spans="1:8" x14ac:dyDescent="0.2">
      <c r="A707" s="2" t="s">
        <v>65</v>
      </c>
      <c r="B707" s="2">
        <v>11</v>
      </c>
      <c r="C707" s="2">
        <v>6</v>
      </c>
      <c r="D707" s="2">
        <v>2020</v>
      </c>
      <c r="E707" s="2">
        <v>42.9</v>
      </c>
      <c r="F707" s="2">
        <v>82.5</v>
      </c>
      <c r="H707" s="1">
        <f>_xlfn.XLOOKUP('Data Source 1_customer readings'!A707,'Data Source 1_customer readings'!A707:A3105,'Data Source 1_customer readings'!J707:J3105)</f>
        <v>0</v>
      </c>
    </row>
    <row r="708" spans="1:8" x14ac:dyDescent="0.2">
      <c r="A708" s="2" t="s">
        <v>77</v>
      </c>
      <c r="B708" s="2">
        <v>16</v>
      </c>
      <c r="C708" s="2">
        <v>7</v>
      </c>
      <c r="D708" s="2">
        <v>2020</v>
      </c>
      <c r="E708" s="2">
        <v>42.78</v>
      </c>
      <c r="F708" s="2">
        <v>109.12</v>
      </c>
      <c r="H708" s="1">
        <f>_xlfn.XLOOKUP('Data Source 1_customer readings'!A708,'Data Source 1_customer readings'!A708:A3106,'Data Source 1_customer readings'!J708:J3106)</f>
        <v>0</v>
      </c>
    </row>
    <row r="709" spans="1:8" x14ac:dyDescent="0.2">
      <c r="A709" s="2" t="s">
        <v>69</v>
      </c>
      <c r="B709" s="2">
        <v>12</v>
      </c>
      <c r="C709" s="2">
        <v>8</v>
      </c>
      <c r="D709" s="2">
        <v>2020</v>
      </c>
      <c r="E709" s="2">
        <v>42.78</v>
      </c>
      <c r="F709" s="2">
        <v>93.31</v>
      </c>
      <c r="H709" s="1">
        <f>_xlfn.XLOOKUP('Data Source 1_customer readings'!A709,'Data Source 1_customer readings'!A709:A3107,'Data Source 1_customer readings'!J709:J3107)</f>
        <v>0</v>
      </c>
    </row>
    <row r="710" spans="1:8" x14ac:dyDescent="0.2">
      <c r="A710" s="2" t="s">
        <v>68</v>
      </c>
      <c r="B710" s="2">
        <v>11</v>
      </c>
      <c r="C710" s="2">
        <v>8</v>
      </c>
      <c r="D710" s="2">
        <v>2020</v>
      </c>
      <c r="E710" s="2">
        <v>42.78</v>
      </c>
      <c r="F710" s="2">
        <v>90.83</v>
      </c>
      <c r="H710" s="1">
        <f>_xlfn.XLOOKUP('Data Source 1_customer readings'!A710,'Data Source 1_customer readings'!A710:A3108,'Data Source 1_customer readings'!J710:J3108)</f>
        <v>0</v>
      </c>
    </row>
    <row r="711" spans="1:8" x14ac:dyDescent="0.2">
      <c r="A711" s="2" t="s">
        <v>63</v>
      </c>
      <c r="B711" s="2">
        <v>25</v>
      </c>
      <c r="C711" s="2">
        <v>8</v>
      </c>
      <c r="D711" s="2">
        <v>2020</v>
      </c>
      <c r="E711" s="2">
        <v>42.78</v>
      </c>
      <c r="F711" s="2">
        <v>81.53</v>
      </c>
      <c r="H711" s="1">
        <f>_xlfn.XLOOKUP('Data Source 1_customer readings'!A711,'Data Source 1_customer readings'!A711:A3109,'Data Source 1_customer readings'!J711:J3109)</f>
        <v>0</v>
      </c>
    </row>
    <row r="712" spans="1:8" x14ac:dyDescent="0.2">
      <c r="A712" s="2" t="s">
        <v>56</v>
      </c>
      <c r="B712" s="2">
        <v>14</v>
      </c>
      <c r="C712" s="2">
        <v>5</v>
      </c>
      <c r="D712" s="2">
        <v>2020</v>
      </c>
      <c r="E712" s="2">
        <v>42.78</v>
      </c>
      <c r="F712" s="2">
        <v>77.81</v>
      </c>
      <c r="H712" s="1" t="b">
        <f>_xlfn.XLOOKUP('Data Source 1_customer readings'!A712,'Data Source 1_customer readings'!A712:A3110,'Data Source 1_customer readings'!J712:J3110)</f>
        <v>0</v>
      </c>
    </row>
    <row r="713" spans="1:8" x14ac:dyDescent="0.2">
      <c r="A713" s="2" t="s">
        <v>58</v>
      </c>
      <c r="B713" s="2">
        <v>16</v>
      </c>
      <c r="C713" s="2">
        <v>9</v>
      </c>
      <c r="D713" s="2">
        <v>2020</v>
      </c>
      <c r="E713" s="2">
        <v>42.6</v>
      </c>
      <c r="F713" s="2">
        <v>66.3</v>
      </c>
      <c r="H713" s="1">
        <f>_xlfn.XLOOKUP('Data Source 1_customer readings'!A713,'Data Source 1_customer readings'!A713:A3111,'Data Source 1_customer readings'!J713:J3111)</f>
        <v>0</v>
      </c>
    </row>
    <row r="714" spans="1:8" x14ac:dyDescent="0.2">
      <c r="A714" s="2" t="s">
        <v>33</v>
      </c>
      <c r="B714" s="2">
        <v>21</v>
      </c>
      <c r="C714" s="2">
        <v>3</v>
      </c>
      <c r="D714" s="2">
        <v>2020</v>
      </c>
      <c r="E714" s="2">
        <v>42.47</v>
      </c>
      <c r="F714" s="2">
        <v>78.430000000000007</v>
      </c>
      <c r="H714" s="1">
        <f>_xlfn.XLOOKUP('Data Source 1_customer readings'!A714,'Data Source 1_customer readings'!A714:A3112,'Data Source 1_customer readings'!J714:J3112)</f>
        <v>0</v>
      </c>
    </row>
    <row r="715" spans="1:8" x14ac:dyDescent="0.2">
      <c r="A715" s="2" t="s">
        <v>62</v>
      </c>
      <c r="B715" s="2">
        <v>1</v>
      </c>
      <c r="C715" s="2">
        <v>6</v>
      </c>
      <c r="D715" s="2">
        <v>2020</v>
      </c>
      <c r="E715" s="2">
        <v>42.3</v>
      </c>
      <c r="F715" s="2">
        <v>82.2</v>
      </c>
      <c r="H715" s="1">
        <f>_xlfn.XLOOKUP('Data Source 1_customer readings'!A715,'Data Source 1_customer readings'!A715:A3113,'Data Source 1_customer readings'!J715:J3113)</f>
        <v>0</v>
      </c>
    </row>
    <row r="716" spans="1:8" x14ac:dyDescent="0.2">
      <c r="A716" s="2" t="s">
        <v>33</v>
      </c>
      <c r="B716" s="2">
        <v>21</v>
      </c>
      <c r="C716" s="2">
        <v>4</v>
      </c>
      <c r="D716" s="2">
        <v>2020</v>
      </c>
      <c r="E716" s="2">
        <v>42.3</v>
      </c>
      <c r="F716" s="2">
        <v>78.900000000000006</v>
      </c>
      <c r="H716" s="1">
        <f>_xlfn.XLOOKUP('Data Source 1_customer readings'!A716,'Data Source 1_customer readings'!A716:A3114,'Data Source 1_customer readings'!J716:J3114)</f>
        <v>0</v>
      </c>
    </row>
    <row r="717" spans="1:8" x14ac:dyDescent="0.2">
      <c r="A717" s="2" t="s">
        <v>70</v>
      </c>
      <c r="B717" s="2">
        <v>16</v>
      </c>
      <c r="C717" s="2">
        <v>6</v>
      </c>
      <c r="D717" s="2">
        <v>2020</v>
      </c>
      <c r="E717" s="2">
        <v>41.7</v>
      </c>
      <c r="F717" s="2">
        <v>96.3</v>
      </c>
      <c r="H717" s="1" t="b">
        <f>_xlfn.XLOOKUP('Data Source 1_customer readings'!A717,'Data Source 1_customer readings'!A717:A3115,'Data Source 1_customer readings'!J717:J3115)</f>
        <v>0</v>
      </c>
    </row>
    <row r="718" spans="1:8" x14ac:dyDescent="0.2">
      <c r="A718" s="2" t="s">
        <v>69</v>
      </c>
      <c r="B718" s="2">
        <v>12</v>
      </c>
      <c r="C718" s="2">
        <v>6</v>
      </c>
      <c r="D718" s="2">
        <v>2020</v>
      </c>
      <c r="E718" s="2">
        <v>41.7</v>
      </c>
      <c r="F718" s="2">
        <v>93.6</v>
      </c>
      <c r="H718" s="1">
        <f>_xlfn.XLOOKUP('Data Source 1_customer readings'!A718,'Data Source 1_customer readings'!A718:A3116,'Data Source 1_customer readings'!J718:J3116)</f>
        <v>0</v>
      </c>
    </row>
    <row r="719" spans="1:8" x14ac:dyDescent="0.2">
      <c r="A719" s="2" t="s">
        <v>61</v>
      </c>
      <c r="B719" s="2">
        <v>23</v>
      </c>
      <c r="C719" s="2">
        <v>6</v>
      </c>
      <c r="D719" s="2">
        <v>2020</v>
      </c>
      <c r="E719" s="2">
        <v>41.7</v>
      </c>
      <c r="F719" s="2">
        <v>88.2</v>
      </c>
      <c r="H719" s="1">
        <f>_xlfn.XLOOKUP('Data Source 1_customer readings'!A719,'Data Source 1_customer readings'!A719:A3117,'Data Source 1_customer readings'!J719:J3117)</f>
        <v>0</v>
      </c>
    </row>
    <row r="720" spans="1:8" x14ac:dyDescent="0.2">
      <c r="A720" s="2" t="s">
        <v>51</v>
      </c>
      <c r="B720" s="2">
        <v>16</v>
      </c>
      <c r="C720" s="2">
        <v>9</v>
      </c>
      <c r="D720" s="2">
        <v>2020</v>
      </c>
      <c r="E720" s="2">
        <v>41.7</v>
      </c>
      <c r="F720" s="2">
        <v>64.5</v>
      </c>
      <c r="H720" s="1">
        <f>_xlfn.XLOOKUP('Data Source 1_customer readings'!A720,'Data Source 1_customer readings'!A720:A3118,'Data Source 1_customer readings'!J720:J3118)</f>
        <v>0</v>
      </c>
    </row>
    <row r="721" spans="1:8" x14ac:dyDescent="0.2">
      <c r="A721" s="2" t="s">
        <v>46</v>
      </c>
      <c r="B721" s="2">
        <v>9</v>
      </c>
      <c r="C721" s="2">
        <v>5</v>
      </c>
      <c r="D721" s="2">
        <v>2020</v>
      </c>
      <c r="E721" s="2">
        <v>41.23</v>
      </c>
      <c r="F721" s="2">
        <v>79.36</v>
      </c>
      <c r="H721" s="1">
        <f>_xlfn.XLOOKUP('Data Source 1_customer readings'!A721,'Data Source 1_customer readings'!A721:A3119,'Data Source 1_customer readings'!J721:J3119)</f>
        <v>0</v>
      </c>
    </row>
    <row r="722" spans="1:8" x14ac:dyDescent="0.2">
      <c r="A722" s="2" t="s">
        <v>76</v>
      </c>
      <c r="B722" s="2">
        <v>9</v>
      </c>
      <c r="C722" s="2">
        <v>6</v>
      </c>
      <c r="D722" s="2">
        <v>2020</v>
      </c>
      <c r="E722" s="2">
        <v>41.1</v>
      </c>
      <c r="F722" s="2">
        <v>77.099999999999994</v>
      </c>
      <c r="H722" s="1">
        <f>_xlfn.XLOOKUP('Data Source 1_customer readings'!A722,'Data Source 1_customer readings'!A722:A3120,'Data Source 1_customer readings'!J722:J3120)</f>
        <v>0</v>
      </c>
    </row>
    <row r="723" spans="1:8" x14ac:dyDescent="0.2">
      <c r="A723" s="2" t="s">
        <v>55</v>
      </c>
      <c r="B723" s="2">
        <v>18</v>
      </c>
      <c r="C723" s="2">
        <v>9</v>
      </c>
      <c r="D723" s="2">
        <v>2020</v>
      </c>
      <c r="E723" s="2">
        <v>41.1</v>
      </c>
      <c r="F723" s="2">
        <v>69.3</v>
      </c>
      <c r="H723" s="1">
        <f>_xlfn.XLOOKUP('Data Source 1_customer readings'!A723,'Data Source 1_customer readings'!A723:A3121,'Data Source 1_customer readings'!J723:J3121)</f>
        <v>0</v>
      </c>
    </row>
    <row r="724" spans="1:8" x14ac:dyDescent="0.2">
      <c r="A724" s="2" t="s">
        <v>61</v>
      </c>
      <c r="B724" s="2">
        <v>23</v>
      </c>
      <c r="C724" s="2">
        <v>7</v>
      </c>
      <c r="D724" s="2">
        <v>2020</v>
      </c>
      <c r="E724" s="2">
        <v>40.92</v>
      </c>
      <c r="F724" s="2">
        <v>98.89</v>
      </c>
      <c r="H724" s="1">
        <f>_xlfn.XLOOKUP('Data Source 1_customer readings'!A724,'Data Source 1_customer readings'!A724:A3122,'Data Source 1_customer readings'!J724:J3122)</f>
        <v>0</v>
      </c>
    </row>
    <row r="725" spans="1:8" x14ac:dyDescent="0.2">
      <c r="A725" s="2" t="s">
        <v>77</v>
      </c>
      <c r="B725" s="2">
        <v>16</v>
      </c>
      <c r="C725" s="2">
        <v>6</v>
      </c>
      <c r="D725" s="2">
        <v>2020</v>
      </c>
      <c r="E725" s="2">
        <v>40.799999999999997</v>
      </c>
      <c r="F725" s="2">
        <v>98.7</v>
      </c>
      <c r="H725" s="1">
        <f>_xlfn.XLOOKUP('Data Source 1_customer readings'!A725,'Data Source 1_customer readings'!A725:A3123,'Data Source 1_customer readings'!J725:J3123)</f>
        <v>0</v>
      </c>
    </row>
    <row r="726" spans="1:8" x14ac:dyDescent="0.2">
      <c r="A726" s="2" t="s">
        <v>52</v>
      </c>
      <c r="B726" s="2">
        <v>1</v>
      </c>
      <c r="C726" s="2">
        <v>9</v>
      </c>
      <c r="D726" s="2">
        <v>2020</v>
      </c>
      <c r="E726" s="2">
        <v>40.799999999999997</v>
      </c>
      <c r="F726" s="2">
        <v>93.6</v>
      </c>
      <c r="H726" s="1">
        <f>_xlfn.XLOOKUP('Data Source 1_customer readings'!A726,'Data Source 1_customer readings'!A726:A3124,'Data Source 1_customer readings'!J726:J3124)</f>
        <v>0</v>
      </c>
    </row>
    <row r="727" spans="1:8" x14ac:dyDescent="0.2">
      <c r="A727" s="2" t="s">
        <v>66</v>
      </c>
      <c r="B727" s="2">
        <v>23</v>
      </c>
      <c r="C727" s="2">
        <v>9</v>
      </c>
      <c r="D727" s="2">
        <v>2020</v>
      </c>
      <c r="E727" s="2">
        <v>40.799999999999997</v>
      </c>
      <c r="F727" s="2">
        <v>92.4</v>
      </c>
      <c r="H727" s="1">
        <f>_xlfn.XLOOKUP('Data Source 1_customer readings'!A727,'Data Source 1_customer readings'!A727:A3125,'Data Source 1_customer readings'!J727:J3125)</f>
        <v>0</v>
      </c>
    </row>
    <row r="728" spans="1:8" x14ac:dyDescent="0.2">
      <c r="A728" s="2" t="s">
        <v>52</v>
      </c>
      <c r="B728" s="2">
        <v>1</v>
      </c>
      <c r="C728" s="2">
        <v>5</v>
      </c>
      <c r="D728" s="2">
        <v>2020</v>
      </c>
      <c r="E728" s="2">
        <v>40.61</v>
      </c>
      <c r="F728" s="2">
        <v>86.49</v>
      </c>
      <c r="H728" s="1">
        <f>_xlfn.XLOOKUP('Data Source 1_customer readings'!A728,'Data Source 1_customer readings'!A728:A3126,'Data Source 1_customer readings'!J728:J3126)</f>
        <v>0</v>
      </c>
    </row>
    <row r="729" spans="1:8" x14ac:dyDescent="0.2">
      <c r="A729" s="2" t="s">
        <v>64</v>
      </c>
      <c r="B729" s="2">
        <v>21</v>
      </c>
      <c r="C729" s="2">
        <v>7</v>
      </c>
      <c r="D729" s="2">
        <v>2020</v>
      </c>
      <c r="E729" s="2">
        <v>40.299999999999997</v>
      </c>
      <c r="F729" s="2">
        <v>80.91</v>
      </c>
      <c r="H729" s="1">
        <f>_xlfn.XLOOKUP('Data Source 1_customer readings'!A729,'Data Source 1_customer readings'!A729:A3127,'Data Source 1_customer readings'!J729:J3127)</f>
        <v>0</v>
      </c>
    </row>
    <row r="730" spans="1:8" x14ac:dyDescent="0.2">
      <c r="A730" s="2" t="s">
        <v>45</v>
      </c>
      <c r="B730" s="2">
        <v>18</v>
      </c>
      <c r="C730" s="2">
        <v>5</v>
      </c>
      <c r="D730" s="2">
        <v>2020</v>
      </c>
      <c r="E730" s="2">
        <v>40.299999999999997</v>
      </c>
      <c r="F730" s="2">
        <v>70.989999999999995</v>
      </c>
      <c r="H730" s="1">
        <f>_xlfn.XLOOKUP('Data Source 1_customer readings'!A730,'Data Source 1_customer readings'!A730:A3128,'Data Source 1_customer readings'!J730:J3128)</f>
        <v>0</v>
      </c>
    </row>
    <row r="731" spans="1:8" x14ac:dyDescent="0.2">
      <c r="A731" s="2" t="s">
        <v>76</v>
      </c>
      <c r="B731" s="2">
        <v>9</v>
      </c>
      <c r="C731" s="2">
        <v>7</v>
      </c>
      <c r="D731" s="2">
        <v>2020</v>
      </c>
      <c r="E731" s="2">
        <v>40.299999999999997</v>
      </c>
      <c r="F731" s="2">
        <v>70.989999999999995</v>
      </c>
      <c r="H731" s="1">
        <f>_xlfn.XLOOKUP('Data Source 1_customer readings'!A731,'Data Source 1_customer readings'!A731:A3129,'Data Source 1_customer readings'!J731:J3129)</f>
        <v>0</v>
      </c>
    </row>
    <row r="732" spans="1:8" x14ac:dyDescent="0.2">
      <c r="A732" s="2" t="s">
        <v>54</v>
      </c>
      <c r="B732" s="2">
        <v>5</v>
      </c>
      <c r="C732" s="2">
        <v>5</v>
      </c>
      <c r="D732" s="2">
        <v>2020</v>
      </c>
      <c r="E732" s="2">
        <v>39.99</v>
      </c>
      <c r="F732" s="2">
        <v>100.13</v>
      </c>
      <c r="H732" s="1">
        <f>_xlfn.XLOOKUP('Data Source 1_customer readings'!A732,'Data Source 1_customer readings'!A732:A3130,'Data Source 1_customer readings'!J732:J3130)</f>
        <v>0</v>
      </c>
    </row>
    <row r="733" spans="1:8" x14ac:dyDescent="0.2">
      <c r="A733" s="2" t="s">
        <v>76</v>
      </c>
      <c r="B733" s="2">
        <v>9</v>
      </c>
      <c r="C733" s="2">
        <v>8</v>
      </c>
      <c r="D733" s="2">
        <v>2020</v>
      </c>
      <c r="E733" s="2">
        <v>39.99</v>
      </c>
      <c r="F733" s="2">
        <v>77.5</v>
      </c>
      <c r="H733" s="1">
        <f>_xlfn.XLOOKUP('Data Source 1_customer readings'!A733,'Data Source 1_customer readings'!A733:A3131,'Data Source 1_customer readings'!J733:J3131)</f>
        <v>0</v>
      </c>
    </row>
    <row r="734" spans="1:8" x14ac:dyDescent="0.2">
      <c r="A734" s="2" t="s">
        <v>60</v>
      </c>
      <c r="B734" s="2">
        <v>20</v>
      </c>
      <c r="C734" s="2">
        <v>6</v>
      </c>
      <c r="D734" s="2">
        <v>2020</v>
      </c>
      <c r="E734" s="2">
        <v>39.6</v>
      </c>
      <c r="F734" s="2">
        <v>89.7</v>
      </c>
      <c r="H734" s="1">
        <f>_xlfn.XLOOKUP('Data Source 1_customer readings'!A734,'Data Source 1_customer readings'!A734:A3132,'Data Source 1_customer readings'!J734:J3132)</f>
        <v>0</v>
      </c>
    </row>
    <row r="735" spans="1:8" x14ac:dyDescent="0.2">
      <c r="A735" s="2" t="s">
        <v>59</v>
      </c>
      <c r="B735" s="2">
        <v>11</v>
      </c>
      <c r="C735" s="2">
        <v>6</v>
      </c>
      <c r="D735" s="2">
        <v>2020</v>
      </c>
      <c r="E735" s="2">
        <v>39.6</v>
      </c>
      <c r="F735" s="2">
        <v>83.4</v>
      </c>
      <c r="H735" s="1">
        <f>_xlfn.XLOOKUP('Data Source 1_customer readings'!A735,'Data Source 1_customer readings'!A735:A3133,'Data Source 1_customer readings'!J735:J3133)</f>
        <v>0</v>
      </c>
    </row>
    <row r="736" spans="1:8" x14ac:dyDescent="0.2">
      <c r="A736" s="2" t="s">
        <v>64</v>
      </c>
      <c r="B736" s="2">
        <v>21</v>
      </c>
      <c r="C736" s="2">
        <v>6</v>
      </c>
      <c r="D736" s="2">
        <v>2020</v>
      </c>
      <c r="E736" s="2">
        <v>39.6</v>
      </c>
      <c r="F736" s="2">
        <v>79.2</v>
      </c>
      <c r="H736" s="1">
        <f>_xlfn.XLOOKUP('Data Source 1_customer readings'!A736,'Data Source 1_customer readings'!A736:A3134,'Data Source 1_customer readings'!J736:J3134)</f>
        <v>0</v>
      </c>
    </row>
    <row r="737" spans="1:8" x14ac:dyDescent="0.2">
      <c r="A737" s="2" t="s">
        <v>42</v>
      </c>
      <c r="B737" s="2">
        <v>12</v>
      </c>
      <c r="C737" s="2">
        <v>9</v>
      </c>
      <c r="D737" s="2">
        <v>2020</v>
      </c>
      <c r="E737" s="2">
        <v>39.6</v>
      </c>
      <c r="F737" s="2">
        <v>72.3</v>
      </c>
      <c r="H737" s="1">
        <f>_xlfn.XLOOKUP('Data Source 1_customer readings'!A737,'Data Source 1_customer readings'!A737:A3135,'Data Source 1_customer readings'!J737:J3135)</f>
        <v>0</v>
      </c>
    </row>
    <row r="738" spans="1:8" x14ac:dyDescent="0.2">
      <c r="A738" s="2" t="s">
        <v>46</v>
      </c>
      <c r="B738" s="2">
        <v>9</v>
      </c>
      <c r="C738" s="2">
        <v>9</v>
      </c>
      <c r="D738" s="2">
        <v>2020</v>
      </c>
      <c r="E738" s="2">
        <v>39.6</v>
      </c>
      <c r="F738" s="2">
        <v>71.7</v>
      </c>
      <c r="H738" s="1">
        <f>_xlfn.XLOOKUP('Data Source 1_customer readings'!A738,'Data Source 1_customer readings'!A738:A3136,'Data Source 1_customer readings'!J738:J3136)</f>
        <v>0</v>
      </c>
    </row>
    <row r="739" spans="1:8" x14ac:dyDescent="0.2">
      <c r="A739" s="2" t="s">
        <v>54</v>
      </c>
      <c r="B739" s="2">
        <v>5</v>
      </c>
      <c r="C739" s="2">
        <v>8</v>
      </c>
      <c r="D739" s="2">
        <v>2020</v>
      </c>
      <c r="E739" s="2">
        <v>39.369999999999997</v>
      </c>
      <c r="F739" s="2">
        <v>105.71</v>
      </c>
      <c r="H739" s="1">
        <f>_xlfn.XLOOKUP('Data Source 1_customer readings'!A739,'Data Source 1_customer readings'!A739:A3137,'Data Source 1_customer readings'!J739:J3137)</f>
        <v>0</v>
      </c>
    </row>
    <row r="740" spans="1:8" x14ac:dyDescent="0.2">
      <c r="A740" s="2" t="s">
        <v>54</v>
      </c>
      <c r="B740" s="2">
        <v>5</v>
      </c>
      <c r="C740" s="2">
        <v>9</v>
      </c>
      <c r="D740" s="2">
        <v>2020</v>
      </c>
      <c r="E740" s="2">
        <v>39</v>
      </c>
      <c r="F740" s="2">
        <v>83.7</v>
      </c>
      <c r="H740" s="1">
        <f>_xlfn.XLOOKUP('Data Source 1_customer readings'!A740,'Data Source 1_customer readings'!A740:A3138,'Data Source 1_customer readings'!J740:J3138)</f>
        <v>0</v>
      </c>
    </row>
    <row r="741" spans="1:8" x14ac:dyDescent="0.2">
      <c r="A741" s="2" t="s">
        <v>66</v>
      </c>
      <c r="B741" s="2">
        <v>23</v>
      </c>
      <c r="C741" s="2">
        <v>6</v>
      </c>
      <c r="D741" s="2">
        <v>2020</v>
      </c>
      <c r="E741" s="2">
        <v>39</v>
      </c>
      <c r="F741" s="2">
        <v>82.5</v>
      </c>
      <c r="H741" s="1">
        <f>_xlfn.XLOOKUP('Data Source 1_customer readings'!A741,'Data Source 1_customer readings'!A741:A3139,'Data Source 1_customer readings'!J741:J3139)</f>
        <v>0</v>
      </c>
    </row>
    <row r="742" spans="1:8" x14ac:dyDescent="0.2">
      <c r="A742" s="2" t="s">
        <v>56</v>
      </c>
      <c r="B742" s="2">
        <v>14</v>
      </c>
      <c r="C742" s="2">
        <v>6</v>
      </c>
      <c r="D742" s="2">
        <v>2020</v>
      </c>
      <c r="E742" s="2">
        <v>39</v>
      </c>
      <c r="F742" s="2">
        <v>72.599999999999994</v>
      </c>
      <c r="H742" s="1">
        <f>_xlfn.XLOOKUP('Data Source 1_customer readings'!A742,'Data Source 1_customer readings'!A742:A3140,'Data Source 1_customer readings'!J742:J3140)</f>
        <v>0</v>
      </c>
    </row>
    <row r="743" spans="1:8" x14ac:dyDescent="0.2">
      <c r="A743" s="2" t="s">
        <v>75</v>
      </c>
      <c r="B743" s="2">
        <v>2</v>
      </c>
      <c r="C743" s="2">
        <v>6</v>
      </c>
      <c r="D743" s="2">
        <v>2020</v>
      </c>
      <c r="E743" s="2">
        <v>39</v>
      </c>
      <c r="F743" s="2">
        <v>65.7</v>
      </c>
      <c r="H743" s="1">
        <f>_xlfn.XLOOKUP('Data Source 1_customer readings'!A743,'Data Source 1_customer readings'!A743:A3141,'Data Source 1_customer readings'!J743:J3141)</f>
        <v>0</v>
      </c>
    </row>
    <row r="744" spans="1:8" x14ac:dyDescent="0.2">
      <c r="A744" s="2" t="s">
        <v>67</v>
      </c>
      <c r="B744" s="2">
        <v>13</v>
      </c>
      <c r="C744" s="2">
        <v>5</v>
      </c>
      <c r="D744" s="2">
        <v>2020</v>
      </c>
      <c r="E744" s="2">
        <v>38.75</v>
      </c>
      <c r="F744" s="2">
        <v>91.76</v>
      </c>
      <c r="H744" s="1">
        <f>_xlfn.XLOOKUP('Data Source 1_customer readings'!A744,'Data Source 1_customer readings'!A744:A3142,'Data Source 1_customer readings'!J744:J3142)</f>
        <v>0</v>
      </c>
    </row>
    <row r="745" spans="1:8" x14ac:dyDescent="0.2">
      <c r="A745" s="2" t="s">
        <v>57</v>
      </c>
      <c r="B745" s="2">
        <v>17</v>
      </c>
      <c r="C745" s="2">
        <v>5</v>
      </c>
      <c r="D745" s="2">
        <v>2020</v>
      </c>
      <c r="E745" s="2">
        <v>38.44</v>
      </c>
      <c r="F745" s="2">
        <v>96.72</v>
      </c>
      <c r="H745" s="1" t="b">
        <f>_xlfn.XLOOKUP('Data Source 1_customer readings'!A745,'Data Source 1_customer readings'!A745:A3143,'Data Source 1_customer readings'!J745:J3143)</f>
        <v>0</v>
      </c>
    </row>
    <row r="746" spans="1:8" x14ac:dyDescent="0.2">
      <c r="A746" s="2" t="s">
        <v>69</v>
      </c>
      <c r="B746" s="2">
        <v>12</v>
      </c>
      <c r="C746" s="2">
        <v>7</v>
      </c>
      <c r="D746" s="2">
        <v>2020</v>
      </c>
      <c r="E746" s="2">
        <v>38.44</v>
      </c>
      <c r="F746" s="2">
        <v>86.49</v>
      </c>
      <c r="H746" s="1">
        <f>_xlfn.XLOOKUP('Data Source 1_customer readings'!A746,'Data Source 1_customer readings'!A746:A3144,'Data Source 1_customer readings'!J746:J3144)</f>
        <v>0</v>
      </c>
    </row>
    <row r="747" spans="1:8" x14ac:dyDescent="0.2">
      <c r="A747" s="2" t="s">
        <v>67</v>
      </c>
      <c r="B747" s="2">
        <v>13</v>
      </c>
      <c r="C747" s="2">
        <v>7</v>
      </c>
      <c r="D747" s="2">
        <v>2020</v>
      </c>
      <c r="E747" s="2">
        <v>38.44</v>
      </c>
      <c r="F747" s="2">
        <v>80.91</v>
      </c>
      <c r="H747" s="1">
        <f>_xlfn.XLOOKUP('Data Source 1_customer readings'!A747,'Data Source 1_customer readings'!A747:A3145,'Data Source 1_customer readings'!J747:J3145)</f>
        <v>0</v>
      </c>
    </row>
    <row r="748" spans="1:8" x14ac:dyDescent="0.2">
      <c r="A748" s="2" t="s">
        <v>73</v>
      </c>
      <c r="B748" s="2">
        <v>5</v>
      </c>
      <c r="C748" s="2">
        <v>6</v>
      </c>
      <c r="D748" s="2">
        <v>2020</v>
      </c>
      <c r="E748" s="2">
        <v>38.4</v>
      </c>
      <c r="F748" s="2">
        <v>88.8</v>
      </c>
      <c r="H748" s="1">
        <f>_xlfn.XLOOKUP('Data Source 1_customer readings'!A748,'Data Source 1_customer readings'!A748:A3146,'Data Source 1_customer readings'!J748:J3146)</f>
        <v>0</v>
      </c>
    </row>
    <row r="749" spans="1:8" x14ac:dyDescent="0.2">
      <c r="A749" s="2" t="s">
        <v>72</v>
      </c>
      <c r="B749" s="2">
        <v>22</v>
      </c>
      <c r="C749" s="2">
        <v>7</v>
      </c>
      <c r="D749" s="2">
        <v>2020</v>
      </c>
      <c r="E749" s="2">
        <v>38.130000000000003</v>
      </c>
      <c r="F749" s="2">
        <v>117.8</v>
      </c>
      <c r="H749" s="1">
        <f>_xlfn.XLOOKUP('Data Source 1_customer readings'!A749,'Data Source 1_customer readings'!A749:A3147,'Data Source 1_customer readings'!J749:J3147)</f>
        <v>0</v>
      </c>
    </row>
    <row r="750" spans="1:8" x14ac:dyDescent="0.2">
      <c r="A750" s="2" t="s">
        <v>55</v>
      </c>
      <c r="B750" s="2">
        <v>18</v>
      </c>
      <c r="C750" s="2">
        <v>7</v>
      </c>
      <c r="D750" s="2">
        <v>2020</v>
      </c>
      <c r="E750" s="2">
        <v>38.130000000000003</v>
      </c>
      <c r="F750" s="2">
        <v>78.12</v>
      </c>
      <c r="H750" s="1">
        <f>_xlfn.XLOOKUP('Data Source 1_customer readings'!A750,'Data Source 1_customer readings'!A750:A3148,'Data Source 1_customer readings'!J750:J3148)</f>
        <v>0</v>
      </c>
    </row>
    <row r="751" spans="1:8" x14ac:dyDescent="0.2">
      <c r="A751" s="2" t="s">
        <v>67</v>
      </c>
      <c r="B751" s="2">
        <v>13</v>
      </c>
      <c r="C751" s="2">
        <v>8</v>
      </c>
      <c r="D751" s="2">
        <v>2020</v>
      </c>
      <c r="E751" s="2">
        <v>38.130000000000003</v>
      </c>
      <c r="F751" s="2">
        <v>71.92</v>
      </c>
      <c r="H751" s="1">
        <f>_xlfn.XLOOKUP('Data Source 1_customer readings'!A751,'Data Source 1_customer readings'!A751:A3149,'Data Source 1_customer readings'!J751:J3149)</f>
        <v>0</v>
      </c>
    </row>
    <row r="752" spans="1:8" x14ac:dyDescent="0.2">
      <c r="A752" s="2" t="s">
        <v>54</v>
      </c>
      <c r="B752" s="2">
        <v>5</v>
      </c>
      <c r="C752" s="2">
        <v>7</v>
      </c>
      <c r="D752" s="2">
        <v>2020</v>
      </c>
      <c r="E752" s="2">
        <v>37.82</v>
      </c>
      <c r="F752" s="2">
        <v>93.31</v>
      </c>
      <c r="H752" s="1">
        <f>_xlfn.XLOOKUP('Data Source 1_customer readings'!A752,'Data Source 1_customer readings'!A752:A3150,'Data Source 1_customer readings'!J752:J3150)</f>
        <v>0</v>
      </c>
    </row>
    <row r="753" spans="1:8" x14ac:dyDescent="0.2">
      <c r="A753" s="2" t="s">
        <v>66</v>
      </c>
      <c r="B753" s="2">
        <v>23</v>
      </c>
      <c r="C753" s="2">
        <v>7</v>
      </c>
      <c r="D753" s="2">
        <v>2020</v>
      </c>
      <c r="E753" s="2">
        <v>37.82</v>
      </c>
      <c r="F753" s="2">
        <v>79.36</v>
      </c>
      <c r="H753" s="1">
        <f>_xlfn.XLOOKUP('Data Source 1_customer readings'!A753,'Data Source 1_customer readings'!A753:A3151,'Data Source 1_customer readings'!J753:J3151)</f>
        <v>0</v>
      </c>
    </row>
    <row r="754" spans="1:8" x14ac:dyDescent="0.2">
      <c r="A754" s="2" t="s">
        <v>49</v>
      </c>
      <c r="B754" s="2">
        <v>3</v>
      </c>
      <c r="C754" s="2">
        <v>5</v>
      </c>
      <c r="D754" s="2">
        <v>2020</v>
      </c>
      <c r="E754" s="2">
        <v>37.82</v>
      </c>
      <c r="F754" s="2">
        <v>58.59</v>
      </c>
      <c r="H754" s="1">
        <f>_xlfn.XLOOKUP('Data Source 1_customer readings'!A754,'Data Source 1_customer readings'!A754:A3152,'Data Source 1_customer readings'!J754:J3152)</f>
        <v>0</v>
      </c>
    </row>
    <row r="755" spans="1:8" x14ac:dyDescent="0.2">
      <c r="A755" s="2" t="s">
        <v>41</v>
      </c>
      <c r="B755" s="2">
        <v>15</v>
      </c>
      <c r="C755" s="2">
        <v>9</v>
      </c>
      <c r="D755" s="2">
        <v>2020</v>
      </c>
      <c r="E755" s="2">
        <v>37.799999999999997</v>
      </c>
      <c r="F755" s="2">
        <v>81.599999999999994</v>
      </c>
      <c r="H755" s="1">
        <f>_xlfn.XLOOKUP('Data Source 1_customer readings'!A755,'Data Source 1_customer readings'!A755:A3153,'Data Source 1_customer readings'!J755:J3153)</f>
        <v>0</v>
      </c>
    </row>
    <row r="756" spans="1:8" x14ac:dyDescent="0.2">
      <c r="A756" s="2" t="s">
        <v>45</v>
      </c>
      <c r="B756" s="2">
        <v>18</v>
      </c>
      <c r="C756" s="2">
        <v>9</v>
      </c>
      <c r="D756" s="2">
        <v>2020</v>
      </c>
      <c r="E756" s="2">
        <v>37.799999999999997</v>
      </c>
      <c r="F756" s="2">
        <v>65.7</v>
      </c>
      <c r="H756" s="1" t="b">
        <f>_xlfn.XLOOKUP('Data Source 1_customer readings'!A756,'Data Source 1_customer readings'!A756:A3154,'Data Source 1_customer readings'!J756:J3154)</f>
        <v>0</v>
      </c>
    </row>
    <row r="757" spans="1:8" x14ac:dyDescent="0.2">
      <c r="A757" s="2" t="s">
        <v>69</v>
      </c>
      <c r="B757" s="2">
        <v>12</v>
      </c>
      <c r="C757" s="2">
        <v>5</v>
      </c>
      <c r="D757" s="2">
        <v>2020</v>
      </c>
      <c r="E757" s="2">
        <v>37.51</v>
      </c>
      <c r="F757" s="2">
        <v>95.48</v>
      </c>
      <c r="H757" s="1">
        <f>_xlfn.XLOOKUP('Data Source 1_customer readings'!A757,'Data Source 1_customer readings'!A757:A3155,'Data Source 1_customer readings'!J757:J3155)</f>
        <v>0</v>
      </c>
    </row>
    <row r="758" spans="1:8" x14ac:dyDescent="0.2">
      <c r="A758" s="2" t="s">
        <v>62</v>
      </c>
      <c r="B758" s="2">
        <v>1</v>
      </c>
      <c r="C758" s="2">
        <v>7</v>
      </c>
      <c r="D758" s="2">
        <v>2020</v>
      </c>
      <c r="E758" s="2">
        <v>37.51</v>
      </c>
      <c r="F758" s="2">
        <v>70.680000000000007</v>
      </c>
      <c r="H758" s="1" t="b">
        <f>_xlfn.XLOOKUP('Data Source 1_customer readings'!A758,'Data Source 1_customer readings'!A758:A3156,'Data Source 1_customer readings'!J758:J3156)</f>
        <v>0</v>
      </c>
    </row>
    <row r="759" spans="1:8" x14ac:dyDescent="0.2">
      <c r="A759" s="2" t="s">
        <v>47</v>
      </c>
      <c r="B759" s="2">
        <v>19</v>
      </c>
      <c r="C759" s="2">
        <v>9</v>
      </c>
      <c r="D759" s="2">
        <v>2020</v>
      </c>
      <c r="E759" s="2">
        <v>37.5</v>
      </c>
      <c r="F759" s="2">
        <v>57.9</v>
      </c>
      <c r="H759" s="1">
        <f>_xlfn.XLOOKUP('Data Source 1_customer readings'!A759,'Data Source 1_customer readings'!A759:A3157,'Data Source 1_customer readings'!J759:J3157)</f>
        <v>0</v>
      </c>
    </row>
    <row r="760" spans="1:8" x14ac:dyDescent="0.2">
      <c r="A760" s="2" t="s">
        <v>71</v>
      </c>
      <c r="B760" s="2">
        <v>21</v>
      </c>
      <c r="C760" s="2">
        <v>6</v>
      </c>
      <c r="D760" s="2">
        <v>2020</v>
      </c>
      <c r="E760" s="2">
        <v>37.200000000000003</v>
      </c>
      <c r="F760" s="2">
        <v>97.8</v>
      </c>
      <c r="H760" s="1" t="b">
        <f>_xlfn.XLOOKUP('Data Source 1_customer readings'!A760,'Data Source 1_customer readings'!A760:A3158,'Data Source 1_customer readings'!J760:J3158)</f>
        <v>0</v>
      </c>
    </row>
    <row r="761" spans="1:8" x14ac:dyDescent="0.2">
      <c r="A761" s="2" t="s">
        <v>70</v>
      </c>
      <c r="B761" s="2">
        <v>16</v>
      </c>
      <c r="C761" s="2">
        <v>8</v>
      </c>
      <c r="D761" s="2">
        <v>2020</v>
      </c>
      <c r="E761" s="2">
        <v>37.200000000000003</v>
      </c>
      <c r="F761" s="2">
        <v>94.55</v>
      </c>
      <c r="H761" s="1">
        <f>_xlfn.XLOOKUP('Data Source 1_customer readings'!A761,'Data Source 1_customer readings'!A761:A3159,'Data Source 1_customer readings'!J761:J3159)</f>
        <v>0</v>
      </c>
    </row>
    <row r="762" spans="1:8" x14ac:dyDescent="0.2">
      <c r="A762" s="2" t="s">
        <v>58</v>
      </c>
      <c r="B762" s="2">
        <v>16</v>
      </c>
      <c r="C762" s="2">
        <v>8</v>
      </c>
      <c r="D762" s="2">
        <v>2020</v>
      </c>
      <c r="E762" s="2">
        <v>37.200000000000003</v>
      </c>
      <c r="F762" s="2">
        <v>77.81</v>
      </c>
      <c r="H762" s="1">
        <f>_xlfn.XLOOKUP('Data Source 1_customer readings'!A762,'Data Source 1_customer readings'!A762:A3160,'Data Source 1_customer readings'!J762:J3160)</f>
        <v>0</v>
      </c>
    </row>
    <row r="763" spans="1:8" x14ac:dyDescent="0.2">
      <c r="A763" s="2" t="s">
        <v>39</v>
      </c>
      <c r="B763" s="2">
        <v>22</v>
      </c>
      <c r="C763" s="2">
        <v>9</v>
      </c>
      <c r="D763" s="2">
        <v>2020</v>
      </c>
      <c r="E763" s="2">
        <v>37.200000000000003</v>
      </c>
      <c r="F763" s="2">
        <v>62.7</v>
      </c>
      <c r="H763" s="1">
        <f>_xlfn.XLOOKUP('Data Source 1_customer readings'!A763,'Data Source 1_customer readings'!A763:A3161,'Data Source 1_customer readings'!J763:J3161)</f>
        <v>0</v>
      </c>
    </row>
    <row r="764" spans="1:8" x14ac:dyDescent="0.2">
      <c r="A764" s="2" t="s">
        <v>69</v>
      </c>
      <c r="B764" s="2">
        <v>12</v>
      </c>
      <c r="C764" s="2">
        <v>9</v>
      </c>
      <c r="D764" s="2">
        <v>2020</v>
      </c>
      <c r="E764" s="2">
        <v>36.9</v>
      </c>
      <c r="F764" s="2">
        <v>79.5</v>
      </c>
      <c r="H764" s="1">
        <f>_xlfn.XLOOKUP('Data Source 1_customer readings'!A764,'Data Source 1_customer readings'!A764:A3162,'Data Source 1_customer readings'!J764:J3162)</f>
        <v>0</v>
      </c>
    </row>
    <row r="765" spans="1:8" x14ac:dyDescent="0.2">
      <c r="A765" s="2" t="s">
        <v>58</v>
      </c>
      <c r="B765" s="2">
        <v>16</v>
      </c>
      <c r="C765" s="2">
        <v>6</v>
      </c>
      <c r="D765" s="2">
        <v>2020</v>
      </c>
      <c r="E765" s="2">
        <v>36.9</v>
      </c>
      <c r="F765" s="2">
        <v>78.599999999999994</v>
      </c>
      <c r="H765" s="1">
        <f>_xlfn.XLOOKUP('Data Source 1_customer readings'!A765,'Data Source 1_customer readings'!A765:A3163,'Data Source 1_customer readings'!J765:J3163)</f>
        <v>0</v>
      </c>
    </row>
    <row r="766" spans="1:8" x14ac:dyDescent="0.2">
      <c r="A766" s="2" t="s">
        <v>36</v>
      </c>
      <c r="B766" s="2">
        <v>12</v>
      </c>
      <c r="C766" s="2">
        <v>5</v>
      </c>
      <c r="D766" s="2">
        <v>2020</v>
      </c>
      <c r="E766" s="2">
        <v>36.89</v>
      </c>
      <c r="F766" s="2">
        <v>86.18</v>
      </c>
      <c r="H766" s="1">
        <f>_xlfn.XLOOKUP('Data Source 1_customer readings'!A766,'Data Source 1_customer readings'!A766:A3164,'Data Source 1_customer readings'!J766:J3164)</f>
        <v>0</v>
      </c>
    </row>
    <row r="767" spans="1:8" x14ac:dyDescent="0.2">
      <c r="A767" s="2" t="s">
        <v>56</v>
      </c>
      <c r="B767" s="2">
        <v>14</v>
      </c>
      <c r="C767" s="2">
        <v>8</v>
      </c>
      <c r="D767" s="2">
        <v>2020</v>
      </c>
      <c r="E767" s="2">
        <v>36.89</v>
      </c>
      <c r="F767" s="2">
        <v>78.739999999999995</v>
      </c>
      <c r="H767" s="1">
        <f>_xlfn.XLOOKUP('Data Source 1_customer readings'!A767,'Data Source 1_customer readings'!A767:A3165,'Data Source 1_customer readings'!J767:J3165)</f>
        <v>0</v>
      </c>
    </row>
    <row r="768" spans="1:8" x14ac:dyDescent="0.2">
      <c r="A768" s="2" t="s">
        <v>47</v>
      </c>
      <c r="B768" s="2">
        <v>19</v>
      </c>
      <c r="C768" s="2">
        <v>5</v>
      </c>
      <c r="D768" s="2">
        <v>2020</v>
      </c>
      <c r="E768" s="2">
        <v>36.89</v>
      </c>
      <c r="F768" s="2">
        <v>75.33</v>
      </c>
      <c r="H768" s="1">
        <f>_xlfn.XLOOKUP('Data Source 1_customer readings'!A768,'Data Source 1_customer readings'!A768:A3166,'Data Source 1_customer readings'!J768:J3166)</f>
        <v>0</v>
      </c>
    </row>
    <row r="769" spans="1:8" x14ac:dyDescent="0.2">
      <c r="A769" s="2" t="s">
        <v>43</v>
      </c>
      <c r="B769" s="2">
        <v>15</v>
      </c>
      <c r="C769" s="2">
        <v>9</v>
      </c>
      <c r="D769" s="2">
        <v>2020</v>
      </c>
      <c r="E769" s="2">
        <v>36.6</v>
      </c>
      <c r="F769" s="2">
        <v>91.2</v>
      </c>
      <c r="H769" s="1" t="b">
        <f>_xlfn.XLOOKUP('Data Source 1_customer readings'!A769,'Data Source 1_customer readings'!A769:A3167,'Data Source 1_customer readings'!J769:J3167)</f>
        <v>0</v>
      </c>
    </row>
    <row r="770" spans="1:8" x14ac:dyDescent="0.2">
      <c r="A770" s="2" t="s">
        <v>53</v>
      </c>
      <c r="B770" s="2">
        <v>18</v>
      </c>
      <c r="C770" s="2">
        <v>5</v>
      </c>
      <c r="D770" s="2">
        <v>2020</v>
      </c>
      <c r="E770" s="2">
        <v>36.58</v>
      </c>
      <c r="F770" s="2">
        <v>96.41</v>
      </c>
      <c r="H770" s="1">
        <f>_xlfn.XLOOKUP('Data Source 1_customer readings'!A770,'Data Source 1_customer readings'!A770:A3168,'Data Source 1_customer readings'!J770:J3168)</f>
        <v>0</v>
      </c>
    </row>
    <row r="771" spans="1:8" x14ac:dyDescent="0.2">
      <c r="A771" s="2" t="s">
        <v>55</v>
      </c>
      <c r="B771" s="2">
        <v>18</v>
      </c>
      <c r="C771" s="2">
        <v>5</v>
      </c>
      <c r="D771" s="2">
        <v>2020</v>
      </c>
      <c r="E771" s="2">
        <v>36.58</v>
      </c>
      <c r="F771" s="2">
        <v>86.8</v>
      </c>
      <c r="H771" s="1">
        <f>_xlfn.XLOOKUP('Data Source 1_customer readings'!A771,'Data Source 1_customer readings'!A771:A3169,'Data Source 1_customer readings'!J771:J3169)</f>
        <v>0</v>
      </c>
    </row>
    <row r="772" spans="1:8" x14ac:dyDescent="0.2">
      <c r="A772" s="2" t="s">
        <v>50</v>
      </c>
      <c r="B772" s="2">
        <v>24</v>
      </c>
      <c r="C772" s="2">
        <v>8</v>
      </c>
      <c r="D772" s="2">
        <v>2020</v>
      </c>
      <c r="E772" s="2">
        <v>36.58</v>
      </c>
      <c r="F772" s="2">
        <v>69.13</v>
      </c>
      <c r="H772" s="1">
        <f>_xlfn.XLOOKUP('Data Source 1_customer readings'!A772,'Data Source 1_customer readings'!A772:A3170,'Data Source 1_customer readings'!J772:J3170)</f>
        <v>0</v>
      </c>
    </row>
    <row r="773" spans="1:8" x14ac:dyDescent="0.2">
      <c r="A773" s="2" t="s">
        <v>63</v>
      </c>
      <c r="B773" s="2">
        <v>25</v>
      </c>
      <c r="C773" s="2">
        <v>9</v>
      </c>
      <c r="D773" s="2">
        <v>2020</v>
      </c>
      <c r="E773" s="2">
        <v>36.299999999999997</v>
      </c>
      <c r="F773" s="2">
        <v>70.2</v>
      </c>
      <c r="H773" s="1">
        <f>_xlfn.XLOOKUP('Data Source 1_customer readings'!A773,'Data Source 1_customer readings'!A773:A3171,'Data Source 1_customer readings'!J773:J3171)</f>
        <v>0</v>
      </c>
    </row>
    <row r="774" spans="1:8" x14ac:dyDescent="0.2">
      <c r="A774" s="2" t="s">
        <v>63</v>
      </c>
      <c r="B774" s="2">
        <v>25</v>
      </c>
      <c r="C774" s="2">
        <v>6</v>
      </c>
      <c r="D774" s="2">
        <v>2020</v>
      </c>
      <c r="E774" s="2">
        <v>36.299999999999997</v>
      </c>
      <c r="F774" s="2">
        <v>68.400000000000006</v>
      </c>
      <c r="H774" s="1">
        <f>_xlfn.XLOOKUP('Data Source 1_customer readings'!A774,'Data Source 1_customer readings'!A774:A3172,'Data Source 1_customer readings'!J774:J3172)</f>
        <v>0</v>
      </c>
    </row>
    <row r="775" spans="1:8" x14ac:dyDescent="0.2">
      <c r="A775" s="2" t="s">
        <v>58</v>
      </c>
      <c r="B775" s="2">
        <v>16</v>
      </c>
      <c r="C775" s="2">
        <v>7</v>
      </c>
      <c r="D775" s="2">
        <v>2020</v>
      </c>
      <c r="E775" s="2">
        <v>36.270000000000003</v>
      </c>
      <c r="F775" s="2">
        <v>78.430000000000007</v>
      </c>
      <c r="H775" s="1">
        <f>_xlfn.XLOOKUP('Data Source 1_customer readings'!A775,'Data Source 1_customer readings'!A775:A3173,'Data Source 1_customer readings'!J775:J3173)</f>
        <v>0</v>
      </c>
    </row>
    <row r="776" spans="1:8" x14ac:dyDescent="0.2">
      <c r="A776" s="2" t="s">
        <v>37</v>
      </c>
      <c r="B776" s="2">
        <v>12</v>
      </c>
      <c r="C776" s="2">
        <v>5</v>
      </c>
      <c r="D776" s="2">
        <v>2020</v>
      </c>
      <c r="E776" s="2">
        <v>36.270000000000003</v>
      </c>
      <c r="F776" s="2">
        <v>72.540000000000006</v>
      </c>
      <c r="H776" s="1">
        <f>_xlfn.XLOOKUP('Data Source 1_customer readings'!A776,'Data Source 1_customer readings'!A776:A3174,'Data Source 1_customer readings'!J776:J3174)</f>
        <v>0</v>
      </c>
    </row>
    <row r="777" spans="1:8" x14ac:dyDescent="0.2">
      <c r="A777" s="2" t="s">
        <v>57</v>
      </c>
      <c r="B777" s="2">
        <v>17</v>
      </c>
      <c r="C777" s="2">
        <v>9</v>
      </c>
      <c r="D777" s="2">
        <v>2020</v>
      </c>
      <c r="E777" s="2">
        <v>36</v>
      </c>
      <c r="F777" s="2">
        <v>78.599999999999994</v>
      </c>
      <c r="H777" s="1">
        <f>_xlfn.XLOOKUP('Data Source 1_customer readings'!A777,'Data Source 1_customer readings'!A777:A3175,'Data Source 1_customer readings'!J777:J3175)</f>
        <v>0</v>
      </c>
    </row>
    <row r="778" spans="1:8" x14ac:dyDescent="0.2">
      <c r="A778" s="2" t="s">
        <v>68</v>
      </c>
      <c r="B778" s="2">
        <v>11</v>
      </c>
      <c r="C778" s="2">
        <v>7</v>
      </c>
      <c r="D778" s="2">
        <v>2020</v>
      </c>
      <c r="E778" s="2">
        <v>35.96</v>
      </c>
      <c r="F778" s="2">
        <v>85.87</v>
      </c>
      <c r="H778" s="1">
        <f>_xlfn.XLOOKUP('Data Source 1_customer readings'!A778,'Data Source 1_customer readings'!A778:A3176,'Data Source 1_customer readings'!J778:J3176)</f>
        <v>0</v>
      </c>
    </row>
    <row r="779" spans="1:8" x14ac:dyDescent="0.2">
      <c r="A779" s="2" t="s">
        <v>50</v>
      </c>
      <c r="B779" s="2">
        <v>24</v>
      </c>
      <c r="C779" s="2">
        <v>5</v>
      </c>
      <c r="D779" s="2">
        <v>2020</v>
      </c>
      <c r="E779" s="2">
        <v>35.96</v>
      </c>
      <c r="F779" s="2">
        <v>70.989999999999995</v>
      </c>
      <c r="H779" s="1">
        <f>_xlfn.XLOOKUP('Data Source 1_customer readings'!A779,'Data Source 1_customer readings'!A779:A3177,'Data Source 1_customer readings'!J779:J3177)</f>
        <v>0</v>
      </c>
    </row>
    <row r="780" spans="1:8" x14ac:dyDescent="0.2">
      <c r="A780" s="2" t="s">
        <v>67</v>
      </c>
      <c r="B780" s="2">
        <v>13</v>
      </c>
      <c r="C780" s="2">
        <v>6</v>
      </c>
      <c r="D780" s="2">
        <v>2020</v>
      </c>
      <c r="E780" s="2">
        <v>35.700000000000003</v>
      </c>
      <c r="F780" s="2">
        <v>71.400000000000006</v>
      </c>
      <c r="H780" s="1">
        <f>_xlfn.XLOOKUP('Data Source 1_customer readings'!A780,'Data Source 1_customer readings'!A780:A3178,'Data Source 1_customer readings'!J780:J3178)</f>
        <v>0</v>
      </c>
    </row>
    <row r="781" spans="1:8" x14ac:dyDescent="0.2">
      <c r="A781" s="2" t="s">
        <v>53</v>
      </c>
      <c r="B781" s="2">
        <v>18</v>
      </c>
      <c r="C781" s="2">
        <v>7</v>
      </c>
      <c r="D781" s="2">
        <v>2020</v>
      </c>
      <c r="E781" s="2">
        <v>35.65</v>
      </c>
      <c r="F781" s="2">
        <v>91.14</v>
      </c>
      <c r="H781" s="1">
        <f>_xlfn.XLOOKUP('Data Source 1_customer readings'!A781,'Data Source 1_customer readings'!A781:A3179,'Data Source 1_customer readings'!J781:J3179)</f>
        <v>0</v>
      </c>
    </row>
    <row r="782" spans="1:8" x14ac:dyDescent="0.2">
      <c r="A782" s="2" t="s">
        <v>60</v>
      </c>
      <c r="B782" s="2">
        <v>20</v>
      </c>
      <c r="C782" s="2">
        <v>8</v>
      </c>
      <c r="D782" s="2">
        <v>2020</v>
      </c>
      <c r="E782" s="2">
        <v>35.65</v>
      </c>
      <c r="F782" s="2">
        <v>81.84</v>
      </c>
      <c r="H782" s="1" t="b">
        <f>_xlfn.XLOOKUP('Data Source 1_customer readings'!A782,'Data Source 1_customer readings'!A782:A3180,'Data Source 1_customer readings'!J782:J3180)</f>
        <v>0</v>
      </c>
    </row>
    <row r="783" spans="1:8" x14ac:dyDescent="0.2">
      <c r="A783" s="2" t="s">
        <v>65</v>
      </c>
      <c r="B783" s="2">
        <v>11</v>
      </c>
      <c r="C783" s="2">
        <v>7</v>
      </c>
      <c r="D783" s="2">
        <v>2020</v>
      </c>
      <c r="E783" s="2">
        <v>35.340000000000003</v>
      </c>
      <c r="F783" s="2">
        <v>88.97</v>
      </c>
      <c r="H783" s="1">
        <f>_xlfn.XLOOKUP('Data Source 1_customer readings'!A783,'Data Source 1_customer readings'!A783:A3181,'Data Source 1_customer readings'!J783:J3181)</f>
        <v>0</v>
      </c>
    </row>
    <row r="784" spans="1:8" x14ac:dyDescent="0.2">
      <c r="A784" s="2" t="s">
        <v>42</v>
      </c>
      <c r="B784" s="2">
        <v>12</v>
      </c>
      <c r="C784" s="2">
        <v>5</v>
      </c>
      <c r="D784" s="2">
        <v>2020</v>
      </c>
      <c r="E784" s="2">
        <v>35.340000000000003</v>
      </c>
      <c r="F784" s="2">
        <v>80.290000000000006</v>
      </c>
      <c r="H784" s="1">
        <f>_xlfn.XLOOKUP('Data Source 1_customer readings'!A784,'Data Source 1_customer readings'!A784:A3182,'Data Source 1_customer readings'!J784:J3182)</f>
        <v>0</v>
      </c>
    </row>
    <row r="785" spans="1:8" x14ac:dyDescent="0.2">
      <c r="A785" s="2" t="s">
        <v>66</v>
      </c>
      <c r="B785" s="2">
        <v>23</v>
      </c>
      <c r="C785" s="2">
        <v>8</v>
      </c>
      <c r="D785" s="2">
        <v>2020</v>
      </c>
      <c r="E785" s="2">
        <v>35.03</v>
      </c>
      <c r="F785" s="2">
        <v>82.15</v>
      </c>
      <c r="H785" s="1">
        <f>_xlfn.XLOOKUP('Data Source 1_customer readings'!A785,'Data Source 1_customer readings'!A785:A3183,'Data Source 1_customer readings'!J785:J3183)</f>
        <v>0</v>
      </c>
    </row>
    <row r="786" spans="1:8" x14ac:dyDescent="0.2">
      <c r="A786" s="2" t="s">
        <v>48</v>
      </c>
      <c r="B786" s="2">
        <v>24</v>
      </c>
      <c r="C786" s="2">
        <v>7</v>
      </c>
      <c r="D786" s="2">
        <v>2020</v>
      </c>
      <c r="E786" s="2">
        <v>35.03</v>
      </c>
      <c r="F786" s="2">
        <v>73.16</v>
      </c>
      <c r="H786" s="1">
        <f>_xlfn.XLOOKUP('Data Source 1_customer readings'!A786,'Data Source 1_customer readings'!A786:A3184,'Data Source 1_customer readings'!J786:J3184)</f>
        <v>0</v>
      </c>
    </row>
    <row r="787" spans="1:8" x14ac:dyDescent="0.2">
      <c r="A787" s="2" t="s">
        <v>59</v>
      </c>
      <c r="B787" s="2">
        <v>11</v>
      </c>
      <c r="C787" s="2">
        <v>8</v>
      </c>
      <c r="D787" s="2">
        <v>2020</v>
      </c>
      <c r="E787" s="2">
        <v>34.72</v>
      </c>
      <c r="F787" s="2">
        <v>78.430000000000007</v>
      </c>
      <c r="H787" s="1">
        <f>_xlfn.XLOOKUP('Data Source 1_customer readings'!A787,'Data Source 1_customer readings'!A787:A3185,'Data Source 1_customer readings'!J787:J3185)</f>
        <v>0</v>
      </c>
    </row>
    <row r="788" spans="1:8" x14ac:dyDescent="0.2">
      <c r="A788" s="2" t="s">
        <v>65</v>
      </c>
      <c r="B788" s="2">
        <v>11</v>
      </c>
      <c r="C788" s="2">
        <v>8</v>
      </c>
      <c r="D788" s="2">
        <v>2020</v>
      </c>
      <c r="E788" s="2">
        <v>34.409999999999997</v>
      </c>
      <c r="F788" s="2">
        <v>92.07</v>
      </c>
      <c r="H788" s="1">
        <f>_xlfn.XLOOKUP('Data Source 1_customer readings'!A788,'Data Source 1_customer readings'!A788:A3186,'Data Source 1_customer readings'!J788:J3186)</f>
        <v>0</v>
      </c>
    </row>
    <row r="789" spans="1:8" x14ac:dyDescent="0.2">
      <c r="A789" s="2" t="s">
        <v>49</v>
      </c>
      <c r="B789" s="2">
        <v>3</v>
      </c>
      <c r="C789" s="2">
        <v>7</v>
      </c>
      <c r="D789" s="2">
        <v>2020</v>
      </c>
      <c r="E789" s="2">
        <v>34.409999999999997</v>
      </c>
      <c r="F789" s="2">
        <v>52.7</v>
      </c>
      <c r="H789" s="1" t="b">
        <f>_xlfn.XLOOKUP('Data Source 1_customer readings'!A789,'Data Source 1_customer readings'!A789:A3187,'Data Source 1_customer readings'!J789:J3187)</f>
        <v>0</v>
      </c>
    </row>
    <row r="790" spans="1:8" x14ac:dyDescent="0.2">
      <c r="A790" s="2" t="s">
        <v>45</v>
      </c>
      <c r="B790" s="2">
        <v>18</v>
      </c>
      <c r="C790" s="2">
        <v>6</v>
      </c>
      <c r="D790" s="2">
        <v>2020</v>
      </c>
      <c r="E790" s="2">
        <v>34.200000000000003</v>
      </c>
      <c r="F790" s="2">
        <v>58.8</v>
      </c>
      <c r="H790" s="1">
        <f>_xlfn.XLOOKUP('Data Source 1_customer readings'!A790,'Data Source 1_customer readings'!A790:A3188,'Data Source 1_customer readings'!J790:J3188)</f>
        <v>0</v>
      </c>
    </row>
    <row r="791" spans="1:8" x14ac:dyDescent="0.2">
      <c r="A791" s="2" t="s">
        <v>49</v>
      </c>
      <c r="B791" s="2">
        <v>3</v>
      </c>
      <c r="C791" s="2">
        <v>6</v>
      </c>
      <c r="D791" s="2">
        <v>2020</v>
      </c>
      <c r="E791" s="2">
        <v>34.200000000000003</v>
      </c>
      <c r="F791" s="2">
        <v>49.8</v>
      </c>
      <c r="H791" s="1">
        <f>_xlfn.XLOOKUP('Data Source 1_customer readings'!A791,'Data Source 1_customer readings'!A791:A3189,'Data Source 1_customer readings'!J791:J3189)</f>
        <v>0</v>
      </c>
    </row>
    <row r="792" spans="1:8" x14ac:dyDescent="0.2">
      <c r="A792" s="2" t="s">
        <v>38</v>
      </c>
      <c r="B792" s="2">
        <v>21</v>
      </c>
      <c r="C792" s="2">
        <v>5</v>
      </c>
      <c r="D792" s="2">
        <v>2020</v>
      </c>
      <c r="E792" s="2">
        <v>34.1</v>
      </c>
      <c r="F792" s="2">
        <v>74.400000000000006</v>
      </c>
      <c r="H792" s="1">
        <f>_xlfn.XLOOKUP('Data Source 1_customer readings'!A792,'Data Source 1_customer readings'!A792:A3190,'Data Source 1_customer readings'!J792:J3190)</f>
        <v>0</v>
      </c>
    </row>
    <row r="793" spans="1:8" x14ac:dyDescent="0.2">
      <c r="A793" s="2" t="s">
        <v>63</v>
      </c>
      <c r="B793" s="2">
        <v>25</v>
      </c>
      <c r="C793" s="2">
        <v>7</v>
      </c>
      <c r="D793" s="2">
        <v>2020</v>
      </c>
      <c r="E793" s="2">
        <v>34.1</v>
      </c>
      <c r="F793" s="2">
        <v>74.400000000000006</v>
      </c>
      <c r="H793" s="1">
        <f>_xlfn.XLOOKUP('Data Source 1_customer readings'!A793,'Data Source 1_customer readings'!A793:A3191,'Data Source 1_customer readings'!J793:J3191)</f>
        <v>0</v>
      </c>
    </row>
    <row r="794" spans="1:8" x14ac:dyDescent="0.2">
      <c r="A794" s="2" t="s">
        <v>39</v>
      </c>
      <c r="B794" s="2">
        <v>22</v>
      </c>
      <c r="C794" s="2">
        <v>5</v>
      </c>
      <c r="D794" s="2">
        <v>2020</v>
      </c>
      <c r="E794" s="2">
        <v>34.1</v>
      </c>
      <c r="F794" s="2">
        <v>73.78</v>
      </c>
      <c r="H794" s="1">
        <f>_xlfn.XLOOKUP('Data Source 1_customer readings'!A794,'Data Source 1_customer readings'!A794:A3192,'Data Source 1_customer readings'!J794:J3192)</f>
        <v>0</v>
      </c>
    </row>
    <row r="795" spans="1:8" x14ac:dyDescent="0.2">
      <c r="A795" s="2" t="s">
        <v>61</v>
      </c>
      <c r="B795" s="2">
        <v>23</v>
      </c>
      <c r="C795" s="2">
        <v>8</v>
      </c>
      <c r="D795" s="2">
        <v>2020</v>
      </c>
      <c r="E795" s="2">
        <v>33.79</v>
      </c>
      <c r="F795" s="2">
        <v>84.32</v>
      </c>
      <c r="H795" s="1">
        <f>_xlfn.XLOOKUP('Data Source 1_customer readings'!A795,'Data Source 1_customer readings'!A795:A3193,'Data Source 1_customer readings'!J795:J3193)</f>
        <v>0</v>
      </c>
    </row>
    <row r="796" spans="1:8" x14ac:dyDescent="0.2">
      <c r="A796" s="2" t="s">
        <v>52</v>
      </c>
      <c r="B796" s="2">
        <v>1</v>
      </c>
      <c r="C796" s="2">
        <v>6</v>
      </c>
      <c r="D796" s="2">
        <v>2020</v>
      </c>
      <c r="E796" s="2">
        <v>33.6</v>
      </c>
      <c r="F796" s="2">
        <v>72.3</v>
      </c>
      <c r="H796" s="1">
        <f>_xlfn.XLOOKUP('Data Source 1_customer readings'!A796,'Data Source 1_customer readings'!A796:A3194,'Data Source 1_customer readings'!J796:J3194)</f>
        <v>0</v>
      </c>
    </row>
    <row r="797" spans="1:8" x14ac:dyDescent="0.2">
      <c r="A797" s="2" t="s">
        <v>60</v>
      </c>
      <c r="B797" s="2">
        <v>20</v>
      </c>
      <c r="C797" s="2">
        <v>7</v>
      </c>
      <c r="D797" s="2">
        <v>2020</v>
      </c>
      <c r="E797" s="2">
        <v>33.479999999999997</v>
      </c>
      <c r="F797" s="2">
        <v>90.83</v>
      </c>
      <c r="H797" s="1">
        <f>_xlfn.XLOOKUP('Data Source 1_customer readings'!A797,'Data Source 1_customer readings'!A797:A3195,'Data Source 1_customer readings'!J797:J3195)</f>
        <v>0</v>
      </c>
    </row>
    <row r="798" spans="1:8" x14ac:dyDescent="0.2">
      <c r="A798" s="2" t="s">
        <v>47</v>
      </c>
      <c r="B798" s="2">
        <v>19</v>
      </c>
      <c r="C798" s="2">
        <v>6</v>
      </c>
      <c r="D798" s="2">
        <v>2020</v>
      </c>
      <c r="E798" s="2">
        <v>33</v>
      </c>
      <c r="F798" s="2">
        <v>66</v>
      </c>
      <c r="H798" s="1">
        <f>_xlfn.XLOOKUP('Data Source 1_customer readings'!A798,'Data Source 1_customer readings'!A798:A3196,'Data Source 1_customer readings'!J798:J3196)</f>
        <v>0</v>
      </c>
    </row>
    <row r="799" spans="1:8" x14ac:dyDescent="0.2">
      <c r="A799" s="2" t="s">
        <v>59</v>
      </c>
      <c r="B799" s="2">
        <v>11</v>
      </c>
      <c r="C799" s="2">
        <v>7</v>
      </c>
      <c r="D799" s="2">
        <v>2020</v>
      </c>
      <c r="E799" s="2">
        <v>32.86</v>
      </c>
      <c r="F799" s="2">
        <v>77.19</v>
      </c>
      <c r="H799" s="1" t="b">
        <f>_xlfn.XLOOKUP('Data Source 1_customer readings'!A799,'Data Source 1_customer readings'!A799:A3197,'Data Source 1_customer readings'!J799:J3197)</f>
        <v>0</v>
      </c>
    </row>
    <row r="800" spans="1:8" x14ac:dyDescent="0.2">
      <c r="A800" s="2" t="s">
        <v>47</v>
      </c>
      <c r="B800" s="2">
        <v>19</v>
      </c>
      <c r="C800" s="2">
        <v>7</v>
      </c>
      <c r="D800" s="2">
        <v>2020</v>
      </c>
      <c r="E800" s="2">
        <v>32.86</v>
      </c>
      <c r="F800" s="2">
        <v>60.14</v>
      </c>
      <c r="H800" s="1">
        <f>_xlfn.XLOOKUP('Data Source 1_customer readings'!A800,'Data Source 1_customer readings'!A800:A3198,'Data Source 1_customer readings'!J800:J3198)</f>
        <v>0</v>
      </c>
    </row>
    <row r="801" spans="1:8" x14ac:dyDescent="0.2">
      <c r="A801" s="2" t="s">
        <v>57</v>
      </c>
      <c r="B801" s="2">
        <v>17</v>
      </c>
      <c r="C801" s="2">
        <v>8</v>
      </c>
      <c r="D801" s="2">
        <v>2020</v>
      </c>
      <c r="E801" s="2">
        <v>32.24</v>
      </c>
      <c r="F801" s="2">
        <v>76.260000000000005</v>
      </c>
      <c r="H801" s="1">
        <f>_xlfn.XLOOKUP('Data Source 1_customer readings'!A801,'Data Source 1_customer readings'!A801:A3199,'Data Source 1_customer readings'!J801:J3199)</f>
        <v>0</v>
      </c>
    </row>
    <row r="802" spans="1:8" x14ac:dyDescent="0.2">
      <c r="A802" s="2" t="s">
        <v>57</v>
      </c>
      <c r="B802" s="2">
        <v>17</v>
      </c>
      <c r="C802" s="2">
        <v>7</v>
      </c>
      <c r="D802" s="2">
        <v>2020</v>
      </c>
      <c r="E802" s="2">
        <v>32.24</v>
      </c>
      <c r="F802" s="2">
        <v>75.02</v>
      </c>
      <c r="H802" s="1">
        <f>_xlfn.XLOOKUP('Data Source 1_customer readings'!A802,'Data Source 1_customer readings'!A802:A3200,'Data Source 1_customer readings'!J802:J3200)</f>
        <v>0</v>
      </c>
    </row>
    <row r="803" spans="1:8" x14ac:dyDescent="0.2">
      <c r="A803" s="2" t="s">
        <v>36</v>
      </c>
      <c r="B803" s="2">
        <v>12</v>
      </c>
      <c r="C803" s="2">
        <v>9</v>
      </c>
      <c r="D803" s="2">
        <v>2020</v>
      </c>
      <c r="E803" s="2">
        <v>32.1</v>
      </c>
      <c r="F803" s="2">
        <v>76.2</v>
      </c>
      <c r="H803" s="1">
        <f>_xlfn.XLOOKUP('Data Source 1_customer readings'!A803,'Data Source 1_customer readings'!A803:A3201,'Data Source 1_customer readings'!J803:J3201)</f>
        <v>0</v>
      </c>
    </row>
    <row r="804" spans="1:8" x14ac:dyDescent="0.2">
      <c r="A804" s="2" t="s">
        <v>41</v>
      </c>
      <c r="B804" s="2">
        <v>15</v>
      </c>
      <c r="C804" s="2">
        <v>8</v>
      </c>
      <c r="D804" s="2">
        <v>2020</v>
      </c>
      <c r="E804" s="2">
        <v>31.93</v>
      </c>
      <c r="F804" s="2">
        <v>90.83</v>
      </c>
      <c r="H804" s="1">
        <f>_xlfn.XLOOKUP('Data Source 1_customer readings'!A804,'Data Source 1_customer readings'!A804:A3202,'Data Source 1_customer readings'!J804:J3202)</f>
        <v>0</v>
      </c>
    </row>
    <row r="805" spans="1:8" x14ac:dyDescent="0.2">
      <c r="A805" s="2" t="s">
        <v>37</v>
      </c>
      <c r="B805" s="2">
        <v>12</v>
      </c>
      <c r="C805" s="2">
        <v>8</v>
      </c>
      <c r="D805" s="2">
        <v>2020</v>
      </c>
      <c r="E805" s="2">
        <v>31.93</v>
      </c>
      <c r="F805" s="2">
        <v>75.33</v>
      </c>
      <c r="H805" s="1">
        <f>_xlfn.XLOOKUP('Data Source 1_customer readings'!A805,'Data Source 1_customer readings'!A805:A3203,'Data Source 1_customer readings'!J805:J3203)</f>
        <v>0</v>
      </c>
    </row>
    <row r="806" spans="1:8" x14ac:dyDescent="0.2">
      <c r="A806" s="2" t="s">
        <v>48</v>
      </c>
      <c r="B806" s="2">
        <v>24</v>
      </c>
      <c r="C806" s="2">
        <v>5</v>
      </c>
      <c r="D806" s="2">
        <v>2020</v>
      </c>
      <c r="E806" s="2">
        <v>31.93</v>
      </c>
      <c r="F806" s="2">
        <v>73.78</v>
      </c>
      <c r="H806" s="1">
        <f>_xlfn.XLOOKUP('Data Source 1_customer readings'!A806,'Data Source 1_customer readings'!A806:A3204,'Data Source 1_customer readings'!J806:J3204)</f>
        <v>0</v>
      </c>
    </row>
    <row r="807" spans="1:8" x14ac:dyDescent="0.2">
      <c r="A807" s="2" t="s">
        <v>53</v>
      </c>
      <c r="B807" s="2">
        <v>18</v>
      </c>
      <c r="C807" s="2">
        <v>6</v>
      </c>
      <c r="D807" s="2">
        <v>2020</v>
      </c>
      <c r="E807" s="2">
        <v>31.8</v>
      </c>
      <c r="F807" s="2">
        <v>92.4</v>
      </c>
      <c r="H807" s="1">
        <f>_xlfn.XLOOKUP('Data Source 1_customer readings'!A807,'Data Source 1_customer readings'!A807:A3205,'Data Source 1_customer readings'!J807:J3205)</f>
        <v>0</v>
      </c>
    </row>
    <row r="808" spans="1:8" x14ac:dyDescent="0.2">
      <c r="A808" s="2" t="s">
        <v>40</v>
      </c>
      <c r="B808" s="2">
        <v>15</v>
      </c>
      <c r="C808" s="2">
        <v>9</v>
      </c>
      <c r="D808" s="2">
        <v>2020</v>
      </c>
      <c r="E808" s="2">
        <v>31.8</v>
      </c>
      <c r="F808" s="2">
        <v>85.5</v>
      </c>
      <c r="H808" s="1" t="b">
        <f>_xlfn.XLOOKUP('Data Source 1_customer readings'!A808,'Data Source 1_customer readings'!A808:A3206,'Data Source 1_customer readings'!J808:J3206)</f>
        <v>0</v>
      </c>
    </row>
    <row r="809" spans="1:8" x14ac:dyDescent="0.2">
      <c r="A809" s="2" t="s">
        <v>46</v>
      </c>
      <c r="B809" s="2">
        <v>9</v>
      </c>
      <c r="C809" s="2">
        <v>8</v>
      </c>
      <c r="D809" s="2">
        <v>2020</v>
      </c>
      <c r="E809" s="2">
        <v>31.62</v>
      </c>
      <c r="F809" s="2">
        <v>60.76</v>
      </c>
      <c r="H809" s="1">
        <f>_xlfn.XLOOKUP('Data Source 1_customer readings'!A809,'Data Source 1_customer readings'!A809:A3207,'Data Source 1_customer readings'!J809:J3207)</f>
        <v>0</v>
      </c>
    </row>
    <row r="810" spans="1:8" x14ac:dyDescent="0.2">
      <c r="A810" s="2" t="s">
        <v>51</v>
      </c>
      <c r="B810" s="2">
        <v>16</v>
      </c>
      <c r="C810" s="2">
        <v>7</v>
      </c>
      <c r="D810" s="2">
        <v>2020</v>
      </c>
      <c r="E810" s="2">
        <v>31.31</v>
      </c>
      <c r="F810" s="2">
        <v>64.17</v>
      </c>
      <c r="H810" s="1">
        <f>_xlfn.XLOOKUP('Data Source 1_customer readings'!A810,'Data Source 1_customer readings'!A810:A3208,'Data Source 1_customer readings'!J810:J3208)</f>
        <v>0</v>
      </c>
    </row>
    <row r="811" spans="1:8" x14ac:dyDescent="0.2">
      <c r="A811" s="2" t="s">
        <v>50</v>
      </c>
      <c r="B811" s="2">
        <v>24</v>
      </c>
      <c r="C811" s="2">
        <v>7</v>
      </c>
      <c r="D811" s="2">
        <v>2020</v>
      </c>
      <c r="E811" s="2">
        <v>31</v>
      </c>
      <c r="F811" s="2">
        <v>70.06</v>
      </c>
      <c r="H811" s="1">
        <f>_xlfn.XLOOKUP('Data Source 1_customer readings'!A811,'Data Source 1_customer readings'!A811:A3209,'Data Source 1_customer readings'!J811:J3209)</f>
        <v>0</v>
      </c>
    </row>
    <row r="812" spans="1:8" x14ac:dyDescent="0.2">
      <c r="A812" s="2" t="s">
        <v>55</v>
      </c>
      <c r="B812" s="2">
        <v>18</v>
      </c>
      <c r="C812" s="2">
        <v>8</v>
      </c>
      <c r="D812" s="2">
        <v>2020</v>
      </c>
      <c r="E812" s="2">
        <v>31</v>
      </c>
      <c r="F812" s="2">
        <v>69.44</v>
      </c>
      <c r="H812" s="1">
        <f>_xlfn.XLOOKUP('Data Source 1_customer readings'!A812,'Data Source 1_customer readings'!A812:A3210,'Data Source 1_customer readings'!J812:J3210)</f>
        <v>0</v>
      </c>
    </row>
    <row r="813" spans="1:8" x14ac:dyDescent="0.2">
      <c r="A813" s="2" t="s">
        <v>46</v>
      </c>
      <c r="B813" s="2">
        <v>9</v>
      </c>
      <c r="C813" s="2">
        <v>7</v>
      </c>
      <c r="D813" s="2">
        <v>2020</v>
      </c>
      <c r="E813" s="2">
        <v>31</v>
      </c>
      <c r="F813" s="2">
        <v>64.790000000000006</v>
      </c>
      <c r="H813" s="1">
        <f>_xlfn.XLOOKUP('Data Source 1_customer readings'!A813,'Data Source 1_customer readings'!A813:A3211,'Data Source 1_customer readings'!J813:J3211)</f>
        <v>0</v>
      </c>
    </row>
    <row r="814" spans="1:8" x14ac:dyDescent="0.2">
      <c r="A814" s="2" t="s">
        <v>44</v>
      </c>
      <c r="B814" s="2">
        <v>1</v>
      </c>
      <c r="C814" s="2">
        <v>6</v>
      </c>
      <c r="D814" s="2">
        <v>2020</v>
      </c>
      <c r="E814" s="2">
        <v>30.9</v>
      </c>
      <c r="F814" s="2">
        <v>76.2</v>
      </c>
      <c r="H814" s="1">
        <f>_xlfn.XLOOKUP('Data Source 1_customer readings'!A814,'Data Source 1_customer readings'!A814:A3212,'Data Source 1_customer readings'!J814:J3212)</f>
        <v>0</v>
      </c>
    </row>
    <row r="815" spans="1:8" x14ac:dyDescent="0.2">
      <c r="A815" s="2" t="s">
        <v>34</v>
      </c>
      <c r="B815" s="2">
        <v>4</v>
      </c>
      <c r="C815" s="2">
        <v>9</v>
      </c>
      <c r="D815" s="2">
        <v>2020</v>
      </c>
      <c r="E815" s="2">
        <v>30.9</v>
      </c>
      <c r="F815" s="2">
        <v>69.599999999999994</v>
      </c>
      <c r="H815" s="1">
        <f>_xlfn.XLOOKUP('Data Source 1_customer readings'!A815,'Data Source 1_customer readings'!A815:A3213,'Data Source 1_customer readings'!J815:J3213)</f>
        <v>0</v>
      </c>
    </row>
    <row r="816" spans="1:8" x14ac:dyDescent="0.2">
      <c r="A816" s="2" t="s">
        <v>57</v>
      </c>
      <c r="B816" s="2">
        <v>17</v>
      </c>
      <c r="C816" s="2">
        <v>6</v>
      </c>
      <c r="D816" s="2">
        <v>2020</v>
      </c>
      <c r="E816" s="2">
        <v>30.6</v>
      </c>
      <c r="F816" s="2">
        <v>72.599999999999994</v>
      </c>
      <c r="H816" s="1">
        <f>_xlfn.XLOOKUP('Data Source 1_customer readings'!A816,'Data Source 1_customer readings'!A816:A3214,'Data Source 1_customer readings'!J816:J3214)</f>
        <v>0</v>
      </c>
    </row>
    <row r="817" spans="1:8" x14ac:dyDescent="0.2">
      <c r="A817" s="2" t="s">
        <v>41</v>
      </c>
      <c r="B817" s="2">
        <v>15</v>
      </c>
      <c r="C817" s="2">
        <v>5</v>
      </c>
      <c r="D817" s="2">
        <v>2020</v>
      </c>
      <c r="E817" s="2">
        <v>30.38</v>
      </c>
      <c r="F817" s="2">
        <v>105.09</v>
      </c>
      <c r="H817" s="1">
        <f>_xlfn.XLOOKUP('Data Source 1_customer readings'!A817,'Data Source 1_customer readings'!A817:A3215,'Data Source 1_customer readings'!J817:J3215)</f>
        <v>0</v>
      </c>
    </row>
    <row r="818" spans="1:8" x14ac:dyDescent="0.2">
      <c r="A818" s="2" t="s">
        <v>38</v>
      </c>
      <c r="B818" s="2">
        <v>21</v>
      </c>
      <c r="C818" s="2">
        <v>8</v>
      </c>
      <c r="D818" s="2">
        <v>2020</v>
      </c>
      <c r="E818" s="2">
        <v>30.38</v>
      </c>
      <c r="F818" s="2">
        <v>74.09</v>
      </c>
      <c r="H818" s="1">
        <f>_xlfn.XLOOKUP('Data Source 1_customer readings'!A818,'Data Source 1_customer readings'!A818:A3216,'Data Source 1_customer readings'!J818:J3216)</f>
        <v>0</v>
      </c>
    </row>
    <row r="819" spans="1:8" x14ac:dyDescent="0.2">
      <c r="A819" s="2" t="s">
        <v>45</v>
      </c>
      <c r="B819" s="2">
        <v>18</v>
      </c>
      <c r="C819" s="2">
        <v>7</v>
      </c>
      <c r="D819" s="2">
        <v>2020</v>
      </c>
      <c r="E819" s="2">
        <v>30.38</v>
      </c>
      <c r="F819" s="2">
        <v>60.14</v>
      </c>
      <c r="H819" s="1">
        <f>_xlfn.XLOOKUP('Data Source 1_customer readings'!A819,'Data Source 1_customer readings'!A819:A3217,'Data Source 1_customer readings'!J819:J3217)</f>
        <v>0</v>
      </c>
    </row>
    <row r="820" spans="1:8" x14ac:dyDescent="0.2">
      <c r="A820" s="2" t="s">
        <v>48</v>
      </c>
      <c r="B820" s="2">
        <v>24</v>
      </c>
      <c r="C820" s="2">
        <v>9</v>
      </c>
      <c r="D820" s="2">
        <v>2020</v>
      </c>
      <c r="E820" s="2">
        <v>30</v>
      </c>
      <c r="F820" s="2">
        <v>68.400000000000006</v>
      </c>
      <c r="H820" s="1">
        <f>_xlfn.XLOOKUP('Data Source 1_customer readings'!A820,'Data Source 1_customer readings'!A820:A3218,'Data Source 1_customer readings'!J820:J3218)</f>
        <v>0</v>
      </c>
    </row>
    <row r="821" spans="1:8" x14ac:dyDescent="0.2">
      <c r="A821" s="2" t="s">
        <v>56</v>
      </c>
      <c r="B821" s="2">
        <v>14</v>
      </c>
      <c r="C821" s="2">
        <v>7</v>
      </c>
      <c r="D821" s="2">
        <v>2020</v>
      </c>
      <c r="E821" s="2">
        <v>29.76</v>
      </c>
      <c r="F821" s="2">
        <v>94.24</v>
      </c>
      <c r="H821" s="1" t="b">
        <f>_xlfn.XLOOKUP('Data Source 1_customer readings'!A821,'Data Source 1_customer readings'!A821:A3219,'Data Source 1_customer readings'!J821:J3219)</f>
        <v>0</v>
      </c>
    </row>
    <row r="822" spans="1:8" x14ac:dyDescent="0.2">
      <c r="A822" s="2" t="s">
        <v>43</v>
      </c>
      <c r="B822" s="2">
        <v>15</v>
      </c>
      <c r="C822" s="2">
        <v>5</v>
      </c>
      <c r="D822" s="2">
        <v>2020</v>
      </c>
      <c r="E822" s="2">
        <v>29.76</v>
      </c>
      <c r="F822" s="2">
        <v>74.400000000000006</v>
      </c>
      <c r="H822" s="1">
        <f>_xlfn.XLOOKUP('Data Source 1_customer readings'!A822,'Data Source 1_customer readings'!A822:A3220,'Data Source 1_customer readings'!J822:J3220)</f>
        <v>0</v>
      </c>
    </row>
    <row r="823" spans="1:8" x14ac:dyDescent="0.2">
      <c r="A823" s="2" t="s">
        <v>42</v>
      </c>
      <c r="B823" s="2">
        <v>12</v>
      </c>
      <c r="C823" s="2">
        <v>8</v>
      </c>
      <c r="D823" s="2">
        <v>2020</v>
      </c>
      <c r="E823" s="2">
        <v>29.76</v>
      </c>
      <c r="F823" s="2">
        <v>66.34</v>
      </c>
      <c r="H823" s="1">
        <f>_xlfn.XLOOKUP('Data Source 1_customer readings'!A823,'Data Source 1_customer readings'!A823:A3221,'Data Source 1_customer readings'!J823:J3221)</f>
        <v>0</v>
      </c>
    </row>
    <row r="824" spans="1:8" x14ac:dyDescent="0.2">
      <c r="A824" s="2" t="s">
        <v>55</v>
      </c>
      <c r="B824" s="2">
        <v>18</v>
      </c>
      <c r="C824" s="2">
        <v>6</v>
      </c>
      <c r="D824" s="2">
        <v>2020</v>
      </c>
      <c r="E824" s="2">
        <v>29.4</v>
      </c>
      <c r="F824" s="2">
        <v>75.3</v>
      </c>
      <c r="H824" s="1">
        <f>_xlfn.XLOOKUP('Data Source 1_customer readings'!A824,'Data Source 1_customer readings'!A824:A3222,'Data Source 1_customer readings'!J824:J3222)</f>
        <v>0</v>
      </c>
    </row>
    <row r="825" spans="1:8" x14ac:dyDescent="0.2">
      <c r="A825" s="2" t="s">
        <v>37</v>
      </c>
      <c r="B825" s="2">
        <v>12</v>
      </c>
      <c r="C825" s="2">
        <v>9</v>
      </c>
      <c r="D825" s="2">
        <v>2020</v>
      </c>
      <c r="E825" s="2">
        <v>29.1</v>
      </c>
      <c r="F825" s="2">
        <v>60.6</v>
      </c>
      <c r="H825" s="1">
        <f>_xlfn.XLOOKUP('Data Source 1_customer readings'!A825,'Data Source 1_customer readings'!A825:A3223,'Data Source 1_customer readings'!J825:J3223)</f>
        <v>0</v>
      </c>
    </row>
    <row r="826" spans="1:8" x14ac:dyDescent="0.2">
      <c r="A826" s="2" t="s">
        <v>36</v>
      </c>
      <c r="B826" s="2">
        <v>12</v>
      </c>
      <c r="C826" s="2">
        <v>7</v>
      </c>
      <c r="D826" s="2">
        <v>2020</v>
      </c>
      <c r="E826" s="2">
        <v>28.83</v>
      </c>
      <c r="F826" s="2">
        <v>84.32</v>
      </c>
      <c r="H826" s="1" t="b">
        <f>_xlfn.XLOOKUP('Data Source 1_customer readings'!A826,'Data Source 1_customer readings'!A826:A3224,'Data Source 1_customer readings'!J826:J3224)</f>
        <v>1</v>
      </c>
    </row>
    <row r="827" spans="1:8" x14ac:dyDescent="0.2">
      <c r="A827" s="2" t="s">
        <v>53</v>
      </c>
      <c r="B827" s="2">
        <v>18</v>
      </c>
      <c r="C827" s="2">
        <v>8</v>
      </c>
      <c r="D827" s="2">
        <v>2020</v>
      </c>
      <c r="E827" s="2">
        <v>28.83</v>
      </c>
      <c r="F827" s="2">
        <v>72.849999999999994</v>
      </c>
      <c r="H827" s="1">
        <f>_xlfn.XLOOKUP('Data Source 1_customer readings'!A827,'Data Source 1_customer readings'!A827:A3225,'Data Source 1_customer readings'!J827:J3225)</f>
        <v>0</v>
      </c>
    </row>
    <row r="828" spans="1:8" x14ac:dyDescent="0.2">
      <c r="A828" s="2" t="s">
        <v>49</v>
      </c>
      <c r="B828" s="2">
        <v>3</v>
      </c>
      <c r="C828" s="2">
        <v>8</v>
      </c>
      <c r="D828" s="2">
        <v>2020</v>
      </c>
      <c r="E828" s="2">
        <v>28.83</v>
      </c>
      <c r="F828" s="2">
        <v>53.01</v>
      </c>
      <c r="H828" s="1">
        <f>_xlfn.XLOOKUP('Data Source 1_customer readings'!A828,'Data Source 1_customer readings'!A828:A3226,'Data Source 1_customer readings'!J828:J3226)</f>
        <v>0</v>
      </c>
    </row>
    <row r="829" spans="1:8" x14ac:dyDescent="0.2">
      <c r="A829" s="2" t="s">
        <v>48</v>
      </c>
      <c r="B829" s="2">
        <v>24</v>
      </c>
      <c r="C829" s="2">
        <v>6</v>
      </c>
      <c r="D829" s="2">
        <v>2020</v>
      </c>
      <c r="E829" s="2">
        <v>28.8</v>
      </c>
      <c r="F829" s="2">
        <v>81</v>
      </c>
      <c r="H829" s="1">
        <f>_xlfn.XLOOKUP('Data Source 1_customer readings'!A829,'Data Source 1_customer readings'!A829:A3227,'Data Source 1_customer readings'!J829:J3227)</f>
        <v>0</v>
      </c>
    </row>
    <row r="830" spans="1:8" x14ac:dyDescent="0.2">
      <c r="A830" s="2" t="s">
        <v>51</v>
      </c>
      <c r="B830" s="2">
        <v>16</v>
      </c>
      <c r="C830" s="2">
        <v>6</v>
      </c>
      <c r="D830" s="2">
        <v>2020</v>
      </c>
      <c r="E830" s="2">
        <v>28.5</v>
      </c>
      <c r="F830" s="2">
        <v>69.900000000000006</v>
      </c>
      <c r="H830" s="1">
        <f>_xlfn.XLOOKUP('Data Source 1_customer readings'!A830,'Data Source 1_customer readings'!A830:A3228,'Data Source 1_customer readings'!J830:J3228)</f>
        <v>0</v>
      </c>
    </row>
    <row r="831" spans="1:8" x14ac:dyDescent="0.2">
      <c r="A831" s="2" t="s">
        <v>40</v>
      </c>
      <c r="B831" s="2">
        <v>15</v>
      </c>
      <c r="C831" s="2">
        <v>5</v>
      </c>
      <c r="D831" s="2">
        <v>2020</v>
      </c>
      <c r="E831" s="2">
        <v>28.21</v>
      </c>
      <c r="F831" s="2">
        <v>73.78</v>
      </c>
      <c r="H831" s="1">
        <f>_xlfn.XLOOKUP('Data Source 1_customer readings'!A831,'Data Source 1_customer readings'!A831:A3229,'Data Source 1_customer readings'!J831:J3229)</f>
        <v>0</v>
      </c>
    </row>
    <row r="832" spans="1:8" x14ac:dyDescent="0.2">
      <c r="A832" s="2" t="s">
        <v>39</v>
      </c>
      <c r="B832" s="2">
        <v>22</v>
      </c>
      <c r="C832" s="2">
        <v>7</v>
      </c>
      <c r="D832" s="2">
        <v>2020</v>
      </c>
      <c r="E832" s="2">
        <v>27.9</v>
      </c>
      <c r="F832" s="2">
        <v>76.260000000000005</v>
      </c>
      <c r="H832" s="1">
        <f>_xlfn.XLOOKUP('Data Source 1_customer readings'!A832,'Data Source 1_customer readings'!A832:A3230,'Data Source 1_customer readings'!J832:J3230)</f>
        <v>0</v>
      </c>
    </row>
    <row r="833" spans="1:8" x14ac:dyDescent="0.2">
      <c r="A833" s="2" t="s">
        <v>45</v>
      </c>
      <c r="B833" s="2">
        <v>18</v>
      </c>
      <c r="C833" s="2">
        <v>8</v>
      </c>
      <c r="D833" s="2">
        <v>2020</v>
      </c>
      <c r="E833" s="2">
        <v>27.9</v>
      </c>
      <c r="F833" s="2">
        <v>75.33</v>
      </c>
      <c r="H833" s="1">
        <f>_xlfn.XLOOKUP('Data Source 1_customer readings'!A833,'Data Source 1_customer readings'!A833:A3231,'Data Source 1_customer readings'!J833:J3231)</f>
        <v>0</v>
      </c>
    </row>
    <row r="834" spans="1:8" x14ac:dyDescent="0.2">
      <c r="A834" s="2" t="s">
        <v>54</v>
      </c>
      <c r="B834" s="2">
        <v>5</v>
      </c>
      <c r="C834" s="2">
        <v>6</v>
      </c>
      <c r="D834" s="2">
        <v>2020</v>
      </c>
      <c r="E834" s="2">
        <v>27.6</v>
      </c>
      <c r="F834" s="2">
        <v>86.4</v>
      </c>
      <c r="H834" s="1">
        <f>_xlfn.XLOOKUP('Data Source 1_customer readings'!A834,'Data Source 1_customer readings'!A834:A3232,'Data Source 1_customer readings'!J834:J3232)</f>
        <v>0</v>
      </c>
    </row>
    <row r="835" spans="1:8" x14ac:dyDescent="0.2">
      <c r="A835" s="2" t="s">
        <v>52</v>
      </c>
      <c r="B835" s="2">
        <v>1</v>
      </c>
      <c r="C835" s="2">
        <v>7</v>
      </c>
      <c r="D835" s="2">
        <v>2020</v>
      </c>
      <c r="E835" s="2">
        <v>27.59</v>
      </c>
      <c r="F835" s="2">
        <v>80.91</v>
      </c>
      <c r="H835" s="1">
        <f>_xlfn.XLOOKUP('Data Source 1_customer readings'!A835,'Data Source 1_customer readings'!A835:A3233,'Data Source 1_customer readings'!J835:J3233)</f>
        <v>0</v>
      </c>
    </row>
    <row r="836" spans="1:8" x14ac:dyDescent="0.2">
      <c r="A836" s="2" t="s">
        <v>41</v>
      </c>
      <c r="B836" s="2">
        <v>15</v>
      </c>
      <c r="C836" s="2">
        <v>6</v>
      </c>
      <c r="D836" s="2">
        <v>2020</v>
      </c>
      <c r="E836" s="2">
        <v>27.3</v>
      </c>
      <c r="F836" s="2">
        <v>98.4</v>
      </c>
      <c r="H836" s="1">
        <f>_xlfn.XLOOKUP('Data Source 1_customer readings'!A836,'Data Source 1_customer readings'!A836:A3234,'Data Source 1_customer readings'!J836:J3234)</f>
        <v>0</v>
      </c>
    </row>
    <row r="837" spans="1:8" x14ac:dyDescent="0.2">
      <c r="A837" s="2" t="s">
        <v>38</v>
      </c>
      <c r="B837" s="2">
        <v>21</v>
      </c>
      <c r="C837" s="2">
        <v>9</v>
      </c>
      <c r="D837" s="2">
        <v>2020</v>
      </c>
      <c r="E837" s="2">
        <v>27.3</v>
      </c>
      <c r="F837" s="2">
        <v>69</v>
      </c>
      <c r="H837" s="1">
        <f>_xlfn.XLOOKUP('Data Source 1_customer readings'!A837,'Data Source 1_customer readings'!A837:A3235,'Data Source 1_customer readings'!J837:J3235)</f>
        <v>0</v>
      </c>
    </row>
    <row r="838" spans="1:8" x14ac:dyDescent="0.2">
      <c r="A838" s="2" t="s">
        <v>52</v>
      </c>
      <c r="B838" s="2">
        <v>1</v>
      </c>
      <c r="C838" s="2">
        <v>8</v>
      </c>
      <c r="D838" s="2">
        <v>2020</v>
      </c>
      <c r="E838" s="2">
        <v>27.28</v>
      </c>
      <c r="F838" s="2">
        <v>92.07</v>
      </c>
      <c r="H838" s="1">
        <f>_xlfn.XLOOKUP('Data Source 1_customer readings'!A838,'Data Source 1_customer readings'!A838:A3236,'Data Source 1_customer readings'!J838:J3236)</f>
        <v>0</v>
      </c>
    </row>
    <row r="839" spans="1:8" x14ac:dyDescent="0.2">
      <c r="A839" s="2" t="s">
        <v>51</v>
      </c>
      <c r="B839" s="2">
        <v>16</v>
      </c>
      <c r="C839" s="2">
        <v>8</v>
      </c>
      <c r="D839" s="2">
        <v>2020</v>
      </c>
      <c r="E839" s="2">
        <v>27.28</v>
      </c>
      <c r="F839" s="2">
        <v>78.12</v>
      </c>
      <c r="H839" s="1">
        <f>_xlfn.XLOOKUP('Data Source 1_customer readings'!A839,'Data Source 1_customer readings'!A839:A3237,'Data Source 1_customer readings'!J839:J3237)</f>
        <v>0</v>
      </c>
    </row>
    <row r="840" spans="1:8" x14ac:dyDescent="0.2">
      <c r="A840" s="2" t="s">
        <v>50</v>
      </c>
      <c r="B840" s="2">
        <v>24</v>
      </c>
      <c r="C840" s="2">
        <v>6</v>
      </c>
      <c r="D840" s="2">
        <v>2020</v>
      </c>
      <c r="E840" s="2">
        <v>27</v>
      </c>
      <c r="F840" s="2">
        <v>67.8</v>
      </c>
      <c r="H840" s="1">
        <f>_xlfn.XLOOKUP('Data Source 1_customer readings'!A840,'Data Source 1_customer readings'!A840:A3238,'Data Source 1_customer readings'!J840:J3238)</f>
        <v>0</v>
      </c>
    </row>
    <row r="841" spans="1:8" x14ac:dyDescent="0.2">
      <c r="A841" s="2" t="s">
        <v>36</v>
      </c>
      <c r="B841" s="2">
        <v>12</v>
      </c>
      <c r="C841" s="2">
        <v>6</v>
      </c>
      <c r="D841" s="2">
        <v>2020</v>
      </c>
      <c r="E841" s="2">
        <v>27</v>
      </c>
      <c r="F841" s="2">
        <v>62.4</v>
      </c>
      <c r="H841" s="1">
        <f>_xlfn.XLOOKUP('Data Source 1_customer readings'!A841,'Data Source 1_customer readings'!A841:A3239,'Data Source 1_customer readings'!J841:J3239)</f>
        <v>0</v>
      </c>
    </row>
    <row r="842" spans="1:8" x14ac:dyDescent="0.2">
      <c r="A842" s="2" t="s">
        <v>35</v>
      </c>
      <c r="B842" s="2">
        <v>9</v>
      </c>
      <c r="C842" s="2">
        <v>9</v>
      </c>
      <c r="D842" s="2">
        <v>2020</v>
      </c>
      <c r="E842" s="2">
        <v>26.7</v>
      </c>
      <c r="F842" s="2">
        <v>80.099999999999994</v>
      </c>
      <c r="H842" s="1">
        <f>_xlfn.XLOOKUP('Data Source 1_customer readings'!A842,'Data Source 1_customer readings'!A842:A3240,'Data Source 1_customer readings'!J842:J3240)</f>
        <v>0</v>
      </c>
    </row>
    <row r="843" spans="1:8" x14ac:dyDescent="0.2">
      <c r="A843" s="2" t="s">
        <v>42</v>
      </c>
      <c r="B843" s="2">
        <v>12</v>
      </c>
      <c r="C843" s="2">
        <v>6</v>
      </c>
      <c r="D843" s="2">
        <v>2020</v>
      </c>
      <c r="E843" s="2">
        <v>26.7</v>
      </c>
      <c r="F843" s="2">
        <v>75.3</v>
      </c>
      <c r="H843" s="1">
        <f>_xlfn.XLOOKUP('Data Source 1_customer readings'!A843,'Data Source 1_customer readings'!A843:A3241,'Data Source 1_customer readings'!J843:J3241)</f>
        <v>0</v>
      </c>
    </row>
    <row r="844" spans="1:8" x14ac:dyDescent="0.2">
      <c r="A844" s="2" t="s">
        <v>48</v>
      </c>
      <c r="B844" s="2">
        <v>24</v>
      </c>
      <c r="C844" s="2">
        <v>8</v>
      </c>
      <c r="D844" s="2">
        <v>2020</v>
      </c>
      <c r="E844" s="2">
        <v>26.04</v>
      </c>
      <c r="F844" s="2">
        <v>77.19</v>
      </c>
      <c r="H844" s="1">
        <f>_xlfn.XLOOKUP('Data Source 1_customer readings'!A844,'Data Source 1_customer readings'!A844:A3242,'Data Source 1_customer readings'!J844:J3242)</f>
        <v>0</v>
      </c>
    </row>
    <row r="845" spans="1:8" x14ac:dyDescent="0.2">
      <c r="A845" s="2" t="s">
        <v>46</v>
      </c>
      <c r="B845" s="2">
        <v>9</v>
      </c>
      <c r="C845" s="2">
        <v>6</v>
      </c>
      <c r="D845" s="2">
        <v>2020</v>
      </c>
      <c r="E845" s="2">
        <v>25.8</v>
      </c>
      <c r="F845" s="2">
        <v>69.900000000000006</v>
      </c>
      <c r="H845" s="1">
        <f>_xlfn.XLOOKUP('Data Source 1_customer readings'!A845,'Data Source 1_customer readings'!A845:A3243,'Data Source 1_customer readings'!J845:J3243)</f>
        <v>0</v>
      </c>
    </row>
    <row r="846" spans="1:8" x14ac:dyDescent="0.2">
      <c r="A846" s="2" t="s">
        <v>36</v>
      </c>
      <c r="B846" s="2">
        <v>12</v>
      </c>
      <c r="C846" s="2">
        <v>8</v>
      </c>
      <c r="D846" s="2">
        <v>2020</v>
      </c>
      <c r="E846" s="2">
        <v>25.73</v>
      </c>
      <c r="F846" s="2">
        <v>75.64</v>
      </c>
      <c r="H846" s="1">
        <f>_xlfn.XLOOKUP('Data Source 1_customer readings'!A846,'Data Source 1_customer readings'!A846:A3244,'Data Source 1_customer readings'!J846:J3244)</f>
        <v>0</v>
      </c>
    </row>
    <row r="847" spans="1:8" x14ac:dyDescent="0.2">
      <c r="A847" s="2" t="s">
        <v>40</v>
      </c>
      <c r="B847" s="2">
        <v>15</v>
      </c>
      <c r="C847" s="2">
        <v>8</v>
      </c>
      <c r="D847" s="2">
        <v>2020</v>
      </c>
      <c r="E847" s="2">
        <v>25.73</v>
      </c>
      <c r="F847" s="2">
        <v>69.75</v>
      </c>
      <c r="H847" s="1" t="b">
        <f>_xlfn.XLOOKUP('Data Source 1_customer readings'!A847,'Data Source 1_customer readings'!A847:A3245,'Data Source 1_customer readings'!J847:J3245)</f>
        <v>0</v>
      </c>
    </row>
    <row r="848" spans="1:8" x14ac:dyDescent="0.2">
      <c r="A848" s="2" t="s">
        <v>42</v>
      </c>
      <c r="B848" s="2">
        <v>12</v>
      </c>
      <c r="C848" s="2">
        <v>7</v>
      </c>
      <c r="D848" s="2">
        <v>2020</v>
      </c>
      <c r="E848" s="2">
        <v>25.73</v>
      </c>
      <c r="F848" s="2">
        <v>65.72</v>
      </c>
      <c r="H848" s="1">
        <f>_xlfn.XLOOKUP('Data Source 1_customer readings'!A848,'Data Source 1_customer readings'!A848:A3246,'Data Source 1_customer readings'!J848:J3246)</f>
        <v>0</v>
      </c>
    </row>
    <row r="849" spans="1:8" x14ac:dyDescent="0.2">
      <c r="A849" s="2" t="s">
        <v>39</v>
      </c>
      <c r="B849" s="2">
        <v>22</v>
      </c>
      <c r="C849" s="2">
        <v>6</v>
      </c>
      <c r="D849" s="2">
        <v>2020</v>
      </c>
      <c r="E849" s="2">
        <v>25.5</v>
      </c>
      <c r="F849" s="2">
        <v>58.8</v>
      </c>
      <c r="H849" s="1">
        <f>_xlfn.XLOOKUP('Data Source 1_customer readings'!A849,'Data Source 1_customer readings'!A849:A3247,'Data Source 1_customer readings'!J849:J3247)</f>
        <v>0</v>
      </c>
    </row>
    <row r="850" spans="1:8" x14ac:dyDescent="0.2">
      <c r="A850" s="2" t="s">
        <v>37</v>
      </c>
      <c r="B850" s="2">
        <v>12</v>
      </c>
      <c r="C850" s="2">
        <v>7</v>
      </c>
      <c r="D850" s="2">
        <v>2020</v>
      </c>
      <c r="E850" s="2">
        <v>25.42</v>
      </c>
      <c r="F850" s="2">
        <v>62.93</v>
      </c>
      <c r="H850" s="1">
        <f>_xlfn.XLOOKUP('Data Source 1_customer readings'!A850,'Data Source 1_customer readings'!A850:A3248,'Data Source 1_customer readings'!J850:J3248)</f>
        <v>0</v>
      </c>
    </row>
    <row r="851" spans="1:8" x14ac:dyDescent="0.2">
      <c r="A851" s="2" t="s">
        <v>44</v>
      </c>
      <c r="B851" s="2">
        <v>1</v>
      </c>
      <c r="C851" s="2">
        <v>7</v>
      </c>
      <c r="D851" s="2">
        <v>2020</v>
      </c>
      <c r="E851" s="2">
        <v>25.11</v>
      </c>
      <c r="F851" s="2">
        <v>103.23</v>
      </c>
      <c r="H851" s="1" t="b">
        <f>_xlfn.XLOOKUP('Data Source 1_customer readings'!A851,'Data Source 1_customer readings'!A851:A3249,'Data Source 1_customer readings'!J851:J3249)</f>
        <v>0</v>
      </c>
    </row>
    <row r="852" spans="1:8" x14ac:dyDescent="0.2">
      <c r="A852" s="2" t="s">
        <v>43</v>
      </c>
      <c r="B852" s="2">
        <v>15</v>
      </c>
      <c r="C852" s="2">
        <v>6</v>
      </c>
      <c r="D852" s="2">
        <v>2020</v>
      </c>
      <c r="E852" s="2">
        <v>24.9</v>
      </c>
      <c r="F852" s="2">
        <v>87</v>
      </c>
      <c r="H852" s="1">
        <f>_xlfn.XLOOKUP('Data Source 1_customer readings'!A852,'Data Source 1_customer readings'!A852:A3250,'Data Source 1_customer readings'!J852:J3250)</f>
        <v>0</v>
      </c>
    </row>
    <row r="853" spans="1:8" x14ac:dyDescent="0.2">
      <c r="A853" s="2" t="s">
        <v>35</v>
      </c>
      <c r="B853" s="2">
        <v>9</v>
      </c>
      <c r="C853" s="2">
        <v>5</v>
      </c>
      <c r="D853" s="2">
        <v>2020</v>
      </c>
      <c r="E853" s="2">
        <v>24.8</v>
      </c>
      <c r="F853" s="2">
        <v>82.15</v>
      </c>
      <c r="H853" s="1">
        <f>_xlfn.XLOOKUP('Data Source 1_customer readings'!A853,'Data Source 1_customer readings'!A853:A3251,'Data Source 1_customer readings'!J853:J3251)</f>
        <v>0</v>
      </c>
    </row>
    <row r="854" spans="1:8" x14ac:dyDescent="0.2">
      <c r="A854" s="2" t="s">
        <v>47</v>
      </c>
      <c r="B854" s="2">
        <v>19</v>
      </c>
      <c r="C854" s="2">
        <v>8</v>
      </c>
      <c r="D854" s="2">
        <v>2020</v>
      </c>
      <c r="E854" s="2">
        <v>24.8</v>
      </c>
      <c r="F854" s="2">
        <v>63.86</v>
      </c>
      <c r="H854" s="1">
        <f>_xlfn.XLOOKUP('Data Source 1_customer readings'!A854,'Data Source 1_customer readings'!A854:A3252,'Data Source 1_customer readings'!J854:J3252)</f>
        <v>0</v>
      </c>
    </row>
    <row r="855" spans="1:8" x14ac:dyDescent="0.2">
      <c r="A855" s="2" t="s">
        <v>35</v>
      </c>
      <c r="B855" s="2">
        <v>9</v>
      </c>
      <c r="C855" s="2">
        <v>8</v>
      </c>
      <c r="D855" s="2">
        <v>2020</v>
      </c>
      <c r="E855" s="2">
        <v>24.49</v>
      </c>
      <c r="F855" s="2">
        <v>81.84</v>
      </c>
      <c r="H855" s="1">
        <f>_xlfn.XLOOKUP('Data Source 1_customer readings'!A855,'Data Source 1_customer readings'!A855:A3253,'Data Source 1_customer readings'!J855:J3253)</f>
        <v>0</v>
      </c>
    </row>
    <row r="856" spans="1:8" x14ac:dyDescent="0.2">
      <c r="A856" s="2" t="s">
        <v>34</v>
      </c>
      <c r="B856" s="2">
        <v>4</v>
      </c>
      <c r="C856" s="2">
        <v>5</v>
      </c>
      <c r="D856" s="2">
        <v>2020</v>
      </c>
      <c r="E856" s="2">
        <v>24.49</v>
      </c>
      <c r="F856" s="2">
        <v>74.09</v>
      </c>
      <c r="H856" s="1">
        <f>_xlfn.XLOOKUP('Data Source 1_customer readings'!A856,'Data Source 1_customer readings'!A856:A3254,'Data Source 1_customer readings'!J856:J3254)</f>
        <v>0</v>
      </c>
    </row>
    <row r="857" spans="1:8" x14ac:dyDescent="0.2">
      <c r="A857" s="2" t="s">
        <v>34</v>
      </c>
      <c r="B857" s="2">
        <v>4</v>
      </c>
      <c r="C857" s="2">
        <v>8</v>
      </c>
      <c r="D857" s="2">
        <v>2020</v>
      </c>
      <c r="E857" s="2">
        <v>24.49</v>
      </c>
      <c r="F857" s="2">
        <v>66.34</v>
      </c>
      <c r="H857" s="1">
        <f>_xlfn.XLOOKUP('Data Source 1_customer readings'!A857,'Data Source 1_customer readings'!A857:A3255,'Data Source 1_customer readings'!J857:J3255)</f>
        <v>0</v>
      </c>
    </row>
    <row r="858" spans="1:8" x14ac:dyDescent="0.2">
      <c r="A858" s="2" t="s">
        <v>43</v>
      </c>
      <c r="B858" s="2">
        <v>15</v>
      </c>
      <c r="C858" s="2">
        <v>8</v>
      </c>
      <c r="D858" s="2">
        <v>2020</v>
      </c>
      <c r="E858" s="2">
        <v>24.18</v>
      </c>
      <c r="F858" s="2">
        <v>94.55</v>
      </c>
      <c r="H858" s="1">
        <f>_xlfn.XLOOKUP('Data Source 1_customer readings'!A858,'Data Source 1_customer readings'!A858:A3256,'Data Source 1_customer readings'!J858:J3256)</f>
        <v>0</v>
      </c>
    </row>
    <row r="859" spans="1:8" x14ac:dyDescent="0.2">
      <c r="A859" s="2" t="s">
        <v>41</v>
      </c>
      <c r="B859" s="2">
        <v>15</v>
      </c>
      <c r="C859" s="2">
        <v>7</v>
      </c>
      <c r="D859" s="2">
        <v>2020</v>
      </c>
      <c r="E859" s="2">
        <v>24.18</v>
      </c>
      <c r="F859" s="2">
        <v>84.63</v>
      </c>
      <c r="H859" s="1">
        <f>_xlfn.XLOOKUP('Data Source 1_customer readings'!A859,'Data Source 1_customer readings'!A859:A3257,'Data Source 1_customer readings'!J859:J3257)</f>
        <v>0</v>
      </c>
    </row>
    <row r="860" spans="1:8" x14ac:dyDescent="0.2">
      <c r="A860" s="2" t="s">
        <v>38</v>
      </c>
      <c r="B860" s="2">
        <v>21</v>
      </c>
      <c r="C860" s="2">
        <v>7</v>
      </c>
      <c r="D860" s="2">
        <v>2020</v>
      </c>
      <c r="E860" s="2">
        <v>23.87</v>
      </c>
      <c r="F860" s="2">
        <v>78.430000000000007</v>
      </c>
      <c r="H860" s="1">
        <f>_xlfn.XLOOKUP('Data Source 1_customer readings'!A860,'Data Source 1_customer readings'!A860:A3258,'Data Source 1_customer readings'!J860:J3258)</f>
        <v>0</v>
      </c>
    </row>
    <row r="861" spans="1:8" x14ac:dyDescent="0.2">
      <c r="A861" s="2" t="s">
        <v>34</v>
      </c>
      <c r="B861" s="2">
        <v>4</v>
      </c>
      <c r="C861" s="2">
        <v>7</v>
      </c>
      <c r="D861" s="2">
        <v>2020</v>
      </c>
      <c r="E861" s="2">
        <v>23.87</v>
      </c>
      <c r="F861" s="2">
        <v>75.95</v>
      </c>
      <c r="H861" s="1">
        <f>_xlfn.XLOOKUP('Data Source 1_customer readings'!A861,'Data Source 1_customer readings'!A861:A3259,'Data Source 1_customer readings'!J861:J3259)</f>
        <v>0</v>
      </c>
    </row>
    <row r="862" spans="1:8" x14ac:dyDescent="0.2">
      <c r="A862" s="2" t="s">
        <v>44</v>
      </c>
      <c r="B862" s="2">
        <v>1</v>
      </c>
      <c r="C862" s="2">
        <v>8</v>
      </c>
      <c r="D862" s="2">
        <v>2020</v>
      </c>
      <c r="E862" s="2">
        <v>23.56</v>
      </c>
      <c r="F862" s="2">
        <v>102.61</v>
      </c>
      <c r="H862" s="1">
        <f>_xlfn.XLOOKUP('Data Source 1_customer readings'!A862,'Data Source 1_customer readings'!A862:A3260,'Data Source 1_customer readings'!J862:J3260)</f>
        <v>0</v>
      </c>
    </row>
    <row r="863" spans="1:8" x14ac:dyDescent="0.2">
      <c r="A863" s="2" t="s">
        <v>43</v>
      </c>
      <c r="B863" s="2">
        <v>15</v>
      </c>
      <c r="C863" s="2">
        <v>7</v>
      </c>
      <c r="D863" s="2">
        <v>2020</v>
      </c>
      <c r="E863" s="2">
        <v>22.63</v>
      </c>
      <c r="F863" s="2">
        <v>87.42</v>
      </c>
      <c r="H863" s="1">
        <f>_xlfn.XLOOKUP('Data Source 1_customer readings'!A863,'Data Source 1_customer readings'!A863:A3261,'Data Source 1_customer readings'!J863:J3261)</f>
        <v>0</v>
      </c>
    </row>
    <row r="864" spans="1:8" x14ac:dyDescent="0.2">
      <c r="A864" s="2" t="s">
        <v>40</v>
      </c>
      <c r="B864" s="2">
        <v>15</v>
      </c>
      <c r="C864" s="2">
        <v>6</v>
      </c>
      <c r="D864" s="2">
        <v>2020</v>
      </c>
      <c r="E864" s="2">
        <v>21.9</v>
      </c>
      <c r="F864" s="2">
        <v>75.3</v>
      </c>
      <c r="H864" s="1">
        <f>_xlfn.XLOOKUP('Data Source 1_customer readings'!A864,'Data Source 1_customer readings'!A864:A3262,'Data Source 1_customer readings'!J864:J3262)</f>
        <v>0</v>
      </c>
    </row>
    <row r="865" spans="1:8" x14ac:dyDescent="0.2">
      <c r="A865" s="2" t="s">
        <v>40</v>
      </c>
      <c r="B865" s="2">
        <v>15</v>
      </c>
      <c r="C865" s="2">
        <v>7</v>
      </c>
      <c r="D865" s="2">
        <v>2020</v>
      </c>
      <c r="E865" s="2">
        <v>20.77</v>
      </c>
      <c r="F865" s="2">
        <v>74.09</v>
      </c>
      <c r="H865" s="1">
        <f>_xlfn.XLOOKUP('Data Source 1_customer readings'!A865,'Data Source 1_customer readings'!A865:A3263,'Data Source 1_customer readings'!J865:J3263)</f>
        <v>0</v>
      </c>
    </row>
    <row r="866" spans="1:8" x14ac:dyDescent="0.2">
      <c r="A866" s="2" t="s">
        <v>39</v>
      </c>
      <c r="B866" s="2">
        <v>22</v>
      </c>
      <c r="C866" s="2">
        <v>8</v>
      </c>
      <c r="D866" s="2">
        <v>2020</v>
      </c>
      <c r="E866" s="2">
        <v>20.46</v>
      </c>
      <c r="F866" s="2">
        <v>74.400000000000006</v>
      </c>
      <c r="H866" s="1">
        <f>_xlfn.XLOOKUP('Data Source 1_customer readings'!A866,'Data Source 1_customer readings'!A866:A3264,'Data Source 1_customer readings'!J866:J3264)</f>
        <v>0</v>
      </c>
    </row>
    <row r="867" spans="1:8" x14ac:dyDescent="0.2">
      <c r="A867" s="2" t="s">
        <v>35</v>
      </c>
      <c r="B867" s="2">
        <v>9</v>
      </c>
      <c r="C867" s="2">
        <v>6</v>
      </c>
      <c r="D867" s="2">
        <v>2020</v>
      </c>
      <c r="E867" s="2">
        <v>20.399999999999999</v>
      </c>
      <c r="F867" s="2">
        <v>67.8</v>
      </c>
      <c r="H867" s="1">
        <f>_xlfn.XLOOKUP('Data Source 1_customer readings'!A867,'Data Source 1_customer readings'!A867:A3265,'Data Source 1_customer readings'!J867:J3265)</f>
        <v>0</v>
      </c>
    </row>
    <row r="868" spans="1:8" x14ac:dyDescent="0.2">
      <c r="A868" s="2" t="s">
        <v>38</v>
      </c>
      <c r="B868" s="2">
        <v>21</v>
      </c>
      <c r="C868" s="2">
        <v>6</v>
      </c>
      <c r="D868" s="2">
        <v>2020</v>
      </c>
      <c r="E868" s="2">
        <v>20.100000000000001</v>
      </c>
      <c r="F868" s="2">
        <v>80.099999999999994</v>
      </c>
      <c r="H868" s="1">
        <f>_xlfn.XLOOKUP('Data Source 1_customer readings'!A868,'Data Source 1_customer readings'!A868:A3266,'Data Source 1_customer readings'!J868:J3266)</f>
        <v>0</v>
      </c>
    </row>
    <row r="869" spans="1:8" x14ac:dyDescent="0.2">
      <c r="A869" s="2" t="s">
        <v>37</v>
      </c>
      <c r="B869" s="2">
        <v>12</v>
      </c>
      <c r="C869" s="2">
        <v>6</v>
      </c>
      <c r="D869" s="2">
        <v>2020</v>
      </c>
      <c r="E869" s="2">
        <v>19.5</v>
      </c>
      <c r="F869" s="2">
        <v>62.1</v>
      </c>
      <c r="H869" s="1">
        <f>_xlfn.XLOOKUP('Data Source 1_customer readings'!A869,'Data Source 1_customer readings'!A869:A3267,'Data Source 1_customer readings'!J869:J3267)</f>
        <v>0</v>
      </c>
    </row>
    <row r="870" spans="1:8" x14ac:dyDescent="0.2">
      <c r="A870" s="2" t="s">
        <v>35</v>
      </c>
      <c r="B870" s="2">
        <v>9</v>
      </c>
      <c r="C870" s="2">
        <v>7</v>
      </c>
      <c r="D870" s="2">
        <v>2020</v>
      </c>
      <c r="E870" s="2">
        <v>19.22</v>
      </c>
      <c r="F870" s="2">
        <v>64.48</v>
      </c>
      <c r="H870" s="1">
        <f>_xlfn.XLOOKUP('Data Source 1_customer readings'!A870,'Data Source 1_customer readings'!A870:A3268,'Data Source 1_customer readings'!J870:J3268)</f>
        <v>0</v>
      </c>
    </row>
    <row r="871" spans="1:8" x14ac:dyDescent="0.2">
      <c r="A871" s="2" t="s">
        <v>33</v>
      </c>
      <c r="B871" s="2">
        <v>21</v>
      </c>
      <c r="C871" s="2">
        <v>6</v>
      </c>
      <c r="D871" s="2">
        <v>2020</v>
      </c>
      <c r="E871" s="2">
        <v>18.600000000000001</v>
      </c>
      <c r="F871" s="2">
        <v>77.7</v>
      </c>
      <c r="H871" s="1">
        <f>_xlfn.XLOOKUP('Data Source 1_customer readings'!A871,'Data Source 1_customer readings'!A871:A3269,'Data Source 1_customer readings'!J871:J3269)</f>
        <v>0</v>
      </c>
    </row>
    <row r="872" spans="1:8" x14ac:dyDescent="0.2">
      <c r="A872" s="2" t="s">
        <v>33</v>
      </c>
      <c r="B872" s="2">
        <v>21</v>
      </c>
      <c r="C872" s="2">
        <v>7</v>
      </c>
      <c r="D872" s="2">
        <v>2020</v>
      </c>
      <c r="E872" s="2">
        <v>18.600000000000001</v>
      </c>
      <c r="F872" s="2">
        <v>70.680000000000007</v>
      </c>
      <c r="H872" s="1">
        <f>_xlfn.XLOOKUP('Data Source 1_customer readings'!A872,'Data Source 1_customer readings'!A872:A3270,'Data Source 1_customer readings'!J872:J3270)</f>
        <v>0</v>
      </c>
    </row>
    <row r="873" spans="1:8" x14ac:dyDescent="0.2">
      <c r="A873" s="2" t="s">
        <v>33</v>
      </c>
      <c r="B873" s="2">
        <v>21</v>
      </c>
      <c r="C873" s="2">
        <v>5</v>
      </c>
      <c r="D873" s="2">
        <v>2020</v>
      </c>
      <c r="E873" s="2">
        <v>18.29</v>
      </c>
      <c r="F873" s="2">
        <v>82.46</v>
      </c>
      <c r="H873" s="1">
        <f>_xlfn.XLOOKUP('Data Source 1_customer readings'!A873,'Data Source 1_customer readings'!A873:A3271,'Data Source 1_customer readings'!J873:J3271)</f>
        <v>0</v>
      </c>
    </row>
    <row r="874" spans="1:8" x14ac:dyDescent="0.2">
      <c r="A874" s="2" t="s">
        <v>34</v>
      </c>
      <c r="B874" s="2">
        <v>4</v>
      </c>
      <c r="C874" s="2">
        <v>6</v>
      </c>
      <c r="D874" s="2">
        <v>2020</v>
      </c>
      <c r="E874" s="2">
        <v>16.5</v>
      </c>
      <c r="F874" s="2">
        <v>67.2</v>
      </c>
      <c r="H874" s="1">
        <f>_xlfn.XLOOKUP('Data Source 1_customer readings'!A874,'Data Source 1_customer readings'!A874:A3272,'Data Source 1_customer readings'!J874:J3272)</f>
        <v>0</v>
      </c>
    </row>
    <row r="875" spans="1:8" x14ac:dyDescent="0.2">
      <c r="A875" s="2" t="s">
        <v>33</v>
      </c>
      <c r="B875" s="2">
        <v>21</v>
      </c>
      <c r="C875" s="2">
        <v>9</v>
      </c>
      <c r="D875" s="2">
        <v>2020</v>
      </c>
      <c r="E875" s="2">
        <v>16.2</v>
      </c>
      <c r="F875" s="2">
        <v>64.5</v>
      </c>
      <c r="H875" s="1">
        <f>_xlfn.XLOOKUP('Data Source 1_customer readings'!A875,'Data Source 1_customer readings'!A875:A3273,'Data Source 1_customer readings'!J875:J3273)</f>
        <v>0</v>
      </c>
    </row>
    <row r="876" spans="1:8" x14ac:dyDescent="0.2">
      <c r="A876" s="2" t="s">
        <v>33</v>
      </c>
      <c r="B876" s="2">
        <v>21</v>
      </c>
      <c r="C876" s="2">
        <v>8</v>
      </c>
      <c r="D876" s="2">
        <v>2020</v>
      </c>
      <c r="E876" s="2">
        <v>9.92</v>
      </c>
      <c r="F876" s="2">
        <v>71.92</v>
      </c>
      <c r="H876" s="1">
        <f>_xlfn.XLOOKUP('Data Source 1_customer readings'!A876,'Data Source 1_customer readings'!A876:A3274,'Data Source 1_customer readings'!J876:J3274)</f>
        <v>0</v>
      </c>
    </row>
    <row r="877" spans="1:8" x14ac:dyDescent="0.2">
      <c r="A877" s="2" t="s">
        <v>31</v>
      </c>
      <c r="B877" s="2">
        <v>14</v>
      </c>
      <c r="C877" s="2">
        <v>11</v>
      </c>
      <c r="D877" s="2">
        <v>2020</v>
      </c>
      <c r="E877" s="2">
        <v>0</v>
      </c>
      <c r="F877" s="2">
        <v>234.3</v>
      </c>
      <c r="H877" s="1">
        <f>_xlfn.XLOOKUP('Data Source 1_customer readings'!A877,'Data Source 1_customer readings'!A877:A3275,'Data Source 1_customer readings'!J877:J3275)</f>
        <v>0</v>
      </c>
    </row>
    <row r="878" spans="1:8" x14ac:dyDescent="0.2">
      <c r="A878" s="2" t="s">
        <v>32</v>
      </c>
      <c r="B878" s="2">
        <v>17</v>
      </c>
      <c r="C878" s="2">
        <v>2</v>
      </c>
      <c r="D878" s="2">
        <v>2020</v>
      </c>
      <c r="E878" s="2">
        <v>0</v>
      </c>
      <c r="F878" s="2">
        <v>223.72</v>
      </c>
      <c r="H878" s="1">
        <f>_xlfn.XLOOKUP('Data Source 1_customer readings'!A878,'Data Source 1_customer readings'!A878:A3276,'Data Source 1_customer readings'!J878:J3276)</f>
        <v>0</v>
      </c>
    </row>
    <row r="879" spans="1:8" x14ac:dyDescent="0.2">
      <c r="A879" s="2" t="s">
        <v>32</v>
      </c>
      <c r="B879" s="2">
        <v>17</v>
      </c>
      <c r="C879" s="2">
        <v>1</v>
      </c>
      <c r="D879" s="2">
        <v>2020</v>
      </c>
      <c r="E879" s="2">
        <v>0</v>
      </c>
      <c r="F879" s="2">
        <v>220.72</v>
      </c>
      <c r="H879" s="1">
        <f>_xlfn.XLOOKUP('Data Source 1_customer readings'!A879,'Data Source 1_customer readings'!A879:A3277,'Data Source 1_customer readings'!J879:J3277)</f>
        <v>0</v>
      </c>
    </row>
    <row r="880" spans="1:8" x14ac:dyDescent="0.2">
      <c r="A880" s="2" t="s">
        <v>25</v>
      </c>
      <c r="B880" s="2">
        <v>8</v>
      </c>
      <c r="C880" s="2">
        <v>1</v>
      </c>
      <c r="D880" s="2">
        <v>2020</v>
      </c>
      <c r="E880" s="2">
        <v>0</v>
      </c>
      <c r="F880" s="2">
        <v>219.48</v>
      </c>
      <c r="H880" s="1">
        <f>_xlfn.XLOOKUP('Data Source 1_customer readings'!A880,'Data Source 1_customer readings'!A880:A3278,'Data Source 1_customer readings'!J880:J3278)</f>
        <v>0</v>
      </c>
    </row>
    <row r="881" spans="1:8" x14ac:dyDescent="0.2">
      <c r="A881" s="2" t="s">
        <v>26</v>
      </c>
      <c r="B881" s="2">
        <v>22</v>
      </c>
      <c r="C881" s="2">
        <v>11</v>
      </c>
      <c r="D881" s="2">
        <v>2020</v>
      </c>
      <c r="E881" s="2">
        <v>0</v>
      </c>
      <c r="F881" s="2">
        <v>217.5</v>
      </c>
      <c r="H881" s="1">
        <f>_xlfn.XLOOKUP('Data Source 1_customer readings'!A881,'Data Source 1_customer readings'!A881:A3279,'Data Source 1_customer readings'!J881:J3279)</f>
        <v>0</v>
      </c>
    </row>
    <row r="882" spans="1:8" x14ac:dyDescent="0.2">
      <c r="A882" s="2" t="s">
        <v>32</v>
      </c>
      <c r="B882" s="2">
        <v>17</v>
      </c>
      <c r="C882" s="2">
        <v>11</v>
      </c>
      <c r="D882" s="2">
        <v>2020</v>
      </c>
      <c r="E882" s="2">
        <v>0</v>
      </c>
      <c r="F882" s="2">
        <v>213.9</v>
      </c>
      <c r="H882" s="1">
        <f>_xlfn.XLOOKUP('Data Source 1_customer readings'!A882,'Data Source 1_customer readings'!A882:A3280,'Data Source 1_customer readings'!J882:J3280)</f>
        <v>0</v>
      </c>
    </row>
    <row r="883" spans="1:8" x14ac:dyDescent="0.2">
      <c r="A883" s="2" t="s">
        <v>22</v>
      </c>
      <c r="B883" s="2">
        <v>22</v>
      </c>
      <c r="C883" s="2">
        <v>12</v>
      </c>
      <c r="D883" s="2">
        <v>2020</v>
      </c>
      <c r="E883" s="2">
        <v>0</v>
      </c>
      <c r="F883" s="2">
        <v>209.87</v>
      </c>
      <c r="H883" s="1">
        <f>_xlfn.XLOOKUP('Data Source 1_customer readings'!A883,'Data Source 1_customer readings'!A883:A3281,'Data Source 1_customer readings'!J883:J3281)</f>
        <v>0</v>
      </c>
    </row>
    <row r="884" spans="1:8" x14ac:dyDescent="0.2">
      <c r="A884" s="2" t="s">
        <v>30</v>
      </c>
      <c r="B884" s="2">
        <v>2</v>
      </c>
      <c r="C884" s="2">
        <v>1</v>
      </c>
      <c r="D884" s="2">
        <v>2020</v>
      </c>
      <c r="E884" s="2">
        <v>0</v>
      </c>
      <c r="F884" s="2">
        <v>209.25</v>
      </c>
      <c r="H884" s="1">
        <f>_xlfn.XLOOKUP('Data Source 1_customer readings'!A884,'Data Source 1_customer readings'!A884:A3282,'Data Source 1_customer readings'!J884:J3282)</f>
        <v>0</v>
      </c>
    </row>
    <row r="885" spans="1:8" x14ac:dyDescent="0.2">
      <c r="A885" s="2" t="s">
        <v>22</v>
      </c>
      <c r="B885" s="2">
        <v>22</v>
      </c>
      <c r="C885" s="2">
        <v>1</v>
      </c>
      <c r="D885" s="2">
        <v>2020</v>
      </c>
      <c r="E885" s="2">
        <v>0</v>
      </c>
      <c r="F885" s="2">
        <v>209.25</v>
      </c>
      <c r="H885" s="1">
        <f>_xlfn.XLOOKUP('Data Source 1_customer readings'!A885,'Data Source 1_customer readings'!A885:A3283,'Data Source 1_customer readings'!J885:J3283)</f>
        <v>0</v>
      </c>
    </row>
    <row r="886" spans="1:8" x14ac:dyDescent="0.2">
      <c r="A886" s="2" t="s">
        <v>29</v>
      </c>
      <c r="B886" s="2">
        <v>20</v>
      </c>
      <c r="C886" s="2">
        <v>11</v>
      </c>
      <c r="D886" s="2">
        <v>2020</v>
      </c>
      <c r="E886" s="2">
        <v>0</v>
      </c>
      <c r="F886" s="2">
        <v>206.4</v>
      </c>
      <c r="H886" s="1">
        <f>_xlfn.XLOOKUP('Data Source 1_customer readings'!A886,'Data Source 1_customer readings'!A886:A3284,'Data Source 1_customer readings'!J886:J3284)</f>
        <v>0</v>
      </c>
    </row>
    <row r="887" spans="1:8" x14ac:dyDescent="0.2">
      <c r="A887" s="2" t="s">
        <v>28</v>
      </c>
      <c r="B887" s="2">
        <v>5</v>
      </c>
      <c r="C887" s="2">
        <v>1</v>
      </c>
      <c r="D887" s="2">
        <v>2020</v>
      </c>
      <c r="E887" s="2">
        <v>0</v>
      </c>
      <c r="F887" s="2">
        <v>205.84</v>
      </c>
      <c r="H887" s="1">
        <f>_xlfn.XLOOKUP('Data Source 1_customer readings'!A887,'Data Source 1_customer readings'!A887:A3285,'Data Source 1_customer readings'!J887:J3285)</f>
        <v>0</v>
      </c>
    </row>
    <row r="888" spans="1:8" x14ac:dyDescent="0.2">
      <c r="A888" s="2" t="s">
        <v>30</v>
      </c>
      <c r="B888" s="2">
        <v>2</v>
      </c>
      <c r="C888" s="2">
        <v>11</v>
      </c>
      <c r="D888" s="2">
        <v>2020</v>
      </c>
      <c r="E888" s="2">
        <v>0</v>
      </c>
      <c r="F888" s="2">
        <v>205.5</v>
      </c>
      <c r="H888" s="1">
        <f>_xlfn.XLOOKUP('Data Source 1_customer readings'!A888,'Data Source 1_customer readings'!A888:A3286,'Data Source 1_customer readings'!J888:J3286)</f>
        <v>0</v>
      </c>
    </row>
    <row r="889" spans="1:8" x14ac:dyDescent="0.2">
      <c r="A889" s="2" t="s">
        <v>23</v>
      </c>
      <c r="B889" s="2">
        <v>5</v>
      </c>
      <c r="C889" s="2">
        <v>1</v>
      </c>
      <c r="D889" s="2">
        <v>2020</v>
      </c>
      <c r="E889" s="2">
        <v>0</v>
      </c>
      <c r="F889" s="2">
        <v>205.22</v>
      </c>
      <c r="H889" s="1">
        <f>_xlfn.XLOOKUP('Data Source 1_customer readings'!A889,'Data Source 1_customer readings'!A889:A3287,'Data Source 1_customer readings'!J889:J3287)</f>
        <v>0</v>
      </c>
    </row>
    <row r="890" spans="1:8" x14ac:dyDescent="0.2">
      <c r="A890" s="2" t="s">
        <v>11</v>
      </c>
      <c r="B890" s="2">
        <v>15</v>
      </c>
      <c r="C890" s="2">
        <v>1</v>
      </c>
      <c r="D890" s="2">
        <v>2020</v>
      </c>
      <c r="E890" s="2">
        <v>0</v>
      </c>
      <c r="F890" s="2">
        <v>204.6</v>
      </c>
      <c r="H890" s="1">
        <f>_xlfn.XLOOKUP('Data Source 1_customer readings'!A890,'Data Source 1_customer readings'!A890:A3288,'Data Source 1_customer readings'!J890:J3288)</f>
        <v>0</v>
      </c>
    </row>
    <row r="891" spans="1:8" x14ac:dyDescent="0.2">
      <c r="A891" s="2" t="s">
        <v>30</v>
      </c>
      <c r="B891" s="2">
        <v>2</v>
      </c>
      <c r="C891" s="2">
        <v>12</v>
      </c>
      <c r="D891" s="2">
        <v>2020</v>
      </c>
      <c r="E891" s="2">
        <v>0</v>
      </c>
      <c r="F891" s="2">
        <v>203.98</v>
      </c>
      <c r="H891" s="1">
        <f>_xlfn.XLOOKUP('Data Source 1_customer readings'!A891,'Data Source 1_customer readings'!A891:A3289,'Data Source 1_customer readings'!J891:J3289)</f>
        <v>0</v>
      </c>
    </row>
    <row r="892" spans="1:8" x14ac:dyDescent="0.2">
      <c r="A892" s="2" t="s">
        <v>23</v>
      </c>
      <c r="B892" s="2">
        <v>5</v>
      </c>
      <c r="C892" s="2">
        <v>12</v>
      </c>
      <c r="D892" s="2">
        <v>2020</v>
      </c>
      <c r="E892" s="2">
        <v>0</v>
      </c>
      <c r="F892" s="2">
        <v>203.98</v>
      </c>
      <c r="H892" s="1">
        <f>_xlfn.XLOOKUP('Data Source 1_customer readings'!A892,'Data Source 1_customer readings'!A892:A3290,'Data Source 1_customer readings'!J892:J3290)</f>
        <v>0</v>
      </c>
    </row>
    <row r="893" spans="1:8" x14ac:dyDescent="0.2">
      <c r="A893" s="2" t="s">
        <v>25</v>
      </c>
      <c r="B893" s="2">
        <v>8</v>
      </c>
      <c r="C893" s="2">
        <v>11</v>
      </c>
      <c r="D893" s="2">
        <v>2020</v>
      </c>
      <c r="E893" s="2">
        <v>0</v>
      </c>
      <c r="F893" s="2">
        <v>203.7</v>
      </c>
      <c r="H893" s="1">
        <f>_xlfn.XLOOKUP('Data Source 1_customer readings'!A893,'Data Source 1_customer readings'!A893:A3291,'Data Source 1_customer readings'!J893:J3291)</f>
        <v>0</v>
      </c>
    </row>
    <row r="894" spans="1:8" x14ac:dyDescent="0.2">
      <c r="A894" s="2" t="s">
        <v>31</v>
      </c>
      <c r="B894" s="2">
        <v>14</v>
      </c>
      <c r="C894" s="2">
        <v>1</v>
      </c>
      <c r="D894" s="2">
        <v>2020</v>
      </c>
      <c r="E894" s="2">
        <v>0</v>
      </c>
      <c r="F894" s="2">
        <v>203.67</v>
      </c>
      <c r="H894" s="1">
        <f>_xlfn.XLOOKUP('Data Source 1_customer readings'!A894,'Data Source 1_customer readings'!A894:A3292,'Data Source 1_customer readings'!J894:J3292)</f>
        <v>0</v>
      </c>
    </row>
    <row r="895" spans="1:8" x14ac:dyDescent="0.2">
      <c r="A895" s="2" t="s">
        <v>32</v>
      </c>
      <c r="B895" s="2">
        <v>17</v>
      </c>
      <c r="C895" s="2">
        <v>10</v>
      </c>
      <c r="D895" s="2">
        <v>2020</v>
      </c>
      <c r="E895" s="2">
        <v>0</v>
      </c>
      <c r="F895" s="2">
        <v>202.74</v>
      </c>
      <c r="H895" s="1">
        <f>_xlfn.XLOOKUP('Data Source 1_customer readings'!A895,'Data Source 1_customer readings'!A895:A3293,'Data Source 1_customer readings'!J895:J3293)</f>
        <v>0</v>
      </c>
    </row>
    <row r="896" spans="1:8" x14ac:dyDescent="0.2">
      <c r="A896" s="2" t="s">
        <v>25</v>
      </c>
      <c r="B896" s="2">
        <v>8</v>
      </c>
      <c r="C896" s="2">
        <v>12</v>
      </c>
      <c r="D896" s="2">
        <v>2020</v>
      </c>
      <c r="E896" s="2">
        <v>0</v>
      </c>
      <c r="F896" s="2">
        <v>201.19</v>
      </c>
      <c r="H896" s="1">
        <f>_xlfn.XLOOKUP('Data Source 1_customer readings'!A896,'Data Source 1_customer readings'!A896:A3294,'Data Source 1_customer readings'!J896:J3294)</f>
        <v>0</v>
      </c>
    </row>
    <row r="897" spans="1:8" x14ac:dyDescent="0.2">
      <c r="A897" s="2" t="s">
        <v>31</v>
      </c>
      <c r="B897" s="2">
        <v>14</v>
      </c>
      <c r="C897" s="2">
        <v>2</v>
      </c>
      <c r="D897" s="2">
        <v>2020</v>
      </c>
      <c r="E897" s="2">
        <v>0</v>
      </c>
      <c r="F897" s="2">
        <v>199.92</v>
      </c>
      <c r="H897" s="1">
        <f>_xlfn.XLOOKUP('Data Source 1_customer readings'!A897,'Data Source 1_customer readings'!A897:A3295,'Data Source 1_customer readings'!J897:J3295)</f>
        <v>0</v>
      </c>
    </row>
    <row r="898" spans="1:8" x14ac:dyDescent="0.2">
      <c r="A898" s="2" t="s">
        <v>16</v>
      </c>
      <c r="B898" s="2">
        <v>14</v>
      </c>
      <c r="C898" s="2">
        <v>1</v>
      </c>
      <c r="D898" s="2">
        <v>2020</v>
      </c>
      <c r="E898" s="2">
        <v>0</v>
      </c>
      <c r="F898" s="2">
        <v>198.71</v>
      </c>
      <c r="H898" s="1">
        <f>_xlfn.XLOOKUP('Data Source 1_customer readings'!A898,'Data Source 1_customer readings'!A898:A3296,'Data Source 1_customer readings'!J898:J3296)</f>
        <v>0</v>
      </c>
    </row>
    <row r="899" spans="1:8" x14ac:dyDescent="0.2">
      <c r="A899" s="2" t="s">
        <v>24</v>
      </c>
      <c r="B899" s="2">
        <v>22</v>
      </c>
      <c r="C899" s="2">
        <v>1</v>
      </c>
      <c r="D899" s="2">
        <v>2020</v>
      </c>
      <c r="E899" s="2">
        <v>0</v>
      </c>
      <c r="F899" s="2">
        <v>198.71</v>
      </c>
      <c r="H899" s="1">
        <f>_xlfn.XLOOKUP('Data Source 1_customer readings'!A899,'Data Source 1_customer readings'!A899:A3297,'Data Source 1_customer readings'!J899:J3297)</f>
        <v>0</v>
      </c>
    </row>
    <row r="900" spans="1:8" x14ac:dyDescent="0.2">
      <c r="A900" s="2" t="s">
        <v>18</v>
      </c>
      <c r="B900" s="2">
        <v>5</v>
      </c>
      <c r="C900" s="2">
        <v>1</v>
      </c>
      <c r="D900" s="2">
        <v>2020</v>
      </c>
      <c r="E900" s="2">
        <v>0</v>
      </c>
      <c r="F900" s="2">
        <v>197.78</v>
      </c>
      <c r="H900" s="1">
        <f>_xlfn.XLOOKUP('Data Source 1_customer readings'!A900,'Data Source 1_customer readings'!A900:A3298,'Data Source 1_customer readings'!J900:J3298)</f>
        <v>0</v>
      </c>
    </row>
    <row r="901" spans="1:8" x14ac:dyDescent="0.2">
      <c r="A901" s="2" t="s">
        <v>28</v>
      </c>
      <c r="B901" s="2">
        <v>5</v>
      </c>
      <c r="C901" s="2">
        <v>2</v>
      </c>
      <c r="D901" s="2">
        <v>2020</v>
      </c>
      <c r="E901" s="2">
        <v>0</v>
      </c>
      <c r="F901" s="2">
        <v>196.84</v>
      </c>
      <c r="H901" s="1">
        <f>_xlfn.XLOOKUP('Data Source 1_customer readings'!A901,'Data Source 1_customer readings'!A901:A3299,'Data Source 1_customer readings'!J901:J3299)</f>
        <v>0</v>
      </c>
    </row>
    <row r="902" spans="1:8" x14ac:dyDescent="0.2">
      <c r="A902" s="2" t="s">
        <v>11</v>
      </c>
      <c r="B902" s="2">
        <v>15</v>
      </c>
      <c r="C902" s="2">
        <v>11</v>
      </c>
      <c r="D902" s="2">
        <v>2020</v>
      </c>
      <c r="E902" s="2">
        <v>0</v>
      </c>
      <c r="F902" s="2">
        <v>196.8</v>
      </c>
      <c r="H902" s="1">
        <f>_xlfn.XLOOKUP('Data Source 1_customer readings'!A902,'Data Source 1_customer readings'!A902:A3300,'Data Source 1_customer readings'!J902:J3300)</f>
        <v>0</v>
      </c>
    </row>
    <row r="903" spans="1:8" x14ac:dyDescent="0.2">
      <c r="A903" s="2" t="s">
        <v>24</v>
      </c>
      <c r="B903" s="2">
        <v>22</v>
      </c>
      <c r="C903" s="2">
        <v>11</v>
      </c>
      <c r="D903" s="2">
        <v>2020</v>
      </c>
      <c r="E903" s="2">
        <v>0</v>
      </c>
      <c r="F903" s="2">
        <v>195.3</v>
      </c>
      <c r="H903" s="1">
        <f>_xlfn.XLOOKUP('Data Source 1_customer readings'!A903,'Data Source 1_customer readings'!A903:A3301,'Data Source 1_customer readings'!J903:J3301)</f>
        <v>0</v>
      </c>
    </row>
    <row r="904" spans="1:8" x14ac:dyDescent="0.2">
      <c r="A904" s="2" t="s">
        <v>31</v>
      </c>
      <c r="B904" s="2">
        <v>14</v>
      </c>
      <c r="C904" s="2">
        <v>12</v>
      </c>
      <c r="D904" s="2">
        <v>2020</v>
      </c>
      <c r="E904" s="2">
        <v>0</v>
      </c>
      <c r="F904" s="2">
        <v>194.99</v>
      </c>
      <c r="H904" s="1">
        <f>_xlfn.XLOOKUP('Data Source 1_customer readings'!A904,'Data Source 1_customer readings'!A904:A3302,'Data Source 1_customer readings'!J904:J3302)</f>
        <v>0</v>
      </c>
    </row>
    <row r="905" spans="1:8" x14ac:dyDescent="0.2">
      <c r="A905" s="2" t="s">
        <v>11</v>
      </c>
      <c r="B905" s="2">
        <v>15</v>
      </c>
      <c r="C905" s="2">
        <v>12</v>
      </c>
      <c r="D905" s="2">
        <v>2020</v>
      </c>
      <c r="E905" s="2">
        <v>0</v>
      </c>
      <c r="F905" s="2">
        <v>194.68</v>
      </c>
      <c r="H905" s="1">
        <f>_xlfn.XLOOKUP('Data Source 1_customer readings'!A905,'Data Source 1_customer readings'!A905:A3303,'Data Source 1_customer readings'!J905:J3303)</f>
        <v>0</v>
      </c>
    </row>
    <row r="906" spans="1:8" x14ac:dyDescent="0.2">
      <c r="A906" s="2" t="s">
        <v>8</v>
      </c>
      <c r="B906" s="2">
        <v>5</v>
      </c>
      <c r="C906" s="2">
        <v>1</v>
      </c>
      <c r="D906" s="2">
        <v>2020</v>
      </c>
      <c r="E906" s="2">
        <v>0</v>
      </c>
      <c r="F906" s="2">
        <v>192.51</v>
      </c>
      <c r="H906" s="1">
        <f>_xlfn.XLOOKUP('Data Source 1_customer readings'!A906,'Data Source 1_customer readings'!A906:A3304,'Data Source 1_customer readings'!J906:J3304)</f>
        <v>0</v>
      </c>
    </row>
    <row r="907" spans="1:8" x14ac:dyDescent="0.2">
      <c r="A907" s="2" t="s">
        <v>24</v>
      </c>
      <c r="B907" s="2">
        <v>22</v>
      </c>
      <c r="C907" s="2">
        <v>12</v>
      </c>
      <c r="D907" s="2">
        <v>2020</v>
      </c>
      <c r="E907" s="2">
        <v>0</v>
      </c>
      <c r="F907" s="2">
        <v>192.2</v>
      </c>
      <c r="H907" s="1">
        <f>_xlfn.XLOOKUP('Data Source 1_customer readings'!A907,'Data Source 1_customer readings'!A907:A3305,'Data Source 1_customer readings'!J907:J3305)</f>
        <v>0</v>
      </c>
    </row>
    <row r="908" spans="1:8" x14ac:dyDescent="0.2">
      <c r="A908" s="2" t="s">
        <v>17</v>
      </c>
      <c r="B908" s="2">
        <v>8</v>
      </c>
      <c r="C908" s="2">
        <v>1</v>
      </c>
      <c r="D908" s="2">
        <v>2020</v>
      </c>
      <c r="E908" s="2">
        <v>0</v>
      </c>
      <c r="F908" s="2">
        <v>191.89</v>
      </c>
      <c r="H908" s="1">
        <f>_xlfn.XLOOKUP('Data Source 1_customer readings'!A908,'Data Source 1_customer readings'!A908:A3306,'Data Source 1_customer readings'!J908:J3306)</f>
        <v>0</v>
      </c>
    </row>
    <row r="909" spans="1:8" x14ac:dyDescent="0.2">
      <c r="A909" s="2" t="s">
        <v>31</v>
      </c>
      <c r="B909" s="2">
        <v>14</v>
      </c>
      <c r="C909" s="2">
        <v>3</v>
      </c>
      <c r="D909" s="2">
        <v>2020</v>
      </c>
      <c r="E909" s="2">
        <v>0</v>
      </c>
      <c r="F909" s="2">
        <v>190.65</v>
      </c>
      <c r="H909" s="1">
        <f>_xlfn.XLOOKUP('Data Source 1_customer readings'!A909,'Data Source 1_customer readings'!A909:A3307,'Data Source 1_customer readings'!J909:J3307)</f>
        <v>0</v>
      </c>
    </row>
    <row r="910" spans="1:8" x14ac:dyDescent="0.2">
      <c r="A910" s="2" t="s">
        <v>14</v>
      </c>
      <c r="B910" s="2">
        <v>10</v>
      </c>
      <c r="C910" s="2">
        <v>12</v>
      </c>
      <c r="D910" s="2">
        <v>2020</v>
      </c>
      <c r="E910" s="2">
        <v>0</v>
      </c>
      <c r="F910" s="2">
        <v>190.34</v>
      </c>
      <c r="H910" s="1">
        <f>_xlfn.XLOOKUP('Data Source 1_customer readings'!A910,'Data Source 1_customer readings'!A910:A3308,'Data Source 1_customer readings'!J910:J3308)</f>
        <v>0</v>
      </c>
    </row>
    <row r="911" spans="1:8" x14ac:dyDescent="0.2">
      <c r="A911" s="2" t="s">
        <v>26</v>
      </c>
      <c r="B911" s="2">
        <v>22</v>
      </c>
      <c r="C911" s="2">
        <v>2</v>
      </c>
      <c r="D911" s="2">
        <v>2020</v>
      </c>
      <c r="E911" s="2">
        <v>0</v>
      </c>
      <c r="F911" s="2">
        <v>189.84</v>
      </c>
      <c r="H911" s="1">
        <f>_xlfn.XLOOKUP('Data Source 1_customer readings'!A911,'Data Source 1_customer readings'!A911:A3309,'Data Source 1_customer readings'!J911:J3309)</f>
        <v>0</v>
      </c>
    </row>
    <row r="912" spans="1:8" x14ac:dyDescent="0.2">
      <c r="A912" s="2" t="s">
        <v>19</v>
      </c>
      <c r="B912" s="2">
        <v>24</v>
      </c>
      <c r="C912" s="2">
        <v>11</v>
      </c>
      <c r="D912" s="2">
        <v>2020</v>
      </c>
      <c r="E912" s="2">
        <v>0</v>
      </c>
      <c r="F912" s="2">
        <v>188.7</v>
      </c>
      <c r="H912" s="1">
        <f>_xlfn.XLOOKUP('Data Source 1_customer readings'!A912,'Data Source 1_customer readings'!A912:A3310,'Data Source 1_customer readings'!J912:J3310)</f>
        <v>0</v>
      </c>
    </row>
    <row r="913" spans="1:8" x14ac:dyDescent="0.2">
      <c r="A913" s="2" t="s">
        <v>23</v>
      </c>
      <c r="B913" s="2">
        <v>5</v>
      </c>
      <c r="C913" s="2">
        <v>11</v>
      </c>
      <c r="D913" s="2">
        <v>2020</v>
      </c>
      <c r="E913" s="2">
        <v>0</v>
      </c>
      <c r="F913" s="2">
        <v>188.1</v>
      </c>
      <c r="H913" s="1">
        <f>_xlfn.XLOOKUP('Data Source 1_customer readings'!A913,'Data Source 1_customer readings'!A913:A3311,'Data Source 1_customer readings'!J913:J3311)</f>
        <v>0</v>
      </c>
    </row>
    <row r="914" spans="1:8" x14ac:dyDescent="0.2">
      <c r="A914" s="2" t="s">
        <v>14</v>
      </c>
      <c r="B914" s="2">
        <v>10</v>
      </c>
      <c r="C914" s="2">
        <v>1</v>
      </c>
      <c r="D914" s="2">
        <v>2020</v>
      </c>
      <c r="E914" s="2">
        <v>0</v>
      </c>
      <c r="F914" s="2">
        <v>187.86</v>
      </c>
      <c r="H914" s="1">
        <f>_xlfn.XLOOKUP('Data Source 1_customer readings'!A914,'Data Source 1_customer readings'!A914:A3312,'Data Source 1_customer readings'!J914:J3312)</f>
        <v>0</v>
      </c>
    </row>
    <row r="915" spans="1:8" x14ac:dyDescent="0.2">
      <c r="A915" s="2" t="s">
        <v>27</v>
      </c>
      <c r="B915" s="2">
        <v>1</v>
      </c>
      <c r="C915" s="2">
        <v>11</v>
      </c>
      <c r="D915" s="2">
        <v>2020</v>
      </c>
      <c r="E915" s="2">
        <v>0</v>
      </c>
      <c r="F915" s="2">
        <v>187.5</v>
      </c>
      <c r="H915" s="1">
        <f>_xlfn.XLOOKUP('Data Source 1_customer readings'!A915,'Data Source 1_customer readings'!A915:A3313,'Data Source 1_customer readings'!J915:J3313)</f>
        <v>0</v>
      </c>
    </row>
    <row r="916" spans="1:8" x14ac:dyDescent="0.2">
      <c r="A916" s="2" t="s">
        <v>10</v>
      </c>
      <c r="B916" s="2">
        <v>18</v>
      </c>
      <c r="C916" s="2">
        <v>11</v>
      </c>
      <c r="D916" s="2">
        <v>2020</v>
      </c>
      <c r="E916" s="2">
        <v>0</v>
      </c>
      <c r="F916" s="2">
        <v>186.9</v>
      </c>
      <c r="H916" s="1">
        <f>_xlfn.XLOOKUP('Data Source 1_customer readings'!A916,'Data Source 1_customer readings'!A916:A3314,'Data Source 1_customer readings'!J916:J3314)</f>
        <v>0</v>
      </c>
    </row>
    <row r="917" spans="1:8" x14ac:dyDescent="0.2">
      <c r="A917" s="2" t="s">
        <v>19</v>
      </c>
      <c r="B917" s="2">
        <v>24</v>
      </c>
      <c r="C917" s="2">
        <v>2</v>
      </c>
      <c r="D917" s="2">
        <v>2020</v>
      </c>
      <c r="E917" s="2">
        <v>0</v>
      </c>
      <c r="F917" s="2">
        <v>186.76</v>
      </c>
      <c r="H917" s="1">
        <f>_xlfn.XLOOKUP('Data Source 1_customer readings'!A917,'Data Source 1_customer readings'!A917:A3315,'Data Source 1_customer readings'!J917:J3315)</f>
        <v>0</v>
      </c>
    </row>
    <row r="918" spans="1:8" x14ac:dyDescent="0.2">
      <c r="A918" s="2" t="s">
        <v>25</v>
      </c>
      <c r="B918" s="2">
        <v>8</v>
      </c>
      <c r="C918" s="2">
        <v>2</v>
      </c>
      <c r="D918" s="2">
        <v>2020</v>
      </c>
      <c r="E918" s="2">
        <v>0</v>
      </c>
      <c r="F918" s="2">
        <v>186.48</v>
      </c>
      <c r="H918" s="1">
        <f>_xlfn.XLOOKUP('Data Source 1_customer readings'!A918,'Data Source 1_customer readings'!A918:A3316,'Data Source 1_customer readings'!J918:J3316)</f>
        <v>0</v>
      </c>
    </row>
    <row r="919" spans="1:8" x14ac:dyDescent="0.2">
      <c r="A919" s="2" t="s">
        <v>28</v>
      </c>
      <c r="B919" s="2">
        <v>5</v>
      </c>
      <c r="C919" s="2">
        <v>12</v>
      </c>
      <c r="D919" s="2">
        <v>2020</v>
      </c>
      <c r="E919" s="2">
        <v>0</v>
      </c>
      <c r="F919" s="2">
        <v>186.31</v>
      </c>
      <c r="H919" s="1" t="b">
        <f>_xlfn.XLOOKUP('Data Source 1_customer readings'!A919,'Data Source 1_customer readings'!A919:A3317,'Data Source 1_customer readings'!J919:J3317)</f>
        <v>0</v>
      </c>
    </row>
    <row r="920" spans="1:8" x14ac:dyDescent="0.2">
      <c r="A920" s="2" t="s">
        <v>31</v>
      </c>
      <c r="B920" s="2">
        <v>14</v>
      </c>
      <c r="C920" s="2">
        <v>4</v>
      </c>
      <c r="D920" s="2">
        <v>2020</v>
      </c>
      <c r="E920" s="2">
        <v>0</v>
      </c>
      <c r="F920" s="2">
        <v>186</v>
      </c>
      <c r="H920" s="1">
        <f>_xlfn.XLOOKUP('Data Source 1_customer readings'!A920,'Data Source 1_customer readings'!A920:A3318,'Data Source 1_customer readings'!J920:J3318)</f>
        <v>0</v>
      </c>
    </row>
    <row r="921" spans="1:8" x14ac:dyDescent="0.2">
      <c r="A921" s="2" t="s">
        <v>4</v>
      </c>
      <c r="B921" s="2">
        <v>1</v>
      </c>
      <c r="C921" s="2">
        <v>11</v>
      </c>
      <c r="D921" s="2">
        <v>2020</v>
      </c>
      <c r="E921" s="2">
        <v>0</v>
      </c>
      <c r="F921" s="2">
        <v>185.4</v>
      </c>
      <c r="H921" s="1">
        <f>_xlfn.XLOOKUP('Data Source 1_customer readings'!A921,'Data Source 1_customer readings'!A921:A3319,'Data Source 1_customer readings'!J921:J3319)</f>
        <v>0</v>
      </c>
    </row>
    <row r="922" spans="1:8" x14ac:dyDescent="0.2">
      <c r="A922" s="2" t="s">
        <v>20</v>
      </c>
      <c r="B922" s="2">
        <v>12</v>
      </c>
      <c r="C922" s="2">
        <v>11</v>
      </c>
      <c r="D922" s="2">
        <v>2020</v>
      </c>
      <c r="E922" s="2">
        <v>0</v>
      </c>
      <c r="F922" s="2">
        <v>185.1</v>
      </c>
      <c r="H922" s="1" t="b">
        <f>_xlfn.XLOOKUP('Data Source 1_customer readings'!A922,'Data Source 1_customer readings'!A922:A3320,'Data Source 1_customer readings'!J922:J3320)</f>
        <v>0</v>
      </c>
    </row>
    <row r="923" spans="1:8" x14ac:dyDescent="0.2">
      <c r="A923" s="2" t="s">
        <v>29</v>
      </c>
      <c r="B923" s="2">
        <v>20</v>
      </c>
      <c r="C923" s="2">
        <v>2</v>
      </c>
      <c r="D923" s="2">
        <v>2020</v>
      </c>
      <c r="E923" s="2">
        <v>0</v>
      </c>
      <c r="F923" s="2">
        <v>184.8</v>
      </c>
      <c r="H923" s="1">
        <f>_xlfn.XLOOKUP('Data Source 1_customer readings'!A923,'Data Source 1_customer readings'!A923:A3321,'Data Source 1_customer readings'!J923:J3321)</f>
        <v>0</v>
      </c>
    </row>
    <row r="924" spans="1:8" x14ac:dyDescent="0.2">
      <c r="A924" s="2" t="s">
        <v>32</v>
      </c>
      <c r="B924" s="2">
        <v>17</v>
      </c>
      <c r="C924" s="2">
        <v>4</v>
      </c>
      <c r="D924" s="2">
        <v>2020</v>
      </c>
      <c r="E924" s="2">
        <v>0</v>
      </c>
      <c r="F924" s="2">
        <v>184.2</v>
      </c>
      <c r="H924" s="1">
        <f>_xlfn.XLOOKUP('Data Source 1_customer readings'!A924,'Data Source 1_customer readings'!A924:A3322,'Data Source 1_customer readings'!J924:J3322)</f>
        <v>0</v>
      </c>
    </row>
    <row r="925" spans="1:8" x14ac:dyDescent="0.2">
      <c r="A925" s="2" t="s">
        <v>13</v>
      </c>
      <c r="B925" s="2">
        <v>7</v>
      </c>
      <c r="C925" s="2">
        <v>12</v>
      </c>
      <c r="D925" s="2">
        <v>2020</v>
      </c>
      <c r="E925" s="2">
        <v>0</v>
      </c>
      <c r="F925" s="2">
        <v>183.83</v>
      </c>
      <c r="H925" s="1">
        <f>_xlfn.XLOOKUP('Data Source 1_customer readings'!A925,'Data Source 1_customer readings'!A925:A3323,'Data Source 1_customer readings'!J925:J3323)</f>
        <v>0</v>
      </c>
    </row>
    <row r="926" spans="1:8" x14ac:dyDescent="0.2">
      <c r="A926" s="2" t="s">
        <v>32</v>
      </c>
      <c r="B926" s="2">
        <v>17</v>
      </c>
      <c r="C926" s="2">
        <v>3</v>
      </c>
      <c r="D926" s="2">
        <v>2020</v>
      </c>
      <c r="E926" s="2">
        <v>0</v>
      </c>
      <c r="F926" s="2">
        <v>183.52</v>
      </c>
      <c r="H926" s="1">
        <f>_xlfn.XLOOKUP('Data Source 1_customer readings'!A926,'Data Source 1_customer readings'!A926:A3324,'Data Source 1_customer readings'!J926:J3324)</f>
        <v>0</v>
      </c>
    </row>
    <row r="927" spans="1:8" x14ac:dyDescent="0.2">
      <c r="A927" s="2" t="s">
        <v>7</v>
      </c>
      <c r="B927" s="2">
        <v>20</v>
      </c>
      <c r="C927" s="2">
        <v>11</v>
      </c>
      <c r="D927" s="2">
        <v>2020</v>
      </c>
      <c r="E927" s="2">
        <v>0</v>
      </c>
      <c r="F927" s="2">
        <v>183.3</v>
      </c>
      <c r="H927" s="1">
        <f>_xlfn.XLOOKUP('Data Source 1_customer readings'!A927,'Data Source 1_customer readings'!A927:A3325,'Data Source 1_customer readings'!J927:J3325)</f>
        <v>0</v>
      </c>
    </row>
    <row r="928" spans="1:8" x14ac:dyDescent="0.2">
      <c r="A928" s="2" t="s">
        <v>19</v>
      </c>
      <c r="B928" s="2">
        <v>24</v>
      </c>
      <c r="C928" s="2">
        <v>12</v>
      </c>
      <c r="D928" s="2">
        <v>2020</v>
      </c>
      <c r="E928" s="2">
        <v>0</v>
      </c>
      <c r="F928" s="2">
        <v>182.9</v>
      </c>
      <c r="H928" s="1">
        <f>_xlfn.XLOOKUP('Data Source 1_customer readings'!A928,'Data Source 1_customer readings'!A928:A3326,'Data Source 1_customer readings'!J928:J3326)</f>
        <v>0</v>
      </c>
    </row>
    <row r="929" spans="1:8" x14ac:dyDescent="0.2">
      <c r="A929" s="2" t="s">
        <v>26</v>
      </c>
      <c r="B929" s="2">
        <v>22</v>
      </c>
      <c r="C929" s="2">
        <v>3</v>
      </c>
      <c r="D929" s="2">
        <v>2020</v>
      </c>
      <c r="E929" s="2">
        <v>0</v>
      </c>
      <c r="F929" s="2">
        <v>182.59</v>
      </c>
      <c r="H929" s="1">
        <f>_xlfn.XLOOKUP('Data Source 1_customer readings'!A929,'Data Source 1_customer readings'!A929:A3327,'Data Source 1_customer readings'!J929:J3327)</f>
        <v>0</v>
      </c>
    </row>
    <row r="930" spans="1:8" x14ac:dyDescent="0.2">
      <c r="A930" s="2" t="s">
        <v>12</v>
      </c>
      <c r="B930" s="2">
        <v>2</v>
      </c>
      <c r="C930" s="2">
        <v>11</v>
      </c>
      <c r="D930" s="2">
        <v>2020</v>
      </c>
      <c r="E930" s="2">
        <v>0</v>
      </c>
      <c r="F930" s="2">
        <v>181.8</v>
      </c>
      <c r="H930" s="1">
        <f>_xlfn.XLOOKUP('Data Source 1_customer readings'!A930,'Data Source 1_customer readings'!A930:A3328,'Data Source 1_customer readings'!J930:J3328)</f>
        <v>0</v>
      </c>
    </row>
    <row r="931" spans="1:8" x14ac:dyDescent="0.2">
      <c r="A931" s="2" t="s">
        <v>16</v>
      </c>
      <c r="B931" s="2">
        <v>14</v>
      </c>
      <c r="C931" s="2">
        <v>12</v>
      </c>
      <c r="D931" s="2">
        <v>2020</v>
      </c>
      <c r="E931" s="2">
        <v>0</v>
      </c>
      <c r="F931" s="2">
        <v>180.42</v>
      </c>
      <c r="H931" s="1">
        <f>_xlfn.XLOOKUP('Data Source 1_customer readings'!A931,'Data Source 1_customer readings'!A931:A3329,'Data Source 1_customer readings'!J931:J3329)</f>
        <v>0</v>
      </c>
    </row>
    <row r="932" spans="1:8" x14ac:dyDescent="0.2">
      <c r="A932" s="2" t="s">
        <v>7</v>
      </c>
      <c r="B932" s="2">
        <v>20</v>
      </c>
      <c r="C932" s="2">
        <v>1</v>
      </c>
      <c r="D932" s="2">
        <v>2020</v>
      </c>
      <c r="E932" s="2">
        <v>0</v>
      </c>
      <c r="F932" s="2">
        <v>179.8</v>
      </c>
      <c r="H932" s="1">
        <f>_xlfn.XLOOKUP('Data Source 1_customer readings'!A932,'Data Source 1_customer readings'!A932:A3330,'Data Source 1_customer readings'!J932:J3330)</f>
        <v>0</v>
      </c>
    </row>
    <row r="933" spans="1:8" x14ac:dyDescent="0.2">
      <c r="A933" s="2" t="s">
        <v>24</v>
      </c>
      <c r="B933" s="2">
        <v>22</v>
      </c>
      <c r="C933" s="2">
        <v>2</v>
      </c>
      <c r="D933" s="2">
        <v>2020</v>
      </c>
      <c r="E933" s="2">
        <v>0</v>
      </c>
      <c r="F933" s="2">
        <v>179.76</v>
      </c>
      <c r="H933" s="1">
        <f>_xlfn.XLOOKUP('Data Source 1_customer readings'!A933,'Data Source 1_customer readings'!A933:A3331,'Data Source 1_customer readings'!J933:J3331)</f>
        <v>0</v>
      </c>
    </row>
    <row r="934" spans="1:8" x14ac:dyDescent="0.2">
      <c r="A934" s="2" t="s">
        <v>27</v>
      </c>
      <c r="B934" s="2">
        <v>1</v>
      </c>
      <c r="C934" s="2">
        <v>2</v>
      </c>
      <c r="D934" s="2">
        <v>2020</v>
      </c>
      <c r="E934" s="2">
        <v>0</v>
      </c>
      <c r="F934" s="2">
        <v>179.48</v>
      </c>
      <c r="H934" s="1">
        <f>_xlfn.XLOOKUP('Data Source 1_customer readings'!A934,'Data Source 1_customer readings'!A934:A3332,'Data Source 1_customer readings'!J934:J3332)</f>
        <v>0</v>
      </c>
    </row>
    <row r="935" spans="1:8" x14ac:dyDescent="0.2">
      <c r="A935" s="2" t="s">
        <v>15</v>
      </c>
      <c r="B935" s="2">
        <v>5</v>
      </c>
      <c r="C935" s="2">
        <v>12</v>
      </c>
      <c r="D935" s="2">
        <v>2020</v>
      </c>
      <c r="E935" s="2">
        <v>0</v>
      </c>
      <c r="F935" s="2">
        <v>179.18</v>
      </c>
      <c r="H935" s="1">
        <f>_xlfn.XLOOKUP('Data Source 1_customer readings'!A935,'Data Source 1_customer readings'!A935:A3333,'Data Source 1_customer readings'!J935:J3333)</f>
        <v>0</v>
      </c>
    </row>
    <row r="936" spans="1:8" x14ac:dyDescent="0.2">
      <c r="A936" s="2" t="s">
        <v>22</v>
      </c>
      <c r="B936" s="2">
        <v>22</v>
      </c>
      <c r="C936" s="2">
        <v>11</v>
      </c>
      <c r="D936" s="2">
        <v>2020</v>
      </c>
      <c r="E936" s="2">
        <v>0</v>
      </c>
      <c r="F936" s="2">
        <v>178.8</v>
      </c>
      <c r="H936" s="1">
        <f>_xlfn.XLOOKUP('Data Source 1_customer readings'!A936,'Data Source 1_customer readings'!A936:A3334,'Data Source 1_customer readings'!J936:J3334)</f>
        <v>0</v>
      </c>
    </row>
    <row r="937" spans="1:8" x14ac:dyDescent="0.2">
      <c r="A937" s="2" t="s">
        <v>13</v>
      </c>
      <c r="B937" s="2">
        <v>7</v>
      </c>
      <c r="C937" s="2">
        <v>1</v>
      </c>
      <c r="D937" s="2">
        <v>2020</v>
      </c>
      <c r="E937" s="2">
        <v>0</v>
      </c>
      <c r="F937" s="2">
        <v>177.32</v>
      </c>
      <c r="H937" s="1">
        <f>_xlfn.XLOOKUP('Data Source 1_customer readings'!A937,'Data Source 1_customer readings'!A937:A3335,'Data Source 1_customer readings'!J937:J3335)</f>
        <v>0</v>
      </c>
    </row>
    <row r="938" spans="1:8" x14ac:dyDescent="0.2">
      <c r="A938" s="2" t="s">
        <v>30</v>
      </c>
      <c r="B938" s="2">
        <v>2</v>
      </c>
      <c r="C938" s="2">
        <v>4</v>
      </c>
      <c r="D938" s="2">
        <v>2020</v>
      </c>
      <c r="E938" s="2">
        <v>0</v>
      </c>
      <c r="F938" s="2">
        <v>176.7</v>
      </c>
      <c r="H938" s="1">
        <f>_xlfn.XLOOKUP('Data Source 1_customer readings'!A938,'Data Source 1_customer readings'!A938:A3336,'Data Source 1_customer readings'!J938:J3336)</f>
        <v>0</v>
      </c>
    </row>
    <row r="939" spans="1:8" x14ac:dyDescent="0.2">
      <c r="A939" s="2" t="s">
        <v>25</v>
      </c>
      <c r="B939" s="2">
        <v>8</v>
      </c>
      <c r="C939" s="2">
        <v>10</v>
      </c>
      <c r="D939" s="2">
        <v>2020</v>
      </c>
      <c r="E939" s="2">
        <v>0</v>
      </c>
      <c r="F939" s="2">
        <v>176.39</v>
      </c>
      <c r="H939" s="1">
        <f>_xlfn.XLOOKUP('Data Source 1_customer readings'!A939,'Data Source 1_customer readings'!A939:A3337,'Data Source 1_customer readings'!J939:J3337)</f>
        <v>0</v>
      </c>
    </row>
    <row r="940" spans="1:8" x14ac:dyDescent="0.2">
      <c r="A940" s="2" t="s">
        <v>13</v>
      </c>
      <c r="B940" s="2">
        <v>7</v>
      </c>
      <c r="C940" s="2">
        <v>2</v>
      </c>
      <c r="D940" s="2">
        <v>2020</v>
      </c>
      <c r="E940" s="2">
        <v>0</v>
      </c>
      <c r="F940" s="2">
        <v>175.56</v>
      </c>
      <c r="H940" s="1">
        <f>_xlfn.XLOOKUP('Data Source 1_customer readings'!A940,'Data Source 1_customer readings'!A940:A3338,'Data Source 1_customer readings'!J940:J3338)</f>
        <v>0</v>
      </c>
    </row>
    <row r="941" spans="1:8" x14ac:dyDescent="0.2">
      <c r="A941" s="2" t="s">
        <v>29</v>
      </c>
      <c r="B941" s="2">
        <v>20</v>
      </c>
      <c r="C941" s="2">
        <v>4</v>
      </c>
      <c r="D941" s="2">
        <v>2020</v>
      </c>
      <c r="E941" s="2">
        <v>0</v>
      </c>
      <c r="F941" s="2">
        <v>175.5</v>
      </c>
      <c r="H941" s="1">
        <f>_xlfn.XLOOKUP('Data Source 1_customer readings'!A941,'Data Source 1_customer readings'!A941:A3339,'Data Source 1_customer readings'!J941:J3339)</f>
        <v>0</v>
      </c>
    </row>
    <row r="942" spans="1:8" x14ac:dyDescent="0.2">
      <c r="A942" s="2" t="s">
        <v>10</v>
      </c>
      <c r="B942" s="2">
        <v>18</v>
      </c>
      <c r="C942" s="2">
        <v>12</v>
      </c>
      <c r="D942" s="2">
        <v>2020</v>
      </c>
      <c r="E942" s="2">
        <v>0</v>
      </c>
      <c r="F942" s="2">
        <v>175.46</v>
      </c>
      <c r="H942" s="1">
        <f>_xlfn.XLOOKUP('Data Source 1_customer readings'!A942,'Data Source 1_customer readings'!A942:A3340,'Data Source 1_customer readings'!J942:J3340)</f>
        <v>0</v>
      </c>
    </row>
    <row r="943" spans="1:8" x14ac:dyDescent="0.2">
      <c r="A943" s="2" t="s">
        <v>21</v>
      </c>
      <c r="B943" s="2">
        <v>15</v>
      </c>
      <c r="C943" s="2">
        <v>12</v>
      </c>
      <c r="D943" s="2">
        <v>2020</v>
      </c>
      <c r="E943" s="2">
        <v>0</v>
      </c>
      <c r="F943" s="2">
        <v>174.84</v>
      </c>
      <c r="H943" s="1">
        <f>_xlfn.XLOOKUP('Data Source 1_customer readings'!A943,'Data Source 1_customer readings'!A943:A3341,'Data Source 1_customer readings'!J943:J3341)</f>
        <v>0</v>
      </c>
    </row>
    <row r="944" spans="1:8" x14ac:dyDescent="0.2">
      <c r="A944" s="2" t="s">
        <v>31</v>
      </c>
      <c r="B944" s="2">
        <v>14</v>
      </c>
      <c r="C944" s="2">
        <v>7</v>
      </c>
      <c r="D944" s="2">
        <v>2020</v>
      </c>
      <c r="E944" s="2">
        <v>0</v>
      </c>
      <c r="F944" s="2">
        <v>174.53</v>
      </c>
      <c r="H944" s="1">
        <f>_xlfn.XLOOKUP('Data Source 1_customer readings'!A944,'Data Source 1_customer readings'!A944:A3342,'Data Source 1_customer readings'!J944:J3342)</f>
        <v>0</v>
      </c>
    </row>
    <row r="945" spans="1:8" x14ac:dyDescent="0.2">
      <c r="A945" s="2" t="s">
        <v>21</v>
      </c>
      <c r="B945" s="2">
        <v>15</v>
      </c>
      <c r="C945" s="2">
        <v>11</v>
      </c>
      <c r="D945" s="2">
        <v>2020</v>
      </c>
      <c r="E945" s="2">
        <v>0</v>
      </c>
      <c r="F945" s="2">
        <v>174</v>
      </c>
      <c r="H945" s="1">
        <f>_xlfn.XLOOKUP('Data Source 1_customer readings'!A945,'Data Source 1_customer readings'!A945:A3343,'Data Source 1_customer readings'!J945:J3343)</f>
        <v>0</v>
      </c>
    </row>
    <row r="946" spans="1:8" x14ac:dyDescent="0.2">
      <c r="A946" s="2" t="s">
        <v>4</v>
      </c>
      <c r="B946" s="2">
        <v>1</v>
      </c>
      <c r="C946" s="2">
        <v>12</v>
      </c>
      <c r="D946" s="2">
        <v>2020</v>
      </c>
      <c r="E946" s="2">
        <v>0</v>
      </c>
      <c r="F946" s="2">
        <v>173.91</v>
      </c>
      <c r="H946" s="1">
        <f>_xlfn.XLOOKUP('Data Source 1_customer readings'!A946,'Data Source 1_customer readings'!A946:A3344,'Data Source 1_customer readings'!J946:J3344)</f>
        <v>0</v>
      </c>
    </row>
    <row r="947" spans="1:8" x14ac:dyDescent="0.2">
      <c r="A947" s="2" t="s">
        <v>30</v>
      </c>
      <c r="B947" s="2">
        <v>2</v>
      </c>
      <c r="C947" s="2">
        <v>2</v>
      </c>
      <c r="D947" s="2">
        <v>2020</v>
      </c>
      <c r="E947" s="2">
        <v>0</v>
      </c>
      <c r="F947" s="2">
        <v>173.32</v>
      </c>
      <c r="H947" s="1">
        <f>_xlfn.XLOOKUP('Data Source 1_customer readings'!A947,'Data Source 1_customer readings'!A947:A3345,'Data Source 1_customer readings'!J947:J3345)</f>
        <v>0</v>
      </c>
    </row>
    <row r="948" spans="1:8" x14ac:dyDescent="0.2">
      <c r="A948" s="2" t="s">
        <v>31</v>
      </c>
      <c r="B948" s="2">
        <v>14</v>
      </c>
      <c r="C948" s="2">
        <v>10</v>
      </c>
      <c r="D948" s="2">
        <v>2020</v>
      </c>
      <c r="E948" s="2">
        <v>0</v>
      </c>
      <c r="F948" s="2">
        <v>173.29</v>
      </c>
      <c r="H948" s="1">
        <f>_xlfn.XLOOKUP('Data Source 1_customer readings'!A948,'Data Source 1_customer readings'!A948:A3346,'Data Source 1_customer readings'!J948:J3346)</f>
        <v>0</v>
      </c>
    </row>
    <row r="949" spans="1:8" x14ac:dyDescent="0.2">
      <c r="A949" s="2" t="s">
        <v>14</v>
      </c>
      <c r="B949" s="2">
        <v>10</v>
      </c>
      <c r="C949" s="2">
        <v>11</v>
      </c>
      <c r="D949" s="2">
        <v>2020</v>
      </c>
      <c r="E949" s="2">
        <v>0</v>
      </c>
      <c r="F949" s="2">
        <v>172.5</v>
      </c>
      <c r="H949" s="1">
        <f>_xlfn.XLOOKUP('Data Source 1_customer readings'!A949,'Data Source 1_customer readings'!A949:A3347,'Data Source 1_customer readings'!J949:J3347)</f>
        <v>0</v>
      </c>
    </row>
    <row r="950" spans="1:8" x14ac:dyDescent="0.2">
      <c r="A950" s="2" t="s">
        <v>18</v>
      </c>
      <c r="B950" s="2">
        <v>5</v>
      </c>
      <c r="C950" s="2">
        <v>11</v>
      </c>
      <c r="D950" s="2">
        <v>2020</v>
      </c>
      <c r="E950" s="2">
        <v>0</v>
      </c>
      <c r="F950" s="2">
        <v>172.2</v>
      </c>
      <c r="H950" s="1">
        <f>_xlfn.XLOOKUP('Data Source 1_customer readings'!A950,'Data Source 1_customer readings'!A950:A3348,'Data Source 1_customer readings'!J950:J3348)</f>
        <v>0</v>
      </c>
    </row>
    <row r="951" spans="1:8" x14ac:dyDescent="0.2">
      <c r="A951" s="2" t="s">
        <v>15</v>
      </c>
      <c r="B951" s="2">
        <v>5</v>
      </c>
      <c r="C951" s="2">
        <v>1</v>
      </c>
      <c r="D951" s="2">
        <v>2020</v>
      </c>
      <c r="E951" s="2">
        <v>0</v>
      </c>
      <c r="F951" s="2">
        <v>171.74</v>
      </c>
      <c r="H951" s="1">
        <f>_xlfn.XLOOKUP('Data Source 1_customer readings'!A951,'Data Source 1_customer readings'!A951:A3349,'Data Source 1_customer readings'!J951:J3349)</f>
        <v>0</v>
      </c>
    </row>
    <row r="952" spans="1:8" x14ac:dyDescent="0.2">
      <c r="A952" s="2" t="s">
        <v>30</v>
      </c>
      <c r="B952" s="2">
        <v>2</v>
      </c>
      <c r="C952" s="2">
        <v>10</v>
      </c>
      <c r="D952" s="2">
        <v>2020</v>
      </c>
      <c r="E952" s="2">
        <v>0</v>
      </c>
      <c r="F952" s="2">
        <v>171.74</v>
      </c>
      <c r="H952" s="1">
        <f>_xlfn.XLOOKUP('Data Source 1_customer readings'!A952,'Data Source 1_customer readings'!A952:A3350,'Data Source 1_customer readings'!J952:J3350)</f>
        <v>0</v>
      </c>
    </row>
    <row r="953" spans="1:8" x14ac:dyDescent="0.2">
      <c r="A953" s="2" t="s">
        <v>24</v>
      </c>
      <c r="B953" s="2">
        <v>22</v>
      </c>
      <c r="C953" s="2">
        <v>10</v>
      </c>
      <c r="D953" s="2">
        <v>2020</v>
      </c>
      <c r="E953" s="2">
        <v>0</v>
      </c>
      <c r="F953" s="2">
        <v>171.43</v>
      </c>
      <c r="H953" s="1">
        <f>_xlfn.XLOOKUP('Data Source 1_customer readings'!A953,'Data Source 1_customer readings'!A953:A3351,'Data Source 1_customer readings'!J953:J3351)</f>
        <v>0</v>
      </c>
    </row>
    <row r="954" spans="1:8" x14ac:dyDescent="0.2">
      <c r="A954" s="2" t="s">
        <v>17</v>
      </c>
      <c r="B954" s="2">
        <v>8</v>
      </c>
      <c r="C954" s="2">
        <v>11</v>
      </c>
      <c r="D954" s="2">
        <v>2020</v>
      </c>
      <c r="E954" s="2">
        <v>0</v>
      </c>
      <c r="F954" s="2">
        <v>171.3</v>
      </c>
      <c r="H954" s="1">
        <f>_xlfn.XLOOKUP('Data Source 1_customer readings'!A954,'Data Source 1_customer readings'!A954:A3352,'Data Source 1_customer readings'!J954:J3352)</f>
        <v>0</v>
      </c>
    </row>
    <row r="955" spans="1:8" x14ac:dyDescent="0.2">
      <c r="A955" s="2" t="s">
        <v>32</v>
      </c>
      <c r="B955" s="2">
        <v>17</v>
      </c>
      <c r="C955" s="2">
        <v>6</v>
      </c>
      <c r="D955" s="2">
        <v>2020</v>
      </c>
      <c r="E955" s="2">
        <v>0</v>
      </c>
      <c r="F955" s="2">
        <v>171</v>
      </c>
      <c r="H955" s="1">
        <f>_xlfn.XLOOKUP('Data Source 1_customer readings'!A955,'Data Source 1_customer readings'!A955:A3353,'Data Source 1_customer readings'!J955:J3353)</f>
        <v>0</v>
      </c>
    </row>
    <row r="956" spans="1:8" x14ac:dyDescent="0.2">
      <c r="A956" s="2" t="s">
        <v>13</v>
      </c>
      <c r="B956" s="2">
        <v>7</v>
      </c>
      <c r="C956" s="2">
        <v>11</v>
      </c>
      <c r="D956" s="2">
        <v>2020</v>
      </c>
      <c r="E956" s="2">
        <v>0</v>
      </c>
      <c r="F956" s="2">
        <v>171</v>
      </c>
      <c r="H956" s="1">
        <f>_xlfn.XLOOKUP('Data Source 1_customer readings'!A956,'Data Source 1_customer readings'!A956:A3354,'Data Source 1_customer readings'!J956:J3354)</f>
        <v>0</v>
      </c>
    </row>
    <row r="957" spans="1:8" x14ac:dyDescent="0.2">
      <c r="A957" s="2" t="s">
        <v>4</v>
      </c>
      <c r="B957" s="2">
        <v>1</v>
      </c>
      <c r="C957" s="2">
        <v>2</v>
      </c>
      <c r="D957" s="2">
        <v>2020</v>
      </c>
      <c r="E957" s="2">
        <v>0</v>
      </c>
      <c r="F957" s="2">
        <v>170.8</v>
      </c>
      <c r="H957" s="1">
        <f>_xlfn.XLOOKUP('Data Source 1_customer readings'!A957,'Data Source 1_customer readings'!A957:A3355,'Data Source 1_customer readings'!J957:J3355)</f>
        <v>0</v>
      </c>
    </row>
    <row r="958" spans="1:8" x14ac:dyDescent="0.2">
      <c r="A958" s="2" t="s">
        <v>18</v>
      </c>
      <c r="B958" s="2">
        <v>5</v>
      </c>
      <c r="C958" s="2">
        <v>2</v>
      </c>
      <c r="D958" s="2">
        <v>2020</v>
      </c>
      <c r="E958" s="2">
        <v>0</v>
      </c>
      <c r="F958" s="2">
        <v>170.24</v>
      </c>
      <c r="H958" s="1">
        <f>_xlfn.XLOOKUP('Data Source 1_customer readings'!A958,'Data Source 1_customer readings'!A958:A3356,'Data Source 1_customer readings'!J958:J3356)</f>
        <v>0</v>
      </c>
    </row>
    <row r="959" spans="1:8" x14ac:dyDescent="0.2">
      <c r="A959" s="2" t="s">
        <v>10</v>
      </c>
      <c r="B959" s="2">
        <v>18</v>
      </c>
      <c r="C959" s="2">
        <v>1</v>
      </c>
      <c r="D959" s="2">
        <v>2020</v>
      </c>
      <c r="E959" s="2">
        <v>0</v>
      </c>
      <c r="F959" s="2">
        <v>170.19</v>
      </c>
      <c r="H959" s="1">
        <f>_xlfn.XLOOKUP('Data Source 1_customer readings'!A959,'Data Source 1_customer readings'!A959:A3357,'Data Source 1_customer readings'!J959:J3357)</f>
        <v>0</v>
      </c>
    </row>
    <row r="960" spans="1:8" x14ac:dyDescent="0.2">
      <c r="A960" s="2" t="s">
        <v>23</v>
      </c>
      <c r="B960" s="2">
        <v>5</v>
      </c>
      <c r="C960" s="2">
        <v>3</v>
      </c>
      <c r="D960" s="2">
        <v>2020</v>
      </c>
      <c r="E960" s="2">
        <v>0</v>
      </c>
      <c r="F960" s="2">
        <v>170.19</v>
      </c>
      <c r="H960" s="1">
        <f>_xlfn.XLOOKUP('Data Source 1_customer readings'!A960,'Data Source 1_customer readings'!A960:A3358,'Data Source 1_customer readings'!J960:J3358)</f>
        <v>0</v>
      </c>
    </row>
    <row r="961" spans="1:8" x14ac:dyDescent="0.2">
      <c r="A961" s="2" t="s">
        <v>18</v>
      </c>
      <c r="B961" s="2">
        <v>5</v>
      </c>
      <c r="C961" s="2">
        <v>12</v>
      </c>
      <c r="D961" s="2">
        <v>2020</v>
      </c>
      <c r="E961" s="2">
        <v>0</v>
      </c>
      <c r="F961" s="2">
        <v>169.57</v>
      </c>
      <c r="H961" s="1">
        <f>_xlfn.XLOOKUP('Data Source 1_customer readings'!A961,'Data Source 1_customer readings'!A961:A3359,'Data Source 1_customer readings'!J961:J3359)</f>
        <v>0</v>
      </c>
    </row>
    <row r="962" spans="1:8" x14ac:dyDescent="0.2">
      <c r="A962" s="2" t="s">
        <v>12</v>
      </c>
      <c r="B962" s="2">
        <v>2</v>
      </c>
      <c r="C962" s="2">
        <v>1</v>
      </c>
      <c r="D962" s="2">
        <v>2020</v>
      </c>
      <c r="E962" s="2">
        <v>0</v>
      </c>
      <c r="F962" s="2">
        <v>168.33</v>
      </c>
      <c r="H962" s="1">
        <f>_xlfn.XLOOKUP('Data Source 1_customer readings'!A962,'Data Source 1_customer readings'!A962:A3360,'Data Source 1_customer readings'!J962:J3360)</f>
        <v>0</v>
      </c>
    </row>
    <row r="963" spans="1:8" x14ac:dyDescent="0.2">
      <c r="A963" s="2" t="s">
        <v>8</v>
      </c>
      <c r="B963" s="2">
        <v>5</v>
      </c>
      <c r="C963" s="2">
        <v>12</v>
      </c>
      <c r="D963" s="2">
        <v>2020</v>
      </c>
      <c r="E963" s="2">
        <v>0</v>
      </c>
      <c r="F963" s="2">
        <v>168.02</v>
      </c>
      <c r="H963" s="1">
        <f>_xlfn.XLOOKUP('Data Source 1_customer readings'!A963,'Data Source 1_customer readings'!A963:A3361,'Data Source 1_customer readings'!J963:J3361)</f>
        <v>0</v>
      </c>
    </row>
    <row r="964" spans="1:8" x14ac:dyDescent="0.2">
      <c r="A964" s="2" t="s">
        <v>3</v>
      </c>
      <c r="B964" s="2">
        <v>25</v>
      </c>
      <c r="C964" s="2">
        <v>12</v>
      </c>
      <c r="D964" s="2">
        <v>2020</v>
      </c>
      <c r="E964" s="2">
        <v>0</v>
      </c>
      <c r="F964" s="2">
        <v>168.02</v>
      </c>
      <c r="H964" s="1">
        <f>_xlfn.XLOOKUP('Data Source 1_customer readings'!A964,'Data Source 1_customer readings'!A964:A3362,'Data Source 1_customer readings'!J964:J3362)</f>
        <v>0</v>
      </c>
    </row>
    <row r="965" spans="1:8" x14ac:dyDescent="0.2">
      <c r="A965" s="2" t="s">
        <v>12</v>
      </c>
      <c r="B965" s="2">
        <v>2</v>
      </c>
      <c r="C965" s="2">
        <v>12</v>
      </c>
      <c r="D965" s="2">
        <v>2020</v>
      </c>
      <c r="E965" s="2">
        <v>0</v>
      </c>
      <c r="F965" s="2">
        <v>167.71</v>
      </c>
      <c r="H965" s="1">
        <f>_xlfn.XLOOKUP('Data Source 1_customer readings'!A965,'Data Source 1_customer readings'!A965:A3363,'Data Source 1_customer readings'!J965:J3363)</f>
        <v>0</v>
      </c>
    </row>
    <row r="966" spans="1:8" x14ac:dyDescent="0.2">
      <c r="A966" s="2" t="s">
        <v>22</v>
      </c>
      <c r="B966" s="2">
        <v>22</v>
      </c>
      <c r="C966" s="2">
        <v>4</v>
      </c>
      <c r="D966" s="2">
        <v>2020</v>
      </c>
      <c r="E966" s="2">
        <v>0</v>
      </c>
      <c r="F966" s="2">
        <v>167.1</v>
      </c>
      <c r="H966" s="1">
        <f>_xlfn.XLOOKUP('Data Source 1_customer readings'!A966,'Data Source 1_customer readings'!A966:A3364,'Data Source 1_customer readings'!J966:J3364)</f>
        <v>0</v>
      </c>
    </row>
    <row r="967" spans="1:8" x14ac:dyDescent="0.2">
      <c r="A967" s="2" t="s">
        <v>30</v>
      </c>
      <c r="B967" s="2">
        <v>2</v>
      </c>
      <c r="C967" s="2">
        <v>3</v>
      </c>
      <c r="D967" s="2">
        <v>2020</v>
      </c>
      <c r="E967" s="2">
        <v>0</v>
      </c>
      <c r="F967" s="2">
        <v>167.09</v>
      </c>
      <c r="H967" s="1">
        <f>_xlfn.XLOOKUP('Data Source 1_customer readings'!A967,'Data Source 1_customer readings'!A967:A3365,'Data Source 1_customer readings'!J967:J3365)</f>
        <v>0</v>
      </c>
    </row>
    <row r="968" spans="1:8" x14ac:dyDescent="0.2">
      <c r="A968" s="2" t="s">
        <v>11</v>
      </c>
      <c r="B968" s="2">
        <v>15</v>
      </c>
      <c r="C968" s="2">
        <v>2</v>
      </c>
      <c r="D968" s="2">
        <v>2020</v>
      </c>
      <c r="E968" s="2">
        <v>0</v>
      </c>
      <c r="F968" s="2">
        <v>166.32</v>
      </c>
      <c r="H968" s="1">
        <f>_xlfn.XLOOKUP('Data Source 1_customer readings'!A968,'Data Source 1_customer readings'!A968:A3366,'Data Source 1_customer readings'!J968:J3366)</f>
        <v>0</v>
      </c>
    </row>
    <row r="969" spans="1:8" x14ac:dyDescent="0.2">
      <c r="A969" s="2" t="s">
        <v>23</v>
      </c>
      <c r="B969" s="2">
        <v>5</v>
      </c>
      <c r="C969" s="2">
        <v>4</v>
      </c>
      <c r="D969" s="2">
        <v>2020</v>
      </c>
      <c r="E969" s="2">
        <v>0</v>
      </c>
      <c r="F969" s="2">
        <v>166.2</v>
      </c>
      <c r="H969" s="1">
        <f>_xlfn.XLOOKUP('Data Source 1_customer readings'!A969,'Data Source 1_customer readings'!A969:A3367,'Data Source 1_customer readings'!J969:J3367)</f>
        <v>0</v>
      </c>
    </row>
    <row r="970" spans="1:8" x14ac:dyDescent="0.2">
      <c r="A970" s="2" t="s">
        <v>7</v>
      </c>
      <c r="B970" s="2">
        <v>20</v>
      </c>
      <c r="C970" s="2">
        <v>2</v>
      </c>
      <c r="D970" s="2">
        <v>2020</v>
      </c>
      <c r="E970" s="2">
        <v>0</v>
      </c>
      <c r="F970" s="2">
        <v>166.04</v>
      </c>
      <c r="H970" s="1">
        <f>_xlfn.XLOOKUP('Data Source 1_customer readings'!A970,'Data Source 1_customer readings'!A970:A3368,'Data Source 1_customer readings'!J970:J3368)</f>
        <v>0</v>
      </c>
    </row>
    <row r="971" spans="1:8" x14ac:dyDescent="0.2">
      <c r="A971" s="2" t="s">
        <v>27</v>
      </c>
      <c r="B971" s="2">
        <v>1</v>
      </c>
      <c r="C971" s="2">
        <v>3</v>
      </c>
      <c r="D971" s="2">
        <v>2020</v>
      </c>
      <c r="E971" s="2">
        <v>0</v>
      </c>
      <c r="F971" s="2">
        <v>165.85</v>
      </c>
      <c r="H971" s="1">
        <f>_xlfn.XLOOKUP('Data Source 1_customer readings'!A971,'Data Source 1_customer readings'!A971:A3369,'Data Source 1_customer readings'!J971:J3369)</f>
        <v>0</v>
      </c>
    </row>
    <row r="972" spans="1:8" x14ac:dyDescent="0.2">
      <c r="A972" s="2" t="s">
        <v>11</v>
      </c>
      <c r="B972" s="2">
        <v>15</v>
      </c>
      <c r="C972" s="2">
        <v>3</v>
      </c>
      <c r="D972" s="2">
        <v>2020</v>
      </c>
      <c r="E972" s="2">
        <v>0</v>
      </c>
      <c r="F972" s="2">
        <v>164.61</v>
      </c>
      <c r="H972" s="1">
        <f>_xlfn.XLOOKUP('Data Source 1_customer readings'!A972,'Data Source 1_customer readings'!A972:A3370,'Data Source 1_customer readings'!J972:J3370)</f>
        <v>0</v>
      </c>
    </row>
    <row r="973" spans="1:8" x14ac:dyDescent="0.2">
      <c r="A973" s="2" t="s">
        <v>29</v>
      </c>
      <c r="B973" s="2">
        <v>20</v>
      </c>
      <c r="C973" s="2">
        <v>10</v>
      </c>
      <c r="D973" s="2">
        <v>2020</v>
      </c>
      <c r="E973" s="2">
        <v>0</v>
      </c>
      <c r="F973" s="2">
        <v>164.61</v>
      </c>
      <c r="H973" s="1">
        <f>_xlfn.XLOOKUP('Data Source 1_customer readings'!A973,'Data Source 1_customer readings'!A973:A3371,'Data Source 1_customer readings'!J973:J3371)</f>
        <v>0</v>
      </c>
    </row>
    <row r="974" spans="1:8" x14ac:dyDescent="0.2">
      <c r="A974" s="2" t="s">
        <v>15</v>
      </c>
      <c r="B974" s="2">
        <v>5</v>
      </c>
      <c r="C974" s="2">
        <v>4</v>
      </c>
      <c r="D974" s="2">
        <v>2020</v>
      </c>
      <c r="E974" s="2">
        <v>0</v>
      </c>
      <c r="F974" s="2">
        <v>164.1</v>
      </c>
      <c r="H974" s="1">
        <f>_xlfn.XLOOKUP('Data Source 1_customer readings'!A974,'Data Source 1_customer readings'!A974:A3372,'Data Source 1_customer readings'!J974:J3372)</f>
        <v>0</v>
      </c>
    </row>
    <row r="975" spans="1:8" x14ac:dyDescent="0.2">
      <c r="A975" s="2" t="s">
        <v>24</v>
      </c>
      <c r="B975" s="2">
        <v>22</v>
      </c>
      <c r="C975" s="2">
        <v>4</v>
      </c>
      <c r="D975" s="2">
        <v>2020</v>
      </c>
      <c r="E975" s="2">
        <v>0</v>
      </c>
      <c r="F975" s="2">
        <v>162.9</v>
      </c>
      <c r="H975" s="1">
        <f>_xlfn.XLOOKUP('Data Source 1_customer readings'!A975,'Data Source 1_customer readings'!A975:A3373,'Data Source 1_customer readings'!J975:J3373)</f>
        <v>0</v>
      </c>
    </row>
    <row r="976" spans="1:8" x14ac:dyDescent="0.2">
      <c r="A976" s="2" t="s">
        <v>2</v>
      </c>
      <c r="B976" s="2">
        <v>18</v>
      </c>
      <c r="C976" s="2">
        <v>11</v>
      </c>
      <c r="D976" s="2">
        <v>2020</v>
      </c>
      <c r="E976" s="2">
        <v>0</v>
      </c>
      <c r="F976" s="2">
        <v>162.9</v>
      </c>
      <c r="H976" s="1">
        <f>_xlfn.XLOOKUP('Data Source 1_customer readings'!A976,'Data Source 1_customer readings'!A976:A3374,'Data Source 1_customer readings'!J976:J3374)</f>
        <v>0</v>
      </c>
    </row>
    <row r="977" spans="1:8" x14ac:dyDescent="0.2">
      <c r="A977" s="2" t="s">
        <v>30</v>
      </c>
      <c r="B977" s="2">
        <v>2</v>
      </c>
      <c r="C977" s="2">
        <v>5</v>
      </c>
      <c r="D977" s="2">
        <v>2020</v>
      </c>
      <c r="E977" s="2">
        <v>0</v>
      </c>
      <c r="F977" s="2">
        <v>162.75</v>
      </c>
      <c r="H977" s="1">
        <f>_xlfn.XLOOKUP('Data Source 1_customer readings'!A977,'Data Source 1_customer readings'!A977:A3375,'Data Source 1_customer readings'!J977:J3375)</f>
        <v>0</v>
      </c>
    </row>
    <row r="978" spans="1:8" x14ac:dyDescent="0.2">
      <c r="A978" s="2" t="s">
        <v>11</v>
      </c>
      <c r="B978" s="2">
        <v>15</v>
      </c>
      <c r="C978" s="2">
        <v>10</v>
      </c>
      <c r="D978" s="2">
        <v>2020</v>
      </c>
      <c r="E978" s="2">
        <v>0</v>
      </c>
      <c r="F978" s="2">
        <v>162.75</v>
      </c>
      <c r="H978" s="1">
        <f>_xlfn.XLOOKUP('Data Source 1_customer readings'!A978,'Data Source 1_customer readings'!A978:A3376,'Data Source 1_customer readings'!J978:J3376)</f>
        <v>0</v>
      </c>
    </row>
    <row r="979" spans="1:8" x14ac:dyDescent="0.2">
      <c r="A979" s="2" t="s">
        <v>8</v>
      </c>
      <c r="B979" s="2">
        <v>5</v>
      </c>
      <c r="C979" s="2">
        <v>11</v>
      </c>
      <c r="D979" s="2">
        <v>2020</v>
      </c>
      <c r="E979" s="2">
        <v>0</v>
      </c>
      <c r="F979" s="2">
        <v>162.6</v>
      </c>
      <c r="H979" s="1">
        <f>_xlfn.XLOOKUP('Data Source 1_customer readings'!A979,'Data Source 1_customer readings'!A979:A3377,'Data Source 1_customer readings'!J979:J3377)</f>
        <v>0</v>
      </c>
    </row>
    <row r="980" spans="1:8" x14ac:dyDescent="0.2">
      <c r="A980" s="2" t="s">
        <v>1</v>
      </c>
      <c r="B980" s="2">
        <v>21</v>
      </c>
      <c r="C980" s="2">
        <v>11</v>
      </c>
      <c r="D980" s="2">
        <v>2020</v>
      </c>
      <c r="E980" s="2">
        <v>0</v>
      </c>
      <c r="F980" s="2">
        <v>162</v>
      </c>
      <c r="H980" s="1">
        <f>_xlfn.XLOOKUP('Data Source 1_customer readings'!A980,'Data Source 1_customer readings'!A980:A3378,'Data Source 1_customer readings'!J980:J3378)</f>
        <v>0</v>
      </c>
    </row>
    <row r="981" spans="1:8" x14ac:dyDescent="0.2">
      <c r="A981" s="2" t="s">
        <v>1</v>
      </c>
      <c r="B981" s="2">
        <v>21</v>
      </c>
      <c r="C981" s="2">
        <v>1</v>
      </c>
      <c r="D981" s="2">
        <v>2020</v>
      </c>
      <c r="E981" s="2">
        <v>0</v>
      </c>
      <c r="F981" s="2">
        <v>161.82</v>
      </c>
      <c r="H981" s="1">
        <f>_xlfn.XLOOKUP('Data Source 1_customer readings'!A981,'Data Source 1_customer readings'!A981:A3379,'Data Source 1_customer readings'!J981:J3379)</f>
        <v>0</v>
      </c>
    </row>
    <row r="982" spans="1:8" x14ac:dyDescent="0.2">
      <c r="A982" s="2" t="s">
        <v>24</v>
      </c>
      <c r="B982" s="2">
        <v>22</v>
      </c>
      <c r="C982" s="2">
        <v>3</v>
      </c>
      <c r="D982" s="2">
        <v>2020</v>
      </c>
      <c r="E982" s="2">
        <v>0</v>
      </c>
      <c r="F982" s="2">
        <v>161.82</v>
      </c>
      <c r="H982" s="1">
        <f>_xlfn.XLOOKUP('Data Source 1_customer readings'!A982,'Data Source 1_customer readings'!A982:A3380,'Data Source 1_customer readings'!J982:J3380)</f>
        <v>0</v>
      </c>
    </row>
    <row r="983" spans="1:8" x14ac:dyDescent="0.2">
      <c r="A983" s="2" t="s">
        <v>17</v>
      </c>
      <c r="B983" s="2">
        <v>8</v>
      </c>
      <c r="C983" s="2">
        <v>12</v>
      </c>
      <c r="D983" s="2">
        <v>2020</v>
      </c>
      <c r="E983" s="2">
        <v>0</v>
      </c>
      <c r="F983" s="2">
        <v>161.51</v>
      </c>
      <c r="H983" s="1">
        <f>_xlfn.XLOOKUP('Data Source 1_customer readings'!A983,'Data Source 1_customer readings'!A983:A3381,'Data Source 1_customer readings'!J983:J3381)</f>
        <v>0</v>
      </c>
    </row>
    <row r="984" spans="1:8" x14ac:dyDescent="0.2">
      <c r="A984" s="2" t="s">
        <v>32</v>
      </c>
      <c r="B984" s="2">
        <v>17</v>
      </c>
      <c r="C984" s="2">
        <v>5</v>
      </c>
      <c r="D984" s="2">
        <v>2020</v>
      </c>
      <c r="E984" s="2">
        <v>0</v>
      </c>
      <c r="F984" s="2">
        <v>161.19999999999999</v>
      </c>
      <c r="H984" s="1">
        <f>_xlfn.XLOOKUP('Data Source 1_customer readings'!A984,'Data Source 1_customer readings'!A984:A3382,'Data Source 1_customer readings'!J984:J3382)</f>
        <v>0</v>
      </c>
    </row>
    <row r="985" spans="1:8" x14ac:dyDescent="0.2">
      <c r="A985" s="2" t="s">
        <v>17</v>
      </c>
      <c r="B985" s="2">
        <v>8</v>
      </c>
      <c r="C985" s="2">
        <v>2</v>
      </c>
      <c r="D985" s="2">
        <v>2020</v>
      </c>
      <c r="E985" s="2">
        <v>0</v>
      </c>
      <c r="F985" s="2">
        <v>160.44</v>
      </c>
      <c r="H985" s="1">
        <f>_xlfn.XLOOKUP('Data Source 1_customer readings'!A985,'Data Source 1_customer readings'!A985:A3383,'Data Source 1_customer readings'!J985:J3383)</f>
        <v>0</v>
      </c>
    </row>
    <row r="986" spans="1:8" x14ac:dyDescent="0.2">
      <c r="A986" s="2" t="s">
        <v>28</v>
      </c>
      <c r="B986" s="2">
        <v>5</v>
      </c>
      <c r="C986" s="2">
        <v>10</v>
      </c>
      <c r="D986" s="2">
        <v>2020</v>
      </c>
      <c r="E986" s="2">
        <v>0</v>
      </c>
      <c r="F986" s="2">
        <v>159.96</v>
      </c>
      <c r="H986" s="1">
        <f>_xlfn.XLOOKUP('Data Source 1_customer readings'!A986,'Data Source 1_customer readings'!A986:A3384,'Data Source 1_customer readings'!J986:J3384)</f>
        <v>0</v>
      </c>
    </row>
    <row r="987" spans="1:8" x14ac:dyDescent="0.2">
      <c r="A987" s="2" t="s">
        <v>31</v>
      </c>
      <c r="B987" s="2">
        <v>14</v>
      </c>
      <c r="C987" s="2">
        <v>5</v>
      </c>
      <c r="D987" s="2">
        <v>2020</v>
      </c>
      <c r="E987" s="2">
        <v>0</v>
      </c>
      <c r="F987" s="2">
        <v>159.65</v>
      </c>
      <c r="H987" s="1">
        <f>_xlfn.XLOOKUP('Data Source 1_customer readings'!A987,'Data Source 1_customer readings'!A987:A3385,'Data Source 1_customer readings'!J987:J3385)</f>
        <v>0</v>
      </c>
    </row>
    <row r="988" spans="1:8" x14ac:dyDescent="0.2">
      <c r="A988" s="2" t="s">
        <v>7</v>
      </c>
      <c r="B988" s="2">
        <v>20</v>
      </c>
      <c r="C988" s="2">
        <v>10</v>
      </c>
      <c r="D988" s="2">
        <v>2020</v>
      </c>
      <c r="E988" s="2">
        <v>0</v>
      </c>
      <c r="F988" s="2">
        <v>159.65</v>
      </c>
      <c r="H988" s="1">
        <f>_xlfn.XLOOKUP('Data Source 1_customer readings'!A988,'Data Source 1_customer readings'!A988:A3386,'Data Source 1_customer readings'!J988:J3386)</f>
        <v>0</v>
      </c>
    </row>
    <row r="989" spans="1:8" x14ac:dyDescent="0.2">
      <c r="A989" s="2" t="s">
        <v>13</v>
      </c>
      <c r="B989" s="2">
        <v>7</v>
      </c>
      <c r="C989" s="2">
        <v>4</v>
      </c>
      <c r="D989" s="2">
        <v>2020</v>
      </c>
      <c r="E989" s="2">
        <v>0</v>
      </c>
      <c r="F989" s="2">
        <v>158.69999999999999</v>
      </c>
      <c r="H989" s="1">
        <f>_xlfn.XLOOKUP('Data Source 1_customer readings'!A989,'Data Source 1_customer readings'!A989:A3387,'Data Source 1_customer readings'!J989:J3387)</f>
        <v>0</v>
      </c>
    </row>
    <row r="990" spans="1:8" x14ac:dyDescent="0.2">
      <c r="A990" s="2" t="s">
        <v>26</v>
      </c>
      <c r="B990" s="2">
        <v>22</v>
      </c>
      <c r="C990" s="2">
        <v>4</v>
      </c>
      <c r="D990" s="2">
        <v>2020</v>
      </c>
      <c r="E990" s="2">
        <v>0</v>
      </c>
      <c r="F990" s="2">
        <v>158.69999999999999</v>
      </c>
      <c r="H990" s="1">
        <f>_xlfn.XLOOKUP('Data Source 1_customer readings'!A990,'Data Source 1_customer readings'!A990:A3388,'Data Source 1_customer readings'!J990:J3388)</f>
        <v>0</v>
      </c>
    </row>
    <row r="991" spans="1:8" x14ac:dyDescent="0.2">
      <c r="A991" s="2" t="s">
        <v>28</v>
      </c>
      <c r="B991" s="2">
        <v>5</v>
      </c>
      <c r="C991" s="2">
        <v>5</v>
      </c>
      <c r="D991" s="2">
        <v>2020</v>
      </c>
      <c r="E991" s="2">
        <v>0</v>
      </c>
      <c r="F991" s="2">
        <v>157.16999999999999</v>
      </c>
      <c r="H991" s="1">
        <f>_xlfn.XLOOKUP('Data Source 1_customer readings'!A991,'Data Source 1_customer readings'!A991:A3389,'Data Source 1_customer readings'!J991:J3389)</f>
        <v>0</v>
      </c>
    </row>
    <row r="992" spans="1:8" x14ac:dyDescent="0.2">
      <c r="A992" s="2" t="s">
        <v>32</v>
      </c>
      <c r="B992" s="2">
        <v>17</v>
      </c>
      <c r="C992" s="2">
        <v>9</v>
      </c>
      <c r="D992" s="2">
        <v>2020</v>
      </c>
      <c r="E992" s="2">
        <v>0</v>
      </c>
      <c r="F992" s="2">
        <v>156.6</v>
      </c>
      <c r="H992" s="1">
        <f>_xlfn.XLOOKUP('Data Source 1_customer readings'!A992,'Data Source 1_customer readings'!A992:A3390,'Data Source 1_customer readings'!J992:J3390)</f>
        <v>0</v>
      </c>
    </row>
    <row r="993" spans="1:8" x14ac:dyDescent="0.2">
      <c r="A993" s="2" t="s">
        <v>16</v>
      </c>
      <c r="B993" s="2">
        <v>14</v>
      </c>
      <c r="C993" s="2">
        <v>3</v>
      </c>
      <c r="D993" s="2">
        <v>2020</v>
      </c>
      <c r="E993" s="2">
        <v>0</v>
      </c>
      <c r="F993" s="2">
        <v>156.55000000000001</v>
      </c>
      <c r="H993" s="1">
        <f>_xlfn.XLOOKUP('Data Source 1_customer readings'!A993,'Data Source 1_customer readings'!A993:A3391,'Data Source 1_customer readings'!J993:J3391)</f>
        <v>0</v>
      </c>
    </row>
    <row r="994" spans="1:8" x14ac:dyDescent="0.2">
      <c r="A994" s="2" t="s">
        <v>18</v>
      </c>
      <c r="B994" s="2">
        <v>5</v>
      </c>
      <c r="C994" s="2">
        <v>3</v>
      </c>
      <c r="D994" s="2">
        <v>2020</v>
      </c>
      <c r="E994" s="2">
        <v>0</v>
      </c>
      <c r="F994" s="2">
        <v>156.24</v>
      </c>
      <c r="H994" s="1">
        <f>_xlfn.XLOOKUP('Data Source 1_customer readings'!A994,'Data Source 1_customer readings'!A994:A3392,'Data Source 1_customer readings'!J994:J3392)</f>
        <v>0</v>
      </c>
    </row>
    <row r="995" spans="1:8" x14ac:dyDescent="0.2">
      <c r="A995" s="2" t="s">
        <v>20</v>
      </c>
      <c r="B995" s="2">
        <v>12</v>
      </c>
      <c r="C995" s="2">
        <v>3</v>
      </c>
      <c r="D995" s="2">
        <v>2020</v>
      </c>
      <c r="E995" s="2">
        <v>0</v>
      </c>
      <c r="F995" s="2">
        <v>156.24</v>
      </c>
      <c r="H995" s="1">
        <f>_xlfn.XLOOKUP('Data Source 1_customer readings'!A995,'Data Source 1_customer readings'!A995:A3393,'Data Source 1_customer readings'!J995:J3393)</f>
        <v>0</v>
      </c>
    </row>
    <row r="996" spans="1:8" x14ac:dyDescent="0.2">
      <c r="A996" s="2" t="s">
        <v>2</v>
      </c>
      <c r="B996" s="2">
        <v>18</v>
      </c>
      <c r="C996" s="2">
        <v>2</v>
      </c>
      <c r="D996" s="2">
        <v>2020</v>
      </c>
      <c r="E996" s="2">
        <v>0</v>
      </c>
      <c r="F996" s="2">
        <v>155.4</v>
      </c>
      <c r="H996" s="1">
        <f>_xlfn.XLOOKUP('Data Source 1_customer readings'!A996,'Data Source 1_customer readings'!A996:A3394,'Data Source 1_customer readings'!J996:J3394)</f>
        <v>0</v>
      </c>
    </row>
    <row r="997" spans="1:8" x14ac:dyDescent="0.2">
      <c r="A997" s="2" t="s">
        <v>5</v>
      </c>
      <c r="B997" s="2">
        <v>7</v>
      </c>
      <c r="C997" s="2">
        <v>1</v>
      </c>
      <c r="D997" s="2">
        <v>2020</v>
      </c>
      <c r="E997" s="2">
        <v>0</v>
      </c>
      <c r="F997" s="2">
        <v>155.31</v>
      </c>
      <c r="H997" s="1">
        <f>_xlfn.XLOOKUP('Data Source 1_customer readings'!A997,'Data Source 1_customer readings'!A997:A3395,'Data Source 1_customer readings'!J997:J3395)</f>
        <v>0</v>
      </c>
    </row>
    <row r="998" spans="1:8" x14ac:dyDescent="0.2">
      <c r="A998" s="2" t="s">
        <v>29</v>
      </c>
      <c r="B998" s="2">
        <v>20</v>
      </c>
      <c r="C998" s="2">
        <v>3</v>
      </c>
      <c r="D998" s="2">
        <v>2020</v>
      </c>
      <c r="E998" s="2">
        <v>0</v>
      </c>
      <c r="F998" s="2">
        <v>155.31</v>
      </c>
      <c r="H998" s="1">
        <f>_xlfn.XLOOKUP('Data Source 1_customer readings'!A998,'Data Source 1_customer readings'!A998:A3396,'Data Source 1_customer readings'!J998:J3396)</f>
        <v>0</v>
      </c>
    </row>
    <row r="999" spans="1:8" x14ac:dyDescent="0.2">
      <c r="A999" s="2" t="s">
        <v>1</v>
      </c>
      <c r="B999" s="2">
        <v>21</v>
      </c>
      <c r="C999" s="2">
        <v>2</v>
      </c>
      <c r="D999" s="2">
        <v>2020</v>
      </c>
      <c r="E999" s="2">
        <v>0</v>
      </c>
      <c r="F999" s="2">
        <v>155.12</v>
      </c>
      <c r="H999" s="1" t="b">
        <f>_xlfn.XLOOKUP('Data Source 1_customer readings'!A999,'Data Source 1_customer readings'!A999:A3397,'Data Source 1_customer readings'!J999:J3397)</f>
        <v>0</v>
      </c>
    </row>
    <row r="1000" spans="1:8" x14ac:dyDescent="0.2">
      <c r="A1000" s="2" t="s">
        <v>32</v>
      </c>
      <c r="B1000" s="2">
        <v>17</v>
      </c>
      <c r="C1000" s="2">
        <v>7</v>
      </c>
      <c r="D1000" s="2">
        <v>2020</v>
      </c>
      <c r="E1000" s="2">
        <v>0</v>
      </c>
      <c r="F1000" s="2">
        <v>155</v>
      </c>
      <c r="H1000" s="1">
        <f>_xlfn.XLOOKUP('Data Source 1_customer readings'!A1000,'Data Source 1_customer readings'!A1000:A3398,'Data Source 1_customer readings'!J1000:J3398)</f>
        <v>0</v>
      </c>
    </row>
    <row r="1001" spans="1:8" x14ac:dyDescent="0.2">
      <c r="A1001" s="2" t="s">
        <v>32</v>
      </c>
      <c r="B1001" s="2">
        <v>17</v>
      </c>
      <c r="C1001" s="2">
        <v>8</v>
      </c>
      <c r="D1001" s="2">
        <v>2020</v>
      </c>
      <c r="E1001" s="2">
        <v>0</v>
      </c>
      <c r="F1001" s="2">
        <v>155</v>
      </c>
      <c r="H1001" s="1">
        <f>_xlfn.XLOOKUP('Data Source 1_customer readings'!A1001,'Data Source 1_customer readings'!A1001:A3399,'Data Source 1_customer readings'!J1001:J3399)</f>
        <v>0</v>
      </c>
    </row>
    <row r="1002" spans="1:8" x14ac:dyDescent="0.2">
      <c r="A1002" s="2" t="s">
        <v>12</v>
      </c>
      <c r="B1002" s="2">
        <v>2</v>
      </c>
      <c r="C1002" s="2">
        <v>2</v>
      </c>
      <c r="D1002" s="2">
        <v>2020</v>
      </c>
      <c r="E1002" s="2">
        <v>0</v>
      </c>
      <c r="F1002" s="2">
        <v>154.56</v>
      </c>
      <c r="H1002" s="1">
        <f>_xlfn.XLOOKUP('Data Source 1_customer readings'!A1002,'Data Source 1_customer readings'!A1002:A3400,'Data Source 1_customer readings'!J1002:J3400)</f>
        <v>0</v>
      </c>
    </row>
    <row r="1003" spans="1:8" x14ac:dyDescent="0.2">
      <c r="A1003" s="2" t="s">
        <v>9</v>
      </c>
      <c r="B1003" s="2">
        <v>22</v>
      </c>
      <c r="C1003" s="2">
        <v>12</v>
      </c>
      <c r="D1003" s="2">
        <v>2020</v>
      </c>
      <c r="E1003" s="2">
        <v>0</v>
      </c>
      <c r="F1003" s="2">
        <v>154.38</v>
      </c>
      <c r="H1003" s="1">
        <f>_xlfn.XLOOKUP('Data Source 1_customer readings'!A1003,'Data Source 1_customer readings'!A1003:A3401,'Data Source 1_customer readings'!J1003:J3401)</f>
        <v>0</v>
      </c>
    </row>
    <row r="1004" spans="1:8" x14ac:dyDescent="0.2">
      <c r="A1004" s="2" t="s">
        <v>31</v>
      </c>
      <c r="B1004" s="2">
        <v>14</v>
      </c>
      <c r="C1004" s="2">
        <v>6</v>
      </c>
      <c r="D1004" s="2">
        <v>2020</v>
      </c>
      <c r="E1004" s="2">
        <v>0</v>
      </c>
      <c r="F1004" s="2">
        <v>154.19999999999999</v>
      </c>
      <c r="H1004" s="1">
        <f>_xlfn.XLOOKUP('Data Source 1_customer readings'!A1004,'Data Source 1_customer readings'!A1004:A3402,'Data Source 1_customer readings'!J1004:J3402)</f>
        <v>0</v>
      </c>
    </row>
    <row r="1005" spans="1:8" x14ac:dyDescent="0.2">
      <c r="A1005" s="2" t="s">
        <v>31</v>
      </c>
      <c r="B1005" s="2">
        <v>14</v>
      </c>
      <c r="C1005" s="2">
        <v>9</v>
      </c>
      <c r="D1005" s="2">
        <v>2020</v>
      </c>
      <c r="E1005" s="2">
        <v>0</v>
      </c>
      <c r="F1005" s="2">
        <v>154.19999999999999</v>
      </c>
      <c r="H1005" s="1">
        <f>_xlfn.XLOOKUP('Data Source 1_customer readings'!A1005,'Data Source 1_customer readings'!A1005:A3403,'Data Source 1_customer readings'!J1005:J3403)</f>
        <v>0</v>
      </c>
    </row>
    <row r="1006" spans="1:8" x14ac:dyDescent="0.2">
      <c r="A1006" s="2" t="s">
        <v>9</v>
      </c>
      <c r="B1006" s="2">
        <v>22</v>
      </c>
      <c r="C1006" s="2">
        <v>1</v>
      </c>
      <c r="D1006" s="2">
        <v>2020</v>
      </c>
      <c r="E1006" s="2">
        <v>0</v>
      </c>
      <c r="F1006" s="2">
        <v>154.07</v>
      </c>
      <c r="H1006" s="1">
        <f>_xlfn.XLOOKUP('Data Source 1_customer readings'!A1006,'Data Source 1_customer readings'!A1006:A3404,'Data Source 1_customer readings'!J1006:J3404)</f>
        <v>0</v>
      </c>
    </row>
    <row r="1007" spans="1:8" x14ac:dyDescent="0.2">
      <c r="A1007" s="2" t="s">
        <v>14</v>
      </c>
      <c r="B1007" s="2">
        <v>10</v>
      </c>
      <c r="C1007" s="2">
        <v>10</v>
      </c>
      <c r="D1007" s="2">
        <v>2020</v>
      </c>
      <c r="E1007" s="2">
        <v>0</v>
      </c>
      <c r="F1007" s="2">
        <v>154.07</v>
      </c>
      <c r="H1007" s="1">
        <f>_xlfn.XLOOKUP('Data Source 1_customer readings'!A1007,'Data Source 1_customer readings'!A1007:A3405,'Data Source 1_customer readings'!J1007:J3405)</f>
        <v>0</v>
      </c>
    </row>
    <row r="1008" spans="1:8" x14ac:dyDescent="0.2">
      <c r="A1008" s="2" t="s">
        <v>13</v>
      </c>
      <c r="B1008" s="2">
        <v>7</v>
      </c>
      <c r="C1008" s="2">
        <v>10</v>
      </c>
      <c r="D1008" s="2">
        <v>2020</v>
      </c>
      <c r="E1008" s="2">
        <v>0</v>
      </c>
      <c r="F1008" s="2">
        <v>153.76</v>
      </c>
      <c r="H1008" s="1">
        <f>_xlfn.XLOOKUP('Data Source 1_customer readings'!A1008,'Data Source 1_customer readings'!A1008:A3406,'Data Source 1_customer readings'!J1008:J3406)</f>
        <v>0</v>
      </c>
    </row>
    <row r="1009" spans="1:8" x14ac:dyDescent="0.2">
      <c r="A1009" s="2" t="s">
        <v>14</v>
      </c>
      <c r="B1009" s="2">
        <v>10</v>
      </c>
      <c r="C1009" s="2">
        <v>3</v>
      </c>
      <c r="D1009" s="2">
        <v>2020</v>
      </c>
      <c r="E1009" s="2">
        <v>0</v>
      </c>
      <c r="F1009" s="2">
        <v>153.13999999999999</v>
      </c>
      <c r="H1009" s="1">
        <f>_xlfn.XLOOKUP('Data Source 1_customer readings'!A1009,'Data Source 1_customer readings'!A1009:A3407,'Data Source 1_customer readings'!J1009:J3407)</f>
        <v>0</v>
      </c>
    </row>
    <row r="1010" spans="1:8" x14ac:dyDescent="0.2">
      <c r="A1010" s="2" t="s">
        <v>9</v>
      </c>
      <c r="B1010" s="2">
        <v>22</v>
      </c>
      <c r="C1010" s="2">
        <v>11</v>
      </c>
      <c r="D1010" s="2">
        <v>2020</v>
      </c>
      <c r="E1010" s="2">
        <v>0</v>
      </c>
      <c r="F1010" s="2">
        <v>153</v>
      </c>
      <c r="H1010" s="1">
        <f>_xlfn.XLOOKUP('Data Source 1_customer readings'!A1010,'Data Source 1_customer readings'!A1010:A3408,'Data Source 1_customer readings'!J1010:J3408)</f>
        <v>0</v>
      </c>
    </row>
    <row r="1011" spans="1:8" x14ac:dyDescent="0.2">
      <c r="A1011" s="2" t="s">
        <v>14</v>
      </c>
      <c r="B1011" s="2">
        <v>10</v>
      </c>
      <c r="C1011" s="2">
        <v>4</v>
      </c>
      <c r="D1011" s="2">
        <v>2020</v>
      </c>
      <c r="E1011" s="2">
        <v>0</v>
      </c>
      <c r="F1011" s="2">
        <v>152.69999999999999</v>
      </c>
      <c r="H1011" s="1">
        <f>_xlfn.XLOOKUP('Data Source 1_customer readings'!A1011,'Data Source 1_customer readings'!A1011:A3409,'Data Source 1_customer readings'!J1011:J3409)</f>
        <v>0</v>
      </c>
    </row>
    <row r="1012" spans="1:8" x14ac:dyDescent="0.2">
      <c r="A1012" s="2" t="s">
        <v>22</v>
      </c>
      <c r="B1012" s="2">
        <v>22</v>
      </c>
      <c r="C1012" s="2">
        <v>3</v>
      </c>
      <c r="D1012" s="2">
        <v>2020</v>
      </c>
      <c r="E1012" s="2">
        <v>0</v>
      </c>
      <c r="F1012" s="2">
        <v>152.52000000000001</v>
      </c>
      <c r="H1012" s="1">
        <f>_xlfn.XLOOKUP('Data Source 1_customer readings'!A1012,'Data Source 1_customer readings'!A1012:A3410,'Data Source 1_customer readings'!J1012:J3410)</f>
        <v>0</v>
      </c>
    </row>
    <row r="1013" spans="1:8" x14ac:dyDescent="0.2">
      <c r="A1013" s="2" t="s">
        <v>31</v>
      </c>
      <c r="B1013" s="2">
        <v>14</v>
      </c>
      <c r="C1013" s="2">
        <v>8</v>
      </c>
      <c r="D1013" s="2">
        <v>2020</v>
      </c>
      <c r="E1013" s="2">
        <v>0</v>
      </c>
      <c r="F1013" s="2">
        <v>152.52000000000001</v>
      </c>
      <c r="H1013" s="1">
        <f>_xlfn.XLOOKUP('Data Source 1_customer readings'!A1013,'Data Source 1_customer readings'!A1013:A3411,'Data Source 1_customer readings'!J1013:J3411)</f>
        <v>0</v>
      </c>
    </row>
    <row r="1014" spans="1:8" x14ac:dyDescent="0.2">
      <c r="A1014" s="2" t="s">
        <v>17</v>
      </c>
      <c r="B1014" s="2">
        <v>8</v>
      </c>
      <c r="C1014" s="2">
        <v>4</v>
      </c>
      <c r="D1014" s="2">
        <v>2020</v>
      </c>
      <c r="E1014" s="2">
        <v>0</v>
      </c>
      <c r="F1014" s="2">
        <v>152.1</v>
      </c>
      <c r="H1014" s="1">
        <f>_xlfn.XLOOKUP('Data Source 1_customer readings'!A1014,'Data Source 1_customer readings'!A1014:A3412,'Data Source 1_customer readings'!J1014:J3412)</f>
        <v>0</v>
      </c>
    </row>
    <row r="1015" spans="1:8" x14ac:dyDescent="0.2">
      <c r="A1015" s="2" t="s">
        <v>8</v>
      </c>
      <c r="B1015" s="2">
        <v>5</v>
      </c>
      <c r="C1015" s="2">
        <v>3</v>
      </c>
      <c r="D1015" s="2">
        <v>2020</v>
      </c>
      <c r="E1015" s="2">
        <v>0</v>
      </c>
      <c r="F1015" s="2">
        <v>151.9</v>
      </c>
      <c r="H1015" s="1">
        <f>_xlfn.XLOOKUP('Data Source 1_customer readings'!A1015,'Data Source 1_customer readings'!A1015:A3413,'Data Source 1_customer readings'!J1015:J3413)</f>
        <v>0</v>
      </c>
    </row>
    <row r="1016" spans="1:8" x14ac:dyDescent="0.2">
      <c r="A1016" s="2" t="s">
        <v>19</v>
      </c>
      <c r="B1016" s="2">
        <v>24</v>
      </c>
      <c r="C1016" s="2">
        <v>3</v>
      </c>
      <c r="D1016" s="2">
        <v>2020</v>
      </c>
      <c r="E1016" s="2">
        <v>0</v>
      </c>
      <c r="F1016" s="2">
        <v>151.9</v>
      </c>
      <c r="H1016" s="1">
        <f>_xlfn.XLOOKUP('Data Source 1_customer readings'!A1016,'Data Source 1_customer readings'!A1016:A3414,'Data Source 1_customer readings'!J1016:J3414)</f>
        <v>0</v>
      </c>
    </row>
    <row r="1017" spans="1:8" x14ac:dyDescent="0.2">
      <c r="A1017" s="2" t="s">
        <v>26</v>
      </c>
      <c r="B1017" s="2">
        <v>22</v>
      </c>
      <c r="C1017" s="2">
        <v>9</v>
      </c>
      <c r="D1017" s="2">
        <v>2020</v>
      </c>
      <c r="E1017" s="2">
        <v>0</v>
      </c>
      <c r="F1017" s="2">
        <v>151.80000000000001</v>
      </c>
      <c r="H1017" s="1">
        <f>_xlfn.XLOOKUP('Data Source 1_customer readings'!A1017,'Data Source 1_customer readings'!A1017:A3415,'Data Source 1_customer readings'!J1017:J3415)</f>
        <v>0</v>
      </c>
    </row>
    <row r="1018" spans="1:8" x14ac:dyDescent="0.2">
      <c r="A1018" s="2" t="s">
        <v>27</v>
      </c>
      <c r="B1018" s="2">
        <v>1</v>
      </c>
      <c r="C1018" s="2">
        <v>10</v>
      </c>
      <c r="D1018" s="2">
        <v>2020</v>
      </c>
      <c r="E1018" s="2">
        <v>0</v>
      </c>
      <c r="F1018" s="2">
        <v>151.59</v>
      </c>
      <c r="H1018" s="1">
        <f>_xlfn.XLOOKUP('Data Source 1_customer readings'!A1018,'Data Source 1_customer readings'!A1018:A3416,'Data Source 1_customer readings'!J1018:J3416)</f>
        <v>0</v>
      </c>
    </row>
    <row r="1019" spans="1:8" x14ac:dyDescent="0.2">
      <c r="A1019" s="2" t="s">
        <v>21</v>
      </c>
      <c r="B1019" s="2">
        <v>15</v>
      </c>
      <c r="C1019" s="2">
        <v>10</v>
      </c>
      <c r="D1019" s="2">
        <v>2020</v>
      </c>
      <c r="E1019" s="2">
        <v>0</v>
      </c>
      <c r="F1019" s="2">
        <v>151.59</v>
      </c>
      <c r="H1019" s="1">
        <f>_xlfn.XLOOKUP('Data Source 1_customer readings'!A1019,'Data Source 1_customer readings'!A1019:A3417,'Data Source 1_customer readings'!J1019:J3417)</f>
        <v>0</v>
      </c>
    </row>
    <row r="1020" spans="1:8" x14ac:dyDescent="0.2">
      <c r="A1020" s="2" t="s">
        <v>7</v>
      </c>
      <c r="B1020" s="2">
        <v>20</v>
      </c>
      <c r="C1020" s="2">
        <v>4</v>
      </c>
      <c r="D1020" s="2">
        <v>2020</v>
      </c>
      <c r="E1020" s="2">
        <v>0</v>
      </c>
      <c r="F1020" s="2">
        <v>151.19999999999999</v>
      </c>
      <c r="H1020" s="1">
        <f>_xlfn.XLOOKUP('Data Source 1_customer readings'!A1020,'Data Source 1_customer readings'!A1020:A3418,'Data Source 1_customer readings'!J1020:J3418)</f>
        <v>0</v>
      </c>
    </row>
    <row r="1021" spans="1:8" x14ac:dyDescent="0.2">
      <c r="A1021" s="2" t="s">
        <v>21</v>
      </c>
      <c r="B1021" s="2">
        <v>15</v>
      </c>
      <c r="C1021" s="2">
        <v>2</v>
      </c>
      <c r="D1021" s="2">
        <v>2020</v>
      </c>
      <c r="E1021" s="2">
        <v>0</v>
      </c>
      <c r="F1021" s="2">
        <v>150.63999999999999</v>
      </c>
      <c r="H1021" s="1">
        <f>_xlfn.XLOOKUP('Data Source 1_customer readings'!A1021,'Data Source 1_customer readings'!A1021:A3419,'Data Source 1_customer readings'!J1021:J3419)</f>
        <v>0</v>
      </c>
    </row>
    <row r="1022" spans="1:8" x14ac:dyDescent="0.2">
      <c r="A1022" s="2" t="s">
        <v>20</v>
      </c>
      <c r="B1022" s="2">
        <v>12</v>
      </c>
      <c r="C1022" s="2">
        <v>4</v>
      </c>
      <c r="D1022" s="2">
        <v>2020</v>
      </c>
      <c r="E1022" s="2">
        <v>0</v>
      </c>
      <c r="F1022" s="2">
        <v>150.6</v>
      </c>
      <c r="H1022" s="1">
        <f>_xlfn.XLOOKUP('Data Source 1_customer readings'!A1022,'Data Source 1_customer readings'!A1022:A3420,'Data Source 1_customer readings'!J1022:J3420)</f>
        <v>0</v>
      </c>
    </row>
    <row r="1023" spans="1:8" x14ac:dyDescent="0.2">
      <c r="A1023" s="2" t="s">
        <v>2</v>
      </c>
      <c r="B1023" s="2">
        <v>18</v>
      </c>
      <c r="C1023" s="2">
        <v>1</v>
      </c>
      <c r="D1023" s="2">
        <v>2020</v>
      </c>
      <c r="E1023" s="2">
        <v>0</v>
      </c>
      <c r="F1023" s="2">
        <v>150.35</v>
      </c>
      <c r="H1023" s="1">
        <f>_xlfn.XLOOKUP('Data Source 1_customer readings'!A1023,'Data Source 1_customer readings'!A1023:A3421,'Data Source 1_customer readings'!J1023:J3421)</f>
        <v>0</v>
      </c>
    </row>
    <row r="1024" spans="1:8" x14ac:dyDescent="0.2">
      <c r="A1024" s="2" t="s">
        <v>23</v>
      </c>
      <c r="B1024" s="2">
        <v>5</v>
      </c>
      <c r="C1024" s="2">
        <v>10</v>
      </c>
      <c r="D1024" s="2">
        <v>2020</v>
      </c>
      <c r="E1024" s="2">
        <v>0</v>
      </c>
      <c r="F1024" s="2">
        <v>150.35</v>
      </c>
      <c r="H1024" s="1">
        <f>_xlfn.XLOOKUP('Data Source 1_customer readings'!A1024,'Data Source 1_customer readings'!A1024:A3422,'Data Source 1_customer readings'!J1024:J3422)</f>
        <v>0</v>
      </c>
    </row>
    <row r="1025" spans="1:8" x14ac:dyDescent="0.2">
      <c r="A1025" s="2" t="s">
        <v>29</v>
      </c>
      <c r="B1025" s="2">
        <v>20</v>
      </c>
      <c r="C1025" s="2">
        <v>9</v>
      </c>
      <c r="D1025" s="2">
        <v>2020</v>
      </c>
      <c r="E1025" s="2">
        <v>0</v>
      </c>
      <c r="F1025" s="2">
        <v>150</v>
      </c>
      <c r="H1025" s="1">
        <f>_xlfn.XLOOKUP('Data Source 1_customer readings'!A1025,'Data Source 1_customer readings'!A1025:A3423,'Data Source 1_customer readings'!J1025:J3423)</f>
        <v>0</v>
      </c>
    </row>
    <row r="1026" spans="1:8" x14ac:dyDescent="0.2">
      <c r="A1026" s="2" t="s">
        <v>6</v>
      </c>
      <c r="B1026" s="2">
        <v>7</v>
      </c>
      <c r="C1026" s="2">
        <v>11</v>
      </c>
      <c r="D1026" s="2">
        <v>2020</v>
      </c>
      <c r="E1026" s="2">
        <v>0</v>
      </c>
      <c r="F1026" s="2">
        <v>150</v>
      </c>
      <c r="H1026" s="1">
        <f>_xlfn.XLOOKUP('Data Source 1_customer readings'!A1026,'Data Source 1_customer readings'!A1026:A3424,'Data Source 1_customer readings'!J1026:J3424)</f>
        <v>0</v>
      </c>
    </row>
    <row r="1027" spans="1:8" x14ac:dyDescent="0.2">
      <c r="A1027" s="2" t="s">
        <v>30</v>
      </c>
      <c r="B1027" s="2">
        <v>2</v>
      </c>
      <c r="C1027" s="2">
        <v>8</v>
      </c>
      <c r="D1027" s="2">
        <v>2020</v>
      </c>
      <c r="E1027" s="2">
        <v>0</v>
      </c>
      <c r="F1027" s="2">
        <v>149.41999999999999</v>
      </c>
      <c r="H1027" s="1">
        <f>_xlfn.XLOOKUP('Data Source 1_customer readings'!A1027,'Data Source 1_customer readings'!A1027:A3425,'Data Source 1_customer readings'!J1027:J3425)</f>
        <v>0</v>
      </c>
    </row>
    <row r="1028" spans="1:8" x14ac:dyDescent="0.2">
      <c r="A1028" s="2" t="s">
        <v>4</v>
      </c>
      <c r="B1028" s="2">
        <v>1</v>
      </c>
      <c r="C1028" s="2">
        <v>10</v>
      </c>
      <c r="D1028" s="2">
        <v>2020</v>
      </c>
      <c r="E1028" s="2">
        <v>0</v>
      </c>
      <c r="F1028" s="2">
        <v>149.41999999999999</v>
      </c>
      <c r="H1028" s="1">
        <f>_xlfn.XLOOKUP('Data Source 1_customer readings'!A1028,'Data Source 1_customer readings'!A1028:A3426,'Data Source 1_customer readings'!J1028:J3426)</f>
        <v>0</v>
      </c>
    </row>
    <row r="1029" spans="1:8" x14ac:dyDescent="0.2">
      <c r="A1029" s="2" t="s">
        <v>15</v>
      </c>
      <c r="B1029" s="2">
        <v>5</v>
      </c>
      <c r="C1029" s="2">
        <v>2</v>
      </c>
      <c r="D1029" s="2">
        <v>2020</v>
      </c>
      <c r="E1029" s="2">
        <v>0</v>
      </c>
      <c r="F1029" s="2">
        <v>148.96</v>
      </c>
      <c r="H1029" s="1">
        <f>_xlfn.XLOOKUP('Data Source 1_customer readings'!A1029,'Data Source 1_customer readings'!A1029:A3427,'Data Source 1_customer readings'!J1029:J3427)</f>
        <v>0</v>
      </c>
    </row>
    <row r="1030" spans="1:8" x14ac:dyDescent="0.2">
      <c r="A1030" s="2" t="s">
        <v>3</v>
      </c>
      <c r="B1030" s="2">
        <v>25</v>
      </c>
      <c r="C1030" s="2">
        <v>2</v>
      </c>
      <c r="D1030" s="2">
        <v>2020</v>
      </c>
      <c r="E1030" s="2">
        <v>0</v>
      </c>
      <c r="F1030" s="2">
        <v>148.96</v>
      </c>
      <c r="H1030" s="1">
        <f>_xlfn.XLOOKUP('Data Source 1_customer readings'!A1030,'Data Source 1_customer readings'!A1030:A3428,'Data Source 1_customer readings'!J1030:J3428)</f>
        <v>0</v>
      </c>
    </row>
    <row r="1031" spans="1:8" x14ac:dyDescent="0.2">
      <c r="A1031" s="2" t="s">
        <v>28</v>
      </c>
      <c r="B1031" s="2">
        <v>5</v>
      </c>
      <c r="C1031" s="2">
        <v>8</v>
      </c>
      <c r="D1031" s="2">
        <v>2020</v>
      </c>
      <c r="E1031" s="2">
        <v>0</v>
      </c>
      <c r="F1031" s="2">
        <v>148.80000000000001</v>
      </c>
      <c r="H1031" s="1">
        <f>_xlfn.XLOOKUP('Data Source 1_customer readings'!A1031,'Data Source 1_customer readings'!A1031:A3429,'Data Source 1_customer readings'!J1031:J3429)</f>
        <v>0</v>
      </c>
    </row>
    <row r="1032" spans="1:8" x14ac:dyDescent="0.2">
      <c r="A1032" s="2" t="s">
        <v>3</v>
      </c>
      <c r="B1032" s="2">
        <v>25</v>
      </c>
      <c r="C1032" s="2">
        <v>11</v>
      </c>
      <c r="D1032" s="2">
        <v>2020</v>
      </c>
      <c r="E1032" s="2">
        <v>0</v>
      </c>
      <c r="F1032" s="2">
        <v>148.5</v>
      </c>
      <c r="H1032" s="1">
        <f>_xlfn.XLOOKUP('Data Source 1_customer readings'!A1032,'Data Source 1_customer readings'!A1032:A3430,'Data Source 1_customer readings'!J1032:J3430)</f>
        <v>0</v>
      </c>
    </row>
    <row r="1033" spans="1:8" x14ac:dyDescent="0.2">
      <c r="A1033" s="2" t="s">
        <v>17</v>
      </c>
      <c r="B1033" s="2">
        <v>8</v>
      </c>
      <c r="C1033" s="2">
        <v>3</v>
      </c>
      <c r="D1033" s="2">
        <v>2020</v>
      </c>
      <c r="E1033" s="2">
        <v>0</v>
      </c>
      <c r="F1033" s="2">
        <v>148.49</v>
      </c>
      <c r="H1033" s="1">
        <f>_xlfn.XLOOKUP('Data Source 1_customer readings'!A1033,'Data Source 1_customer readings'!A1033:A3431,'Data Source 1_customer readings'!J1033:J3431)</f>
        <v>0</v>
      </c>
    </row>
    <row r="1034" spans="1:8" x14ac:dyDescent="0.2">
      <c r="A1034" s="2" t="s">
        <v>16</v>
      </c>
      <c r="B1034" s="2">
        <v>14</v>
      </c>
      <c r="C1034" s="2">
        <v>2</v>
      </c>
      <c r="D1034" s="2">
        <v>2020</v>
      </c>
      <c r="E1034" s="2">
        <v>0</v>
      </c>
      <c r="F1034" s="2">
        <v>148.4</v>
      </c>
      <c r="H1034" s="1">
        <f>_xlfn.XLOOKUP('Data Source 1_customer readings'!A1034,'Data Source 1_customer readings'!A1034:A3432,'Data Source 1_customer readings'!J1034:J3432)</f>
        <v>0</v>
      </c>
    </row>
    <row r="1035" spans="1:8" x14ac:dyDescent="0.2">
      <c r="A1035" s="2" t="s">
        <v>26</v>
      </c>
      <c r="B1035" s="2">
        <v>22</v>
      </c>
      <c r="C1035" s="2">
        <v>10</v>
      </c>
      <c r="D1035" s="2">
        <v>2020</v>
      </c>
      <c r="E1035" s="2">
        <v>0</v>
      </c>
      <c r="F1035" s="2">
        <v>147.87</v>
      </c>
      <c r="H1035" s="1">
        <f>_xlfn.XLOOKUP('Data Source 1_customer readings'!A1035,'Data Source 1_customer readings'!A1035:A3433,'Data Source 1_customer readings'!J1035:J3433)</f>
        <v>0</v>
      </c>
    </row>
    <row r="1036" spans="1:8" x14ac:dyDescent="0.2">
      <c r="A1036" s="2" t="s">
        <v>15</v>
      </c>
      <c r="B1036" s="2">
        <v>5</v>
      </c>
      <c r="C1036" s="2">
        <v>10</v>
      </c>
      <c r="D1036" s="2">
        <v>2020</v>
      </c>
      <c r="E1036" s="2">
        <v>0</v>
      </c>
      <c r="F1036" s="2">
        <v>147.25</v>
      </c>
      <c r="H1036" s="1">
        <f>_xlfn.XLOOKUP('Data Source 1_customer readings'!A1036,'Data Source 1_customer readings'!A1036:A3434,'Data Source 1_customer readings'!J1036:J3434)</f>
        <v>0</v>
      </c>
    </row>
    <row r="1037" spans="1:8" x14ac:dyDescent="0.2">
      <c r="A1037" s="2" t="s">
        <v>5</v>
      </c>
      <c r="B1037" s="2">
        <v>7</v>
      </c>
      <c r="C1037" s="2">
        <v>12</v>
      </c>
      <c r="D1037" s="2">
        <v>2020</v>
      </c>
      <c r="E1037" s="2">
        <v>0</v>
      </c>
      <c r="F1037" s="2">
        <v>146.94</v>
      </c>
      <c r="H1037" s="1">
        <f>_xlfn.XLOOKUP('Data Source 1_customer readings'!A1037,'Data Source 1_customer readings'!A1037:A3435,'Data Source 1_customer readings'!J1037:J3435)</f>
        <v>0</v>
      </c>
    </row>
    <row r="1038" spans="1:8" x14ac:dyDescent="0.2">
      <c r="A1038" s="2" t="s">
        <v>25</v>
      </c>
      <c r="B1038" s="2">
        <v>8</v>
      </c>
      <c r="C1038" s="2">
        <v>6</v>
      </c>
      <c r="D1038" s="2">
        <v>2020</v>
      </c>
      <c r="E1038" s="2">
        <v>0</v>
      </c>
      <c r="F1038" s="2">
        <v>146.69999999999999</v>
      </c>
      <c r="H1038" s="1">
        <f>_xlfn.XLOOKUP('Data Source 1_customer readings'!A1038,'Data Source 1_customer readings'!A1038:A3436,'Data Source 1_customer readings'!J1038:J3436)</f>
        <v>0</v>
      </c>
    </row>
    <row r="1039" spans="1:8" x14ac:dyDescent="0.2">
      <c r="A1039" s="2" t="s">
        <v>6</v>
      </c>
      <c r="B1039" s="2">
        <v>7</v>
      </c>
      <c r="C1039" s="2">
        <v>1</v>
      </c>
      <c r="D1039" s="2">
        <v>2020</v>
      </c>
      <c r="E1039" s="2">
        <v>0</v>
      </c>
      <c r="F1039" s="2">
        <v>146.63</v>
      </c>
      <c r="H1039" s="1">
        <f>_xlfn.XLOOKUP('Data Source 1_customer readings'!A1039,'Data Source 1_customer readings'!A1039:A3437,'Data Source 1_customer readings'!J1039:J3437)</f>
        <v>0</v>
      </c>
    </row>
    <row r="1040" spans="1:8" x14ac:dyDescent="0.2">
      <c r="A1040" s="2" t="s">
        <v>19</v>
      </c>
      <c r="B1040" s="2">
        <v>24</v>
      </c>
      <c r="C1040" s="2">
        <v>10</v>
      </c>
      <c r="D1040" s="2">
        <v>2020</v>
      </c>
      <c r="E1040" s="2">
        <v>0</v>
      </c>
      <c r="F1040" s="2">
        <v>146.32</v>
      </c>
      <c r="H1040" s="1">
        <f>_xlfn.XLOOKUP('Data Source 1_customer readings'!A1040,'Data Source 1_customer readings'!A1040:A3438,'Data Source 1_customer readings'!J1040:J3438)</f>
        <v>0</v>
      </c>
    </row>
    <row r="1041" spans="1:8" x14ac:dyDescent="0.2">
      <c r="A1041" s="2" t="s">
        <v>8</v>
      </c>
      <c r="B1041" s="2">
        <v>5</v>
      </c>
      <c r="C1041" s="2">
        <v>2</v>
      </c>
      <c r="D1041" s="2">
        <v>2020</v>
      </c>
      <c r="E1041" s="2">
        <v>0</v>
      </c>
      <c r="F1041" s="2">
        <v>145.88</v>
      </c>
      <c r="H1041" s="1">
        <f>_xlfn.XLOOKUP('Data Source 1_customer readings'!A1041,'Data Source 1_customer readings'!A1041:A3439,'Data Source 1_customer readings'!J1041:J3439)</f>
        <v>0</v>
      </c>
    </row>
    <row r="1042" spans="1:8" x14ac:dyDescent="0.2">
      <c r="A1042" s="2" t="s">
        <v>24</v>
      </c>
      <c r="B1042" s="2">
        <v>22</v>
      </c>
      <c r="C1042" s="2">
        <v>5</v>
      </c>
      <c r="D1042" s="2">
        <v>2020</v>
      </c>
      <c r="E1042" s="2">
        <v>0</v>
      </c>
      <c r="F1042" s="2">
        <v>145.38999999999999</v>
      </c>
      <c r="H1042" s="1">
        <f>_xlfn.XLOOKUP('Data Source 1_customer readings'!A1042,'Data Source 1_customer readings'!A1042:A3440,'Data Source 1_customer readings'!J1042:J3440)</f>
        <v>0</v>
      </c>
    </row>
    <row r="1043" spans="1:8" x14ac:dyDescent="0.2">
      <c r="A1043" s="2" t="s">
        <v>20</v>
      </c>
      <c r="B1043" s="2">
        <v>12</v>
      </c>
      <c r="C1043" s="2">
        <v>10</v>
      </c>
      <c r="D1043" s="2">
        <v>2020</v>
      </c>
      <c r="E1043" s="2">
        <v>0</v>
      </c>
      <c r="F1043" s="2">
        <v>144.77000000000001</v>
      </c>
      <c r="H1043" s="1">
        <f>_xlfn.XLOOKUP('Data Source 1_customer readings'!A1043,'Data Source 1_customer readings'!A1043:A3441,'Data Source 1_customer readings'!J1043:J3441)</f>
        <v>0</v>
      </c>
    </row>
    <row r="1044" spans="1:8" x14ac:dyDescent="0.2">
      <c r="A1044" s="2" t="s">
        <v>30</v>
      </c>
      <c r="B1044" s="2">
        <v>2</v>
      </c>
      <c r="C1044" s="2">
        <v>9</v>
      </c>
      <c r="D1044" s="2">
        <v>2020</v>
      </c>
      <c r="E1044" s="2">
        <v>0</v>
      </c>
      <c r="F1044" s="2">
        <v>144.30000000000001</v>
      </c>
      <c r="H1044" s="1">
        <f>_xlfn.XLOOKUP('Data Source 1_customer readings'!A1044,'Data Source 1_customer readings'!A1044:A3442,'Data Source 1_customer readings'!J1044:J3442)</f>
        <v>0</v>
      </c>
    </row>
    <row r="1045" spans="1:8" x14ac:dyDescent="0.2">
      <c r="A1045" s="2" t="s">
        <v>25</v>
      </c>
      <c r="B1045" s="2">
        <v>8</v>
      </c>
      <c r="C1045" s="2">
        <v>9</v>
      </c>
      <c r="D1045" s="2">
        <v>2020</v>
      </c>
      <c r="E1045" s="2">
        <v>0</v>
      </c>
      <c r="F1045" s="2">
        <v>144.30000000000001</v>
      </c>
      <c r="H1045" s="1">
        <f>_xlfn.XLOOKUP('Data Source 1_customer readings'!A1045,'Data Source 1_customer readings'!A1045:A3443,'Data Source 1_customer readings'!J1045:J3443)</f>
        <v>0</v>
      </c>
    </row>
    <row r="1046" spans="1:8" x14ac:dyDescent="0.2">
      <c r="A1046" s="2" t="s">
        <v>10</v>
      </c>
      <c r="B1046" s="2">
        <v>18</v>
      </c>
      <c r="C1046" s="2">
        <v>10</v>
      </c>
      <c r="D1046" s="2">
        <v>2020</v>
      </c>
      <c r="E1046" s="2">
        <v>0</v>
      </c>
      <c r="F1046" s="2">
        <v>143.84</v>
      </c>
      <c r="H1046" s="1">
        <f>_xlfn.XLOOKUP('Data Source 1_customer readings'!A1046,'Data Source 1_customer readings'!A1046:A3444,'Data Source 1_customer readings'!J1046:J3444)</f>
        <v>0</v>
      </c>
    </row>
    <row r="1047" spans="1:8" x14ac:dyDescent="0.2">
      <c r="A1047" s="2" t="s">
        <v>28</v>
      </c>
      <c r="B1047" s="2">
        <v>5</v>
      </c>
      <c r="C1047" s="2">
        <v>4</v>
      </c>
      <c r="D1047" s="2">
        <v>2020</v>
      </c>
      <c r="E1047" s="2">
        <v>0</v>
      </c>
      <c r="F1047" s="2">
        <v>143.69999999999999</v>
      </c>
      <c r="H1047" s="1">
        <f>_xlfn.XLOOKUP('Data Source 1_customer readings'!A1047,'Data Source 1_customer readings'!A1047:A3445,'Data Source 1_customer readings'!J1047:J3445)</f>
        <v>0</v>
      </c>
    </row>
    <row r="1048" spans="1:8" x14ac:dyDescent="0.2">
      <c r="A1048" s="2" t="s">
        <v>9</v>
      </c>
      <c r="B1048" s="2">
        <v>22</v>
      </c>
      <c r="C1048" s="2">
        <v>2</v>
      </c>
      <c r="D1048" s="2">
        <v>2020</v>
      </c>
      <c r="E1048" s="2">
        <v>0</v>
      </c>
      <c r="F1048" s="2">
        <v>143.08000000000001</v>
      </c>
      <c r="H1048" s="1">
        <f>_xlfn.XLOOKUP('Data Source 1_customer readings'!A1048,'Data Source 1_customer readings'!A1048:A3446,'Data Source 1_customer readings'!J1048:J3446)</f>
        <v>0</v>
      </c>
    </row>
    <row r="1049" spans="1:8" x14ac:dyDescent="0.2">
      <c r="A1049" s="2" t="s">
        <v>16</v>
      </c>
      <c r="B1049" s="2">
        <v>14</v>
      </c>
      <c r="C1049" s="2">
        <v>10</v>
      </c>
      <c r="D1049" s="2">
        <v>2020</v>
      </c>
      <c r="E1049" s="2">
        <v>0</v>
      </c>
      <c r="F1049" s="2">
        <v>142.91</v>
      </c>
      <c r="H1049" s="1">
        <f>_xlfn.XLOOKUP('Data Source 1_customer readings'!A1049,'Data Source 1_customer readings'!A1049:A3447,'Data Source 1_customer readings'!J1049:J3447)</f>
        <v>0</v>
      </c>
    </row>
    <row r="1050" spans="1:8" x14ac:dyDescent="0.2">
      <c r="A1050" s="2" t="s">
        <v>11</v>
      </c>
      <c r="B1050" s="2">
        <v>15</v>
      </c>
      <c r="C1050" s="2">
        <v>5</v>
      </c>
      <c r="D1050" s="2">
        <v>2020</v>
      </c>
      <c r="E1050" s="2">
        <v>0</v>
      </c>
      <c r="F1050" s="2">
        <v>142.6</v>
      </c>
      <c r="H1050" s="1">
        <f>_xlfn.XLOOKUP('Data Source 1_customer readings'!A1050,'Data Source 1_customer readings'!A1050:A3448,'Data Source 1_customer readings'!J1050:J3448)</f>
        <v>0</v>
      </c>
    </row>
    <row r="1051" spans="1:8" x14ac:dyDescent="0.2">
      <c r="A1051" s="2" t="s">
        <v>26</v>
      </c>
      <c r="B1051" s="2">
        <v>22</v>
      </c>
      <c r="C1051" s="2">
        <v>5</v>
      </c>
      <c r="D1051" s="2">
        <v>2020</v>
      </c>
      <c r="E1051" s="2">
        <v>0</v>
      </c>
      <c r="F1051" s="2">
        <v>142.6</v>
      </c>
      <c r="H1051" s="1">
        <f>_xlfn.XLOOKUP('Data Source 1_customer readings'!A1051,'Data Source 1_customer readings'!A1051:A3449,'Data Source 1_customer readings'!J1051:J3449)</f>
        <v>0</v>
      </c>
    </row>
    <row r="1052" spans="1:8" x14ac:dyDescent="0.2">
      <c r="A1052" s="2" t="s">
        <v>18</v>
      </c>
      <c r="B1052" s="2">
        <v>5</v>
      </c>
      <c r="C1052" s="2">
        <v>10</v>
      </c>
      <c r="D1052" s="2">
        <v>2020</v>
      </c>
      <c r="E1052" s="2">
        <v>0</v>
      </c>
      <c r="F1052" s="2">
        <v>142.6</v>
      </c>
      <c r="H1052" s="1">
        <f>_xlfn.XLOOKUP('Data Source 1_customer readings'!A1052,'Data Source 1_customer readings'!A1052:A3450,'Data Source 1_customer readings'!J1052:J3450)</f>
        <v>0</v>
      </c>
    </row>
    <row r="1053" spans="1:8" x14ac:dyDescent="0.2">
      <c r="A1053" s="2" t="s">
        <v>11</v>
      </c>
      <c r="B1053" s="2">
        <v>15</v>
      </c>
      <c r="C1053" s="2">
        <v>4</v>
      </c>
      <c r="D1053" s="2">
        <v>2020</v>
      </c>
      <c r="E1053" s="2">
        <v>0</v>
      </c>
      <c r="F1053" s="2">
        <v>142.5</v>
      </c>
      <c r="H1053" s="1">
        <f>_xlfn.XLOOKUP('Data Source 1_customer readings'!A1053,'Data Source 1_customer readings'!A1053:A3451,'Data Source 1_customer readings'!J1053:J3451)</f>
        <v>0</v>
      </c>
    </row>
    <row r="1054" spans="1:8" x14ac:dyDescent="0.2">
      <c r="A1054" s="2" t="s">
        <v>7</v>
      </c>
      <c r="B1054" s="2">
        <v>20</v>
      </c>
      <c r="C1054" s="2">
        <v>3</v>
      </c>
      <c r="D1054" s="2">
        <v>2020</v>
      </c>
      <c r="E1054" s="2">
        <v>0</v>
      </c>
      <c r="F1054" s="2">
        <v>141.36000000000001</v>
      </c>
      <c r="H1054" s="1">
        <f>_xlfn.XLOOKUP('Data Source 1_customer readings'!A1054,'Data Source 1_customer readings'!A1054:A3452,'Data Source 1_customer readings'!J1054:J3452)</f>
        <v>0</v>
      </c>
    </row>
    <row r="1055" spans="1:8" x14ac:dyDescent="0.2">
      <c r="A1055" s="2" t="s">
        <v>25</v>
      </c>
      <c r="B1055" s="2">
        <v>8</v>
      </c>
      <c r="C1055" s="2">
        <v>5</v>
      </c>
      <c r="D1055" s="2">
        <v>2020</v>
      </c>
      <c r="E1055" s="2">
        <v>0</v>
      </c>
      <c r="F1055" s="2">
        <v>141.05000000000001</v>
      </c>
      <c r="H1055" s="1">
        <f>_xlfn.XLOOKUP('Data Source 1_customer readings'!A1055,'Data Source 1_customer readings'!A1055:A3453,'Data Source 1_customer readings'!J1055:J3453)</f>
        <v>0</v>
      </c>
    </row>
    <row r="1056" spans="1:8" x14ac:dyDescent="0.2">
      <c r="A1056" s="2" t="s">
        <v>11</v>
      </c>
      <c r="B1056" s="2">
        <v>15</v>
      </c>
      <c r="C1056" s="2">
        <v>9</v>
      </c>
      <c r="D1056" s="2">
        <v>2020</v>
      </c>
      <c r="E1056" s="2">
        <v>0</v>
      </c>
      <c r="F1056" s="2">
        <v>140.4</v>
      </c>
      <c r="H1056" s="1">
        <f>_xlfn.XLOOKUP('Data Source 1_customer readings'!A1056,'Data Source 1_customer readings'!A1056:A3454,'Data Source 1_customer readings'!J1056:J3454)</f>
        <v>0</v>
      </c>
    </row>
    <row r="1057" spans="1:8" x14ac:dyDescent="0.2">
      <c r="A1057" s="2" t="s">
        <v>18</v>
      </c>
      <c r="B1057" s="2">
        <v>5</v>
      </c>
      <c r="C1057" s="2">
        <v>4</v>
      </c>
      <c r="D1057" s="2">
        <v>2020</v>
      </c>
      <c r="E1057" s="2">
        <v>0</v>
      </c>
      <c r="F1057" s="2">
        <v>140.1</v>
      </c>
      <c r="H1057" s="1">
        <f>_xlfn.XLOOKUP('Data Source 1_customer readings'!A1057,'Data Source 1_customer readings'!A1057:A3455,'Data Source 1_customer readings'!J1057:J3455)</f>
        <v>0</v>
      </c>
    </row>
    <row r="1058" spans="1:8" x14ac:dyDescent="0.2">
      <c r="A1058" s="2" t="s">
        <v>4</v>
      </c>
      <c r="B1058" s="2">
        <v>1</v>
      </c>
      <c r="C1058" s="2">
        <v>3</v>
      </c>
      <c r="D1058" s="2">
        <v>2020</v>
      </c>
      <c r="E1058" s="2">
        <v>0</v>
      </c>
      <c r="F1058" s="2">
        <v>139.81</v>
      </c>
      <c r="H1058" s="1">
        <f>_xlfn.XLOOKUP('Data Source 1_customer readings'!A1058,'Data Source 1_customer readings'!A1058:A3456,'Data Source 1_customer readings'!J1058:J3456)</f>
        <v>0</v>
      </c>
    </row>
    <row r="1059" spans="1:8" x14ac:dyDescent="0.2">
      <c r="A1059" s="2" t="s">
        <v>19</v>
      </c>
      <c r="B1059" s="2">
        <v>24</v>
      </c>
      <c r="C1059" s="2">
        <v>4</v>
      </c>
      <c r="D1059" s="2">
        <v>2020</v>
      </c>
      <c r="E1059" s="2">
        <v>0</v>
      </c>
      <c r="F1059" s="2">
        <v>139.80000000000001</v>
      </c>
      <c r="H1059" s="1">
        <f>_xlfn.XLOOKUP('Data Source 1_customer readings'!A1059,'Data Source 1_customer readings'!A1059:A3457,'Data Source 1_customer readings'!J1059:J3457)</f>
        <v>0</v>
      </c>
    </row>
    <row r="1060" spans="1:8" x14ac:dyDescent="0.2">
      <c r="A1060" s="2" t="s">
        <v>12</v>
      </c>
      <c r="B1060" s="2">
        <v>2</v>
      </c>
      <c r="C1060" s="2">
        <v>3</v>
      </c>
      <c r="D1060" s="2">
        <v>2020</v>
      </c>
      <c r="E1060" s="2">
        <v>0</v>
      </c>
      <c r="F1060" s="2">
        <v>139.19</v>
      </c>
      <c r="H1060" s="1">
        <f>_xlfn.XLOOKUP('Data Source 1_customer readings'!A1060,'Data Source 1_customer readings'!A1060:A3458,'Data Source 1_customer readings'!J1060:J3458)</f>
        <v>0</v>
      </c>
    </row>
    <row r="1061" spans="1:8" x14ac:dyDescent="0.2">
      <c r="A1061" s="2" t="s">
        <v>4</v>
      </c>
      <c r="B1061" s="2">
        <v>1</v>
      </c>
      <c r="C1061" s="2">
        <v>4</v>
      </c>
      <c r="D1061" s="2">
        <v>2020</v>
      </c>
      <c r="E1061" s="2">
        <v>0</v>
      </c>
      <c r="F1061" s="2">
        <v>138.6</v>
      </c>
      <c r="H1061" s="1">
        <f>_xlfn.XLOOKUP('Data Source 1_customer readings'!A1061,'Data Source 1_customer readings'!A1061:A3459,'Data Source 1_customer readings'!J1061:J3459)</f>
        <v>0</v>
      </c>
    </row>
    <row r="1062" spans="1:8" x14ac:dyDescent="0.2">
      <c r="A1062" s="2" t="s">
        <v>3</v>
      </c>
      <c r="B1062" s="2">
        <v>25</v>
      </c>
      <c r="C1062" s="2">
        <v>1</v>
      </c>
      <c r="D1062" s="2">
        <v>2020</v>
      </c>
      <c r="E1062" s="2">
        <v>0</v>
      </c>
      <c r="F1062" s="2">
        <v>138.26</v>
      </c>
      <c r="H1062" s="1">
        <f>_xlfn.XLOOKUP('Data Source 1_customer readings'!A1062,'Data Source 1_customer readings'!A1062:A3460,'Data Source 1_customer readings'!J1062:J3460)</f>
        <v>0</v>
      </c>
    </row>
    <row r="1063" spans="1:8" x14ac:dyDescent="0.2">
      <c r="A1063" s="2" t="s">
        <v>21</v>
      </c>
      <c r="B1063" s="2">
        <v>15</v>
      </c>
      <c r="C1063" s="2">
        <v>4</v>
      </c>
      <c r="D1063" s="2">
        <v>2020</v>
      </c>
      <c r="E1063" s="2">
        <v>0</v>
      </c>
      <c r="F1063" s="2">
        <v>138</v>
      </c>
      <c r="H1063" s="1">
        <f>_xlfn.XLOOKUP('Data Source 1_customer readings'!A1063,'Data Source 1_customer readings'!A1063:A3461,'Data Source 1_customer readings'!J1063:J3461)</f>
        <v>0</v>
      </c>
    </row>
    <row r="1064" spans="1:8" x14ac:dyDescent="0.2">
      <c r="A1064" s="2" t="s">
        <v>6</v>
      </c>
      <c r="B1064" s="2">
        <v>7</v>
      </c>
      <c r="C1064" s="2">
        <v>3</v>
      </c>
      <c r="D1064" s="2">
        <v>2020</v>
      </c>
      <c r="E1064" s="2">
        <v>0</v>
      </c>
      <c r="F1064" s="2">
        <v>137.94999999999999</v>
      </c>
      <c r="H1064" s="1">
        <f>_xlfn.XLOOKUP('Data Source 1_customer readings'!A1064,'Data Source 1_customer readings'!A1064:A3462,'Data Source 1_customer readings'!J1064:J3462)</f>
        <v>0</v>
      </c>
    </row>
    <row r="1065" spans="1:8" x14ac:dyDescent="0.2">
      <c r="A1065" s="2" t="s">
        <v>27</v>
      </c>
      <c r="B1065" s="2">
        <v>1</v>
      </c>
      <c r="C1065" s="2">
        <v>7</v>
      </c>
      <c r="D1065" s="2">
        <v>2020</v>
      </c>
      <c r="E1065" s="2">
        <v>0</v>
      </c>
      <c r="F1065" s="2">
        <v>137.33000000000001</v>
      </c>
      <c r="H1065" s="1">
        <f>_xlfn.XLOOKUP('Data Source 1_customer readings'!A1065,'Data Source 1_customer readings'!A1065:A3463,'Data Source 1_customer readings'!J1065:J3463)</f>
        <v>0</v>
      </c>
    </row>
    <row r="1066" spans="1:8" x14ac:dyDescent="0.2">
      <c r="A1066" s="2" t="s">
        <v>27</v>
      </c>
      <c r="B1066" s="2">
        <v>1</v>
      </c>
      <c r="C1066" s="2">
        <v>8</v>
      </c>
      <c r="D1066" s="2">
        <v>2020</v>
      </c>
      <c r="E1066" s="2">
        <v>0</v>
      </c>
      <c r="F1066" s="2">
        <v>137.33000000000001</v>
      </c>
      <c r="H1066" s="1">
        <f>_xlfn.XLOOKUP('Data Source 1_customer readings'!A1066,'Data Source 1_customer readings'!A1066:A3464,'Data Source 1_customer readings'!J1066:J3464)</f>
        <v>0</v>
      </c>
    </row>
    <row r="1067" spans="1:8" x14ac:dyDescent="0.2">
      <c r="A1067" s="2" t="s">
        <v>17</v>
      </c>
      <c r="B1067" s="2">
        <v>8</v>
      </c>
      <c r="C1067" s="2">
        <v>10</v>
      </c>
      <c r="D1067" s="2">
        <v>2020</v>
      </c>
      <c r="E1067" s="2">
        <v>0</v>
      </c>
      <c r="F1067" s="2">
        <v>137.33000000000001</v>
      </c>
      <c r="H1067" s="1">
        <f>_xlfn.XLOOKUP('Data Source 1_customer readings'!A1067,'Data Source 1_customer readings'!A1067:A3465,'Data Source 1_customer readings'!J1067:J3465)</f>
        <v>0</v>
      </c>
    </row>
    <row r="1068" spans="1:8" x14ac:dyDescent="0.2">
      <c r="A1068" s="2" t="s">
        <v>23</v>
      </c>
      <c r="B1068" s="2">
        <v>5</v>
      </c>
      <c r="C1068" s="2">
        <v>5</v>
      </c>
      <c r="D1068" s="2">
        <v>2020</v>
      </c>
      <c r="E1068" s="2">
        <v>0</v>
      </c>
      <c r="F1068" s="2">
        <v>137.02000000000001</v>
      </c>
      <c r="H1068" s="1">
        <f>_xlfn.XLOOKUP('Data Source 1_customer readings'!A1068,'Data Source 1_customer readings'!A1068:A3466,'Data Source 1_customer readings'!J1068:J3466)</f>
        <v>0</v>
      </c>
    </row>
    <row r="1069" spans="1:8" x14ac:dyDescent="0.2">
      <c r="A1069" s="2" t="s">
        <v>3</v>
      </c>
      <c r="B1069" s="2">
        <v>25</v>
      </c>
      <c r="C1069" s="2">
        <v>10</v>
      </c>
      <c r="D1069" s="2">
        <v>2020</v>
      </c>
      <c r="E1069" s="2">
        <v>0</v>
      </c>
      <c r="F1069" s="2">
        <v>137.02000000000001</v>
      </c>
      <c r="H1069" s="1">
        <f>_xlfn.XLOOKUP('Data Source 1_customer readings'!A1069,'Data Source 1_customer readings'!A1069:A3467,'Data Source 1_customer readings'!J1069:J3467)</f>
        <v>0</v>
      </c>
    </row>
    <row r="1070" spans="1:8" x14ac:dyDescent="0.2">
      <c r="A1070" s="2" t="s">
        <v>3</v>
      </c>
      <c r="B1070" s="2">
        <v>25</v>
      </c>
      <c r="C1070" s="2">
        <v>3</v>
      </c>
      <c r="D1070" s="2">
        <v>2020</v>
      </c>
      <c r="E1070" s="2">
        <v>0</v>
      </c>
      <c r="F1070" s="2">
        <v>136.09</v>
      </c>
      <c r="H1070" s="1">
        <f>_xlfn.XLOOKUP('Data Source 1_customer readings'!A1070,'Data Source 1_customer readings'!A1070:A3468,'Data Source 1_customer readings'!J1070:J3468)</f>
        <v>0</v>
      </c>
    </row>
    <row r="1071" spans="1:8" x14ac:dyDescent="0.2">
      <c r="A1071" s="2" t="s">
        <v>2</v>
      </c>
      <c r="B1071" s="2">
        <v>18</v>
      </c>
      <c r="C1071" s="2">
        <v>10</v>
      </c>
      <c r="D1071" s="2">
        <v>2020</v>
      </c>
      <c r="E1071" s="2">
        <v>0</v>
      </c>
      <c r="F1071" s="2">
        <v>136.09</v>
      </c>
      <c r="H1071" s="1">
        <f>_xlfn.XLOOKUP('Data Source 1_customer readings'!A1071,'Data Source 1_customer readings'!A1071:A3469,'Data Source 1_customer readings'!J1071:J3469)</f>
        <v>0</v>
      </c>
    </row>
    <row r="1072" spans="1:8" x14ac:dyDescent="0.2">
      <c r="A1072" s="2" t="s">
        <v>1</v>
      </c>
      <c r="B1072" s="2">
        <v>21</v>
      </c>
      <c r="C1072" s="2">
        <v>10</v>
      </c>
      <c r="D1072" s="2">
        <v>2020</v>
      </c>
      <c r="E1072" s="2">
        <v>0</v>
      </c>
      <c r="F1072" s="2">
        <v>135.78</v>
      </c>
      <c r="H1072" s="1">
        <f>_xlfn.XLOOKUP('Data Source 1_customer readings'!A1072,'Data Source 1_customer readings'!A1072:A3470,'Data Source 1_customer readings'!J1072:J3470)</f>
        <v>0</v>
      </c>
    </row>
    <row r="1073" spans="1:8" x14ac:dyDescent="0.2">
      <c r="A1073" s="2" t="s">
        <v>29</v>
      </c>
      <c r="B1073" s="2">
        <v>20</v>
      </c>
      <c r="C1073" s="2">
        <v>6</v>
      </c>
      <c r="D1073" s="2">
        <v>2020</v>
      </c>
      <c r="E1073" s="2">
        <v>0</v>
      </c>
      <c r="F1073" s="2">
        <v>135.6</v>
      </c>
      <c r="H1073" s="1">
        <f>_xlfn.XLOOKUP('Data Source 1_customer readings'!A1073,'Data Source 1_customer readings'!A1073:A3471,'Data Source 1_customer readings'!J1073:J3471)</f>
        <v>0</v>
      </c>
    </row>
    <row r="1074" spans="1:8" x14ac:dyDescent="0.2">
      <c r="A1074" s="2" t="s">
        <v>6</v>
      </c>
      <c r="B1074" s="2">
        <v>7</v>
      </c>
      <c r="C1074" s="2">
        <v>2</v>
      </c>
      <c r="D1074" s="2">
        <v>2020</v>
      </c>
      <c r="E1074" s="2">
        <v>0</v>
      </c>
      <c r="F1074" s="2">
        <v>135.52000000000001</v>
      </c>
      <c r="H1074" s="1">
        <f>_xlfn.XLOOKUP('Data Source 1_customer readings'!A1074,'Data Source 1_customer readings'!A1074:A3472,'Data Source 1_customer readings'!J1074:J3472)</f>
        <v>0</v>
      </c>
    </row>
    <row r="1075" spans="1:8" x14ac:dyDescent="0.2">
      <c r="A1075" s="2" t="s">
        <v>2</v>
      </c>
      <c r="B1075" s="2">
        <v>18</v>
      </c>
      <c r="C1075" s="2">
        <v>12</v>
      </c>
      <c r="D1075" s="2">
        <v>2020</v>
      </c>
      <c r="E1075" s="2">
        <v>0</v>
      </c>
      <c r="F1075" s="2">
        <v>135.47</v>
      </c>
      <c r="H1075" s="1">
        <f>_xlfn.XLOOKUP('Data Source 1_customer readings'!A1075,'Data Source 1_customer readings'!A1075:A3473,'Data Source 1_customer readings'!J1075:J3473)</f>
        <v>0</v>
      </c>
    </row>
    <row r="1076" spans="1:8" x14ac:dyDescent="0.2">
      <c r="A1076" s="2" t="s">
        <v>25</v>
      </c>
      <c r="B1076" s="2">
        <v>8</v>
      </c>
      <c r="C1076" s="2">
        <v>8</v>
      </c>
      <c r="D1076" s="2">
        <v>2020</v>
      </c>
      <c r="E1076" s="2">
        <v>0</v>
      </c>
      <c r="F1076" s="2">
        <v>135.16</v>
      </c>
      <c r="H1076" s="1">
        <f>_xlfn.XLOOKUP('Data Source 1_customer readings'!A1076,'Data Source 1_customer readings'!A1076:A3474,'Data Source 1_customer readings'!J1076:J3474)</f>
        <v>0</v>
      </c>
    </row>
    <row r="1077" spans="1:8" x14ac:dyDescent="0.2">
      <c r="A1077" s="2" t="s">
        <v>21</v>
      </c>
      <c r="B1077" s="2">
        <v>15</v>
      </c>
      <c r="C1077" s="2">
        <v>3</v>
      </c>
      <c r="D1077" s="2">
        <v>2020</v>
      </c>
      <c r="E1077" s="2">
        <v>0</v>
      </c>
      <c r="F1077" s="2">
        <v>134.85</v>
      </c>
      <c r="H1077" s="1">
        <f>_xlfn.XLOOKUP('Data Source 1_customer readings'!A1077,'Data Source 1_customer readings'!A1077:A3475,'Data Source 1_customer readings'!J1077:J3475)</f>
        <v>0</v>
      </c>
    </row>
    <row r="1078" spans="1:8" x14ac:dyDescent="0.2">
      <c r="A1078" s="2" t="s">
        <v>13</v>
      </c>
      <c r="B1078" s="2">
        <v>7</v>
      </c>
      <c r="C1078" s="2">
        <v>8</v>
      </c>
      <c r="D1078" s="2">
        <v>2020</v>
      </c>
      <c r="E1078" s="2">
        <v>0</v>
      </c>
      <c r="F1078" s="2">
        <v>134.85</v>
      </c>
      <c r="H1078" s="1">
        <f>_xlfn.XLOOKUP('Data Source 1_customer readings'!A1078,'Data Source 1_customer readings'!A1078:A3476,'Data Source 1_customer readings'!J1078:J3476)</f>
        <v>0</v>
      </c>
    </row>
    <row r="1079" spans="1:8" x14ac:dyDescent="0.2">
      <c r="A1079" s="2" t="s">
        <v>24</v>
      </c>
      <c r="B1079" s="2">
        <v>22</v>
      </c>
      <c r="C1079" s="2">
        <v>6</v>
      </c>
      <c r="D1079" s="2">
        <v>2020</v>
      </c>
      <c r="E1079" s="2">
        <v>0</v>
      </c>
      <c r="F1079" s="2">
        <v>134.4</v>
      </c>
      <c r="H1079" s="1">
        <f>_xlfn.XLOOKUP('Data Source 1_customer readings'!A1079,'Data Source 1_customer readings'!A1079:A3477,'Data Source 1_customer readings'!J1079:J3477)</f>
        <v>0</v>
      </c>
    </row>
    <row r="1080" spans="1:8" x14ac:dyDescent="0.2">
      <c r="A1080" s="2" t="s">
        <v>13</v>
      </c>
      <c r="B1080" s="2">
        <v>7</v>
      </c>
      <c r="C1080" s="2">
        <v>9</v>
      </c>
      <c r="D1080" s="2">
        <v>2020</v>
      </c>
      <c r="E1080" s="2">
        <v>0</v>
      </c>
      <c r="F1080" s="2">
        <v>133.5</v>
      </c>
      <c r="H1080" s="1">
        <f>_xlfn.XLOOKUP('Data Source 1_customer readings'!A1080,'Data Source 1_customer readings'!A1080:A3478,'Data Source 1_customer readings'!J1080:J3478)</f>
        <v>0</v>
      </c>
    </row>
    <row r="1081" spans="1:8" x14ac:dyDescent="0.2">
      <c r="A1081" s="2" t="s">
        <v>14</v>
      </c>
      <c r="B1081" s="2">
        <v>10</v>
      </c>
      <c r="C1081" s="2">
        <v>6</v>
      </c>
      <c r="D1081" s="2">
        <v>2020</v>
      </c>
      <c r="E1081" s="2">
        <v>0</v>
      </c>
      <c r="F1081" s="2">
        <v>133.19999999999999</v>
      </c>
      <c r="H1081" s="1">
        <f>_xlfn.XLOOKUP('Data Source 1_customer readings'!A1081,'Data Source 1_customer readings'!A1081:A3479,'Data Source 1_customer readings'!J1081:J3479)</f>
        <v>0</v>
      </c>
    </row>
    <row r="1082" spans="1:8" x14ac:dyDescent="0.2">
      <c r="A1082" s="2" t="s">
        <v>13</v>
      </c>
      <c r="B1082" s="2">
        <v>7</v>
      </c>
      <c r="C1082" s="2">
        <v>5</v>
      </c>
      <c r="D1082" s="2">
        <v>2020</v>
      </c>
      <c r="E1082" s="2">
        <v>0</v>
      </c>
      <c r="F1082" s="2">
        <v>132.99</v>
      </c>
      <c r="H1082" s="1">
        <f>_xlfn.XLOOKUP('Data Source 1_customer readings'!A1082,'Data Source 1_customer readings'!A1082:A3480,'Data Source 1_customer readings'!J1082:J3480)</f>
        <v>0</v>
      </c>
    </row>
    <row r="1083" spans="1:8" x14ac:dyDescent="0.2">
      <c r="A1083" s="2" t="s">
        <v>12</v>
      </c>
      <c r="B1083" s="2">
        <v>2</v>
      </c>
      <c r="C1083" s="2">
        <v>10</v>
      </c>
      <c r="D1083" s="2">
        <v>2020</v>
      </c>
      <c r="E1083" s="2">
        <v>0</v>
      </c>
      <c r="F1083" s="2">
        <v>132.99</v>
      </c>
      <c r="H1083" s="1">
        <f>_xlfn.XLOOKUP('Data Source 1_customer readings'!A1083,'Data Source 1_customer readings'!A1083:A3481,'Data Source 1_customer readings'!J1083:J3481)</f>
        <v>0</v>
      </c>
    </row>
    <row r="1084" spans="1:8" x14ac:dyDescent="0.2">
      <c r="A1084" s="2" t="s">
        <v>8</v>
      </c>
      <c r="B1084" s="2">
        <v>5</v>
      </c>
      <c r="C1084" s="2">
        <v>4</v>
      </c>
      <c r="D1084" s="2">
        <v>2020</v>
      </c>
      <c r="E1084" s="2">
        <v>0</v>
      </c>
      <c r="F1084" s="2">
        <v>132.9</v>
      </c>
      <c r="H1084" s="1">
        <f>_xlfn.XLOOKUP('Data Source 1_customer readings'!A1084,'Data Source 1_customer readings'!A1084:A3482,'Data Source 1_customer readings'!J1084:J3482)</f>
        <v>0</v>
      </c>
    </row>
    <row r="1085" spans="1:8" x14ac:dyDescent="0.2">
      <c r="A1085" s="2" t="s">
        <v>28</v>
      </c>
      <c r="B1085" s="2">
        <v>5</v>
      </c>
      <c r="C1085" s="2">
        <v>9</v>
      </c>
      <c r="D1085" s="2">
        <v>2020</v>
      </c>
      <c r="E1085" s="2">
        <v>0</v>
      </c>
      <c r="F1085" s="2">
        <v>132.6</v>
      </c>
      <c r="H1085" s="1">
        <f>_xlfn.XLOOKUP('Data Source 1_customer readings'!A1085,'Data Source 1_customer readings'!A1085:A3483,'Data Source 1_customer readings'!J1085:J3483)</f>
        <v>0</v>
      </c>
    </row>
    <row r="1086" spans="1:8" x14ac:dyDescent="0.2">
      <c r="A1086" s="2" t="s">
        <v>25</v>
      </c>
      <c r="B1086" s="2">
        <v>8</v>
      </c>
      <c r="C1086" s="2">
        <v>7</v>
      </c>
      <c r="D1086" s="2">
        <v>2020</v>
      </c>
      <c r="E1086" s="2">
        <v>0</v>
      </c>
      <c r="F1086" s="2">
        <v>132.37</v>
      </c>
      <c r="H1086" s="1">
        <f>_xlfn.XLOOKUP('Data Source 1_customer readings'!A1086,'Data Source 1_customer readings'!A1086:A3484,'Data Source 1_customer readings'!J1086:J3484)</f>
        <v>0</v>
      </c>
    </row>
    <row r="1087" spans="1:8" x14ac:dyDescent="0.2">
      <c r="A1087" s="2" t="s">
        <v>9</v>
      </c>
      <c r="B1087" s="2">
        <v>22</v>
      </c>
      <c r="C1087" s="2">
        <v>10</v>
      </c>
      <c r="D1087" s="2">
        <v>2020</v>
      </c>
      <c r="E1087" s="2">
        <v>0</v>
      </c>
      <c r="F1087" s="2">
        <v>132.37</v>
      </c>
      <c r="H1087" s="1">
        <f>_xlfn.XLOOKUP('Data Source 1_customer readings'!A1087,'Data Source 1_customer readings'!A1087:A3485,'Data Source 1_customer readings'!J1087:J3485)</f>
        <v>0</v>
      </c>
    </row>
    <row r="1088" spans="1:8" x14ac:dyDescent="0.2">
      <c r="A1088" s="2" t="s">
        <v>26</v>
      </c>
      <c r="B1088" s="2">
        <v>22</v>
      </c>
      <c r="C1088" s="2">
        <v>8</v>
      </c>
      <c r="D1088" s="2">
        <v>2020</v>
      </c>
      <c r="E1088" s="2">
        <v>0</v>
      </c>
      <c r="F1088" s="2">
        <v>131.75</v>
      </c>
      <c r="H1088" s="1">
        <f>_xlfn.XLOOKUP('Data Source 1_customer readings'!A1088,'Data Source 1_customer readings'!A1088:A3486,'Data Source 1_customer readings'!J1088:J3486)</f>
        <v>0</v>
      </c>
    </row>
    <row r="1089" spans="1:8" x14ac:dyDescent="0.2">
      <c r="A1089" s="2" t="s">
        <v>7</v>
      </c>
      <c r="B1089" s="2">
        <v>20</v>
      </c>
      <c r="C1089" s="2">
        <v>9</v>
      </c>
      <c r="D1089" s="2">
        <v>2020</v>
      </c>
      <c r="E1089" s="2">
        <v>0</v>
      </c>
      <c r="F1089" s="2">
        <v>131.69999999999999</v>
      </c>
      <c r="H1089" s="1">
        <f>_xlfn.XLOOKUP('Data Source 1_customer readings'!A1089,'Data Source 1_customer readings'!A1089:A3487,'Data Source 1_customer readings'!J1089:J3487)</f>
        <v>0</v>
      </c>
    </row>
    <row r="1090" spans="1:8" x14ac:dyDescent="0.2">
      <c r="A1090" s="2" t="s">
        <v>24</v>
      </c>
      <c r="B1090" s="2">
        <v>22</v>
      </c>
      <c r="C1090" s="2">
        <v>7</v>
      </c>
      <c r="D1090" s="2">
        <v>2020</v>
      </c>
      <c r="E1090" s="2">
        <v>0</v>
      </c>
      <c r="F1090" s="2">
        <v>131.44</v>
      </c>
      <c r="H1090" s="1">
        <f>_xlfn.XLOOKUP('Data Source 1_customer readings'!A1090,'Data Source 1_customer readings'!A1090:A3488,'Data Source 1_customer readings'!J1090:J3488)</f>
        <v>0</v>
      </c>
    </row>
    <row r="1091" spans="1:8" x14ac:dyDescent="0.2">
      <c r="A1091" s="2" t="s">
        <v>5</v>
      </c>
      <c r="B1091" s="2">
        <v>7</v>
      </c>
      <c r="C1091" s="2">
        <v>3</v>
      </c>
      <c r="D1091" s="2">
        <v>2020</v>
      </c>
      <c r="E1091" s="2">
        <v>0</v>
      </c>
      <c r="F1091" s="2">
        <v>130.82</v>
      </c>
      <c r="H1091" s="1">
        <f>_xlfn.XLOOKUP('Data Source 1_customer readings'!A1091,'Data Source 1_customer readings'!A1091:A3489,'Data Source 1_customer readings'!J1091:J3489)</f>
        <v>0</v>
      </c>
    </row>
    <row r="1092" spans="1:8" x14ac:dyDescent="0.2">
      <c r="A1092" s="2" t="s">
        <v>15</v>
      </c>
      <c r="B1092" s="2">
        <v>5</v>
      </c>
      <c r="C1092" s="2">
        <v>5</v>
      </c>
      <c r="D1092" s="2">
        <v>2020</v>
      </c>
      <c r="E1092" s="2">
        <v>0</v>
      </c>
      <c r="F1092" s="2">
        <v>129.58000000000001</v>
      </c>
      <c r="H1092" s="1">
        <f>_xlfn.XLOOKUP('Data Source 1_customer readings'!A1092,'Data Source 1_customer readings'!A1092:A3490,'Data Source 1_customer readings'!J1092:J3490)</f>
        <v>0</v>
      </c>
    </row>
    <row r="1093" spans="1:8" x14ac:dyDescent="0.2">
      <c r="A1093" s="2" t="s">
        <v>28</v>
      </c>
      <c r="B1093" s="2">
        <v>5</v>
      </c>
      <c r="C1093" s="2">
        <v>6</v>
      </c>
      <c r="D1093" s="2">
        <v>2020</v>
      </c>
      <c r="E1093" s="2">
        <v>0</v>
      </c>
      <c r="F1093" s="2">
        <v>129.30000000000001</v>
      </c>
      <c r="H1093" s="1">
        <f>_xlfn.XLOOKUP('Data Source 1_customer readings'!A1093,'Data Source 1_customer readings'!A1093:A3491,'Data Source 1_customer readings'!J1093:J3491)</f>
        <v>0</v>
      </c>
    </row>
    <row r="1094" spans="1:8" x14ac:dyDescent="0.2">
      <c r="A1094" s="2" t="s">
        <v>10</v>
      </c>
      <c r="B1094" s="2">
        <v>18</v>
      </c>
      <c r="C1094" s="2">
        <v>3</v>
      </c>
      <c r="D1094" s="2">
        <v>2020</v>
      </c>
      <c r="E1094" s="2">
        <v>0</v>
      </c>
      <c r="F1094" s="2">
        <v>129.27000000000001</v>
      </c>
      <c r="H1094" s="1">
        <f>_xlfn.XLOOKUP('Data Source 1_customer readings'!A1094,'Data Source 1_customer readings'!A1094:A3492,'Data Source 1_customer readings'!J1094:J3492)</f>
        <v>0</v>
      </c>
    </row>
    <row r="1095" spans="1:8" x14ac:dyDescent="0.2">
      <c r="A1095" s="2" t="s">
        <v>24</v>
      </c>
      <c r="B1095" s="2">
        <v>22</v>
      </c>
      <c r="C1095" s="2">
        <v>8</v>
      </c>
      <c r="D1095" s="2">
        <v>2020</v>
      </c>
      <c r="E1095" s="2">
        <v>0</v>
      </c>
      <c r="F1095" s="2">
        <v>128.34</v>
      </c>
      <c r="H1095" s="1">
        <f>_xlfn.XLOOKUP('Data Source 1_customer readings'!A1095,'Data Source 1_customer readings'!A1095:A3493,'Data Source 1_customer readings'!J1095:J3493)</f>
        <v>0</v>
      </c>
    </row>
    <row r="1096" spans="1:8" x14ac:dyDescent="0.2">
      <c r="A1096" s="2" t="s">
        <v>26</v>
      </c>
      <c r="B1096" s="2">
        <v>22</v>
      </c>
      <c r="C1096" s="2">
        <v>6</v>
      </c>
      <c r="D1096" s="2">
        <v>2020</v>
      </c>
      <c r="E1096" s="2">
        <v>0</v>
      </c>
      <c r="F1096" s="2">
        <v>127.8</v>
      </c>
      <c r="H1096" s="1">
        <f>_xlfn.XLOOKUP('Data Source 1_customer readings'!A1096,'Data Source 1_customer readings'!A1096:A3494,'Data Source 1_customer readings'!J1096:J3494)</f>
        <v>0</v>
      </c>
    </row>
    <row r="1097" spans="1:8" x14ac:dyDescent="0.2">
      <c r="A1097" s="2" t="s">
        <v>27</v>
      </c>
      <c r="B1097" s="2">
        <v>1</v>
      </c>
      <c r="C1097" s="2">
        <v>5</v>
      </c>
      <c r="D1097" s="2">
        <v>2020</v>
      </c>
      <c r="E1097" s="2">
        <v>0</v>
      </c>
      <c r="F1097" s="2">
        <v>127.72</v>
      </c>
      <c r="H1097" s="1">
        <f>_xlfn.XLOOKUP('Data Source 1_customer readings'!A1097,'Data Source 1_customer readings'!A1097:A3495,'Data Source 1_customer readings'!J1097:J3495)</f>
        <v>0</v>
      </c>
    </row>
    <row r="1098" spans="1:8" x14ac:dyDescent="0.2">
      <c r="A1098" s="2" t="s">
        <v>15</v>
      </c>
      <c r="B1098" s="2">
        <v>5</v>
      </c>
      <c r="C1098" s="2">
        <v>7</v>
      </c>
      <c r="D1098" s="2">
        <v>2020</v>
      </c>
      <c r="E1098" s="2">
        <v>0</v>
      </c>
      <c r="F1098" s="2">
        <v>127.72</v>
      </c>
      <c r="H1098" s="1">
        <f>_xlfn.XLOOKUP('Data Source 1_customer readings'!A1098,'Data Source 1_customer readings'!A1098:A3496,'Data Source 1_customer readings'!J1098:J3496)</f>
        <v>0</v>
      </c>
    </row>
    <row r="1099" spans="1:8" x14ac:dyDescent="0.2">
      <c r="A1099" s="2" t="s">
        <v>14</v>
      </c>
      <c r="B1099" s="2">
        <v>10</v>
      </c>
      <c r="C1099" s="2">
        <v>8</v>
      </c>
      <c r="D1099" s="2">
        <v>2020</v>
      </c>
      <c r="E1099" s="2">
        <v>0</v>
      </c>
      <c r="F1099" s="2">
        <v>127.41</v>
      </c>
      <c r="H1099" s="1">
        <f>_xlfn.XLOOKUP('Data Source 1_customer readings'!A1099,'Data Source 1_customer readings'!A1099:A3497,'Data Source 1_customer readings'!J1099:J3497)</f>
        <v>0</v>
      </c>
    </row>
    <row r="1100" spans="1:8" x14ac:dyDescent="0.2">
      <c r="A1100" s="2" t="s">
        <v>5</v>
      </c>
      <c r="B1100" s="2">
        <v>7</v>
      </c>
      <c r="C1100" s="2">
        <v>2</v>
      </c>
      <c r="D1100" s="2">
        <v>2020</v>
      </c>
      <c r="E1100" s="2">
        <v>0</v>
      </c>
      <c r="F1100" s="2">
        <v>127.12</v>
      </c>
      <c r="H1100" s="1">
        <f>_xlfn.XLOOKUP('Data Source 1_customer readings'!A1100,'Data Source 1_customer readings'!A1100:A3498,'Data Source 1_customer readings'!J1100:J3498)</f>
        <v>0</v>
      </c>
    </row>
    <row r="1101" spans="1:8" x14ac:dyDescent="0.2">
      <c r="A1101" s="2" t="s">
        <v>22</v>
      </c>
      <c r="B1101" s="2">
        <v>22</v>
      </c>
      <c r="C1101" s="2">
        <v>7</v>
      </c>
      <c r="D1101" s="2">
        <v>2020</v>
      </c>
      <c r="E1101" s="2">
        <v>0</v>
      </c>
      <c r="F1101" s="2">
        <v>127.1</v>
      </c>
      <c r="H1101" s="1">
        <f>_xlfn.XLOOKUP('Data Source 1_customer readings'!A1101,'Data Source 1_customer readings'!A1101:A3499,'Data Source 1_customer readings'!J1101:J3499)</f>
        <v>0</v>
      </c>
    </row>
    <row r="1102" spans="1:8" x14ac:dyDescent="0.2">
      <c r="A1102" s="2" t="s">
        <v>9</v>
      </c>
      <c r="B1102" s="2">
        <v>22</v>
      </c>
      <c r="C1102" s="2">
        <v>4</v>
      </c>
      <c r="D1102" s="2">
        <v>2020</v>
      </c>
      <c r="E1102" s="2">
        <v>0</v>
      </c>
      <c r="F1102" s="2">
        <v>126.9</v>
      </c>
      <c r="H1102" s="1">
        <f>_xlfn.XLOOKUP('Data Source 1_customer readings'!A1102,'Data Source 1_customer readings'!A1102:A3500,'Data Source 1_customer readings'!J1102:J3500)</f>
        <v>0</v>
      </c>
    </row>
    <row r="1103" spans="1:8" x14ac:dyDescent="0.2">
      <c r="A1103" s="2" t="s">
        <v>7</v>
      </c>
      <c r="B1103" s="2">
        <v>20</v>
      </c>
      <c r="C1103" s="2">
        <v>8</v>
      </c>
      <c r="D1103" s="2">
        <v>2020</v>
      </c>
      <c r="E1103" s="2">
        <v>0</v>
      </c>
      <c r="F1103" s="2">
        <v>126.79</v>
      </c>
      <c r="H1103" s="1">
        <f>_xlfn.XLOOKUP('Data Source 1_customer readings'!A1103,'Data Source 1_customer readings'!A1103:A3501,'Data Source 1_customer readings'!J1103:J3501)</f>
        <v>0</v>
      </c>
    </row>
    <row r="1104" spans="1:8" x14ac:dyDescent="0.2">
      <c r="A1104" s="2" t="s">
        <v>27</v>
      </c>
      <c r="B1104" s="2">
        <v>1</v>
      </c>
      <c r="C1104" s="2">
        <v>6</v>
      </c>
      <c r="D1104" s="2">
        <v>2020</v>
      </c>
      <c r="E1104" s="2">
        <v>0</v>
      </c>
      <c r="F1104" s="2">
        <v>126.6</v>
      </c>
      <c r="H1104" s="1">
        <f>_xlfn.XLOOKUP('Data Source 1_customer readings'!A1104,'Data Source 1_customer readings'!A1104:A3502,'Data Source 1_customer readings'!J1104:J3502)</f>
        <v>0</v>
      </c>
    </row>
    <row r="1105" spans="1:8" x14ac:dyDescent="0.2">
      <c r="A1105" s="2" t="s">
        <v>13</v>
      </c>
      <c r="B1105" s="2">
        <v>7</v>
      </c>
      <c r="C1105" s="2">
        <v>7</v>
      </c>
      <c r="D1105" s="2">
        <v>2020</v>
      </c>
      <c r="E1105" s="2">
        <v>0</v>
      </c>
      <c r="F1105" s="2">
        <v>126.17</v>
      </c>
      <c r="H1105" s="1">
        <f>_xlfn.XLOOKUP('Data Source 1_customer readings'!A1105,'Data Source 1_customer readings'!A1105:A3503,'Data Source 1_customer readings'!J1105:J3503)</f>
        <v>0</v>
      </c>
    </row>
    <row r="1106" spans="1:8" x14ac:dyDescent="0.2">
      <c r="A1106" s="2" t="s">
        <v>22</v>
      </c>
      <c r="B1106" s="2">
        <v>22</v>
      </c>
      <c r="C1106" s="2">
        <v>9</v>
      </c>
      <c r="D1106" s="2">
        <v>2020</v>
      </c>
      <c r="E1106" s="2">
        <v>0</v>
      </c>
      <c r="F1106" s="2">
        <v>126</v>
      </c>
      <c r="H1106" s="1">
        <f>_xlfn.XLOOKUP('Data Source 1_customer readings'!A1106,'Data Source 1_customer readings'!A1106:A3504,'Data Source 1_customer readings'!J1106:J3504)</f>
        <v>0</v>
      </c>
    </row>
    <row r="1107" spans="1:8" x14ac:dyDescent="0.2">
      <c r="A1107" s="2" t="s">
        <v>18</v>
      </c>
      <c r="B1107" s="2">
        <v>5</v>
      </c>
      <c r="C1107" s="2">
        <v>7</v>
      </c>
      <c r="D1107" s="2">
        <v>2020</v>
      </c>
      <c r="E1107" s="2">
        <v>0</v>
      </c>
      <c r="F1107" s="2">
        <v>125.86</v>
      </c>
      <c r="H1107" s="1">
        <f>_xlfn.XLOOKUP('Data Source 1_customer readings'!A1107,'Data Source 1_customer readings'!A1107:A3505,'Data Source 1_customer readings'!J1107:J3505)</f>
        <v>0</v>
      </c>
    </row>
    <row r="1108" spans="1:8" x14ac:dyDescent="0.2">
      <c r="A1108" s="2" t="s">
        <v>9</v>
      </c>
      <c r="B1108" s="2">
        <v>22</v>
      </c>
      <c r="C1108" s="2">
        <v>3</v>
      </c>
      <c r="D1108" s="2">
        <v>2020</v>
      </c>
      <c r="E1108" s="2">
        <v>0</v>
      </c>
      <c r="F1108" s="2">
        <v>125.55</v>
      </c>
      <c r="H1108" s="1">
        <f>_xlfn.XLOOKUP('Data Source 1_customer readings'!A1108,'Data Source 1_customer readings'!A1108:A3506,'Data Source 1_customer readings'!J1108:J3506)</f>
        <v>0</v>
      </c>
    </row>
    <row r="1109" spans="1:8" x14ac:dyDescent="0.2">
      <c r="A1109" s="2" t="s">
        <v>26</v>
      </c>
      <c r="B1109" s="2">
        <v>22</v>
      </c>
      <c r="C1109" s="2">
        <v>7</v>
      </c>
      <c r="D1109" s="2">
        <v>2020</v>
      </c>
      <c r="E1109" s="2">
        <v>0</v>
      </c>
      <c r="F1109" s="2">
        <v>125.55</v>
      </c>
      <c r="H1109" s="1">
        <f>_xlfn.XLOOKUP('Data Source 1_customer readings'!A1109,'Data Source 1_customer readings'!A1109:A3507,'Data Source 1_customer readings'!J1109:J3507)</f>
        <v>0</v>
      </c>
    </row>
    <row r="1110" spans="1:8" x14ac:dyDescent="0.2">
      <c r="A1110" s="2" t="s">
        <v>16</v>
      </c>
      <c r="B1110" s="2">
        <v>14</v>
      </c>
      <c r="C1110" s="2">
        <v>4</v>
      </c>
      <c r="D1110" s="2">
        <v>2020</v>
      </c>
      <c r="E1110" s="2">
        <v>0</v>
      </c>
      <c r="F1110" s="2">
        <v>125.1</v>
      </c>
      <c r="H1110" s="1">
        <f>_xlfn.XLOOKUP('Data Source 1_customer readings'!A1110,'Data Source 1_customer readings'!A1110:A3508,'Data Source 1_customer readings'!J1110:J3508)</f>
        <v>0</v>
      </c>
    </row>
    <row r="1111" spans="1:8" x14ac:dyDescent="0.2">
      <c r="A1111" s="2" t="s">
        <v>27</v>
      </c>
      <c r="B1111" s="2">
        <v>1</v>
      </c>
      <c r="C1111" s="2">
        <v>9</v>
      </c>
      <c r="D1111" s="2">
        <v>2020</v>
      </c>
      <c r="E1111" s="2">
        <v>0</v>
      </c>
      <c r="F1111" s="2">
        <v>125.1</v>
      </c>
      <c r="H1111" s="1">
        <f>_xlfn.XLOOKUP('Data Source 1_customer readings'!A1111,'Data Source 1_customer readings'!A1111:A3509,'Data Source 1_customer readings'!J1111:J3509)</f>
        <v>0</v>
      </c>
    </row>
    <row r="1112" spans="1:8" x14ac:dyDescent="0.2">
      <c r="A1112" s="2" t="s">
        <v>14</v>
      </c>
      <c r="B1112" s="2">
        <v>10</v>
      </c>
      <c r="C1112" s="2">
        <v>5</v>
      </c>
      <c r="D1112" s="2">
        <v>2020</v>
      </c>
      <c r="E1112" s="2">
        <v>0</v>
      </c>
      <c r="F1112" s="2">
        <v>124.93</v>
      </c>
      <c r="H1112" s="1">
        <f>_xlfn.XLOOKUP('Data Source 1_customer readings'!A1112,'Data Source 1_customer readings'!A1112:A3510,'Data Source 1_customer readings'!J1112:J3510)</f>
        <v>0</v>
      </c>
    </row>
    <row r="1113" spans="1:8" x14ac:dyDescent="0.2">
      <c r="A1113" s="2" t="s">
        <v>6</v>
      </c>
      <c r="B1113" s="2">
        <v>7</v>
      </c>
      <c r="C1113" s="2">
        <v>10</v>
      </c>
      <c r="D1113" s="2">
        <v>2020</v>
      </c>
      <c r="E1113" s="2">
        <v>0</v>
      </c>
      <c r="F1113" s="2">
        <v>124.62</v>
      </c>
      <c r="H1113" s="1">
        <f>_xlfn.XLOOKUP('Data Source 1_customer readings'!A1113,'Data Source 1_customer readings'!A1113:A3511,'Data Source 1_customer readings'!J1113:J3511)</f>
        <v>0</v>
      </c>
    </row>
    <row r="1114" spans="1:8" x14ac:dyDescent="0.2">
      <c r="A1114" s="2" t="s">
        <v>7</v>
      </c>
      <c r="B1114" s="2">
        <v>20</v>
      </c>
      <c r="C1114" s="2">
        <v>5</v>
      </c>
      <c r="D1114" s="2">
        <v>2020</v>
      </c>
      <c r="E1114" s="2">
        <v>0</v>
      </c>
      <c r="F1114" s="2">
        <v>124.31</v>
      </c>
      <c r="H1114" s="1">
        <f>_xlfn.XLOOKUP('Data Source 1_customer readings'!A1114,'Data Source 1_customer readings'!A1114:A3512,'Data Source 1_customer readings'!J1114:J3512)</f>
        <v>0</v>
      </c>
    </row>
    <row r="1115" spans="1:8" x14ac:dyDescent="0.2">
      <c r="A1115" s="2" t="s">
        <v>8</v>
      </c>
      <c r="B1115" s="2">
        <v>5</v>
      </c>
      <c r="C1115" s="2">
        <v>8</v>
      </c>
      <c r="D1115" s="2">
        <v>2020</v>
      </c>
      <c r="E1115" s="2">
        <v>0</v>
      </c>
      <c r="F1115" s="2">
        <v>124.31</v>
      </c>
      <c r="H1115" s="1">
        <f>_xlfn.XLOOKUP('Data Source 1_customer readings'!A1115,'Data Source 1_customer readings'!A1115:A3513,'Data Source 1_customer readings'!J1115:J3513)</f>
        <v>0</v>
      </c>
    </row>
    <row r="1116" spans="1:8" x14ac:dyDescent="0.2">
      <c r="A1116" s="2" t="s">
        <v>12</v>
      </c>
      <c r="B1116" s="2">
        <v>2</v>
      </c>
      <c r="C1116" s="2">
        <v>4</v>
      </c>
      <c r="D1116" s="2">
        <v>2020</v>
      </c>
      <c r="E1116" s="2">
        <v>0</v>
      </c>
      <c r="F1116" s="2">
        <v>124.2</v>
      </c>
      <c r="H1116" s="1">
        <f>_xlfn.XLOOKUP('Data Source 1_customer readings'!A1116,'Data Source 1_customer readings'!A1116:A3514,'Data Source 1_customer readings'!J1116:J3514)</f>
        <v>0</v>
      </c>
    </row>
    <row r="1117" spans="1:8" x14ac:dyDescent="0.2">
      <c r="A1117" s="2" t="s">
        <v>3</v>
      </c>
      <c r="B1117" s="2">
        <v>25</v>
      </c>
      <c r="C1117" s="2">
        <v>4</v>
      </c>
      <c r="D1117" s="2">
        <v>2020</v>
      </c>
      <c r="E1117" s="2">
        <v>0</v>
      </c>
      <c r="F1117" s="2">
        <v>123.9</v>
      </c>
      <c r="H1117" s="1">
        <f>_xlfn.XLOOKUP('Data Source 1_customer readings'!A1117,'Data Source 1_customer readings'!A1117:A3515,'Data Source 1_customer readings'!J1117:J3515)</f>
        <v>0</v>
      </c>
    </row>
    <row r="1118" spans="1:8" x14ac:dyDescent="0.2">
      <c r="A1118" s="2" t="s">
        <v>18</v>
      </c>
      <c r="B1118" s="2">
        <v>5</v>
      </c>
      <c r="C1118" s="2">
        <v>9</v>
      </c>
      <c r="D1118" s="2">
        <v>2020</v>
      </c>
      <c r="E1118" s="2">
        <v>0</v>
      </c>
      <c r="F1118" s="2">
        <v>123.6</v>
      </c>
      <c r="H1118" s="1">
        <f>_xlfn.XLOOKUP('Data Source 1_customer readings'!A1118,'Data Source 1_customer readings'!A1118:A3516,'Data Source 1_customer readings'!J1118:J3516)</f>
        <v>0</v>
      </c>
    </row>
    <row r="1119" spans="1:8" x14ac:dyDescent="0.2">
      <c r="A1119" s="2" t="s">
        <v>20</v>
      </c>
      <c r="B1119" s="2">
        <v>12</v>
      </c>
      <c r="C1119" s="2">
        <v>5</v>
      </c>
      <c r="D1119" s="2">
        <v>2020</v>
      </c>
      <c r="E1119" s="2">
        <v>0</v>
      </c>
      <c r="F1119" s="2">
        <v>123.38</v>
      </c>
      <c r="H1119" s="1">
        <f>_xlfn.XLOOKUP('Data Source 1_customer readings'!A1119,'Data Source 1_customer readings'!A1119:A3517,'Data Source 1_customer readings'!J1119:J3517)</f>
        <v>0</v>
      </c>
    </row>
    <row r="1120" spans="1:8" x14ac:dyDescent="0.2">
      <c r="A1120" s="2" t="s">
        <v>7</v>
      </c>
      <c r="B1120" s="2">
        <v>20</v>
      </c>
      <c r="C1120" s="2">
        <v>7</v>
      </c>
      <c r="D1120" s="2">
        <v>2020</v>
      </c>
      <c r="E1120" s="2">
        <v>0</v>
      </c>
      <c r="F1120" s="2">
        <v>123.38</v>
      </c>
      <c r="H1120" s="1">
        <f>_xlfn.XLOOKUP('Data Source 1_customer readings'!A1120,'Data Source 1_customer readings'!A1120:A3518,'Data Source 1_customer readings'!J1120:J3518)</f>
        <v>0</v>
      </c>
    </row>
    <row r="1121" spans="1:8" x14ac:dyDescent="0.2">
      <c r="A1121" s="2" t="s">
        <v>23</v>
      </c>
      <c r="B1121" s="2">
        <v>5</v>
      </c>
      <c r="C1121" s="2">
        <v>8</v>
      </c>
      <c r="D1121" s="2">
        <v>2020</v>
      </c>
      <c r="E1121" s="2">
        <v>0</v>
      </c>
      <c r="F1121" s="2">
        <v>123.38</v>
      </c>
      <c r="H1121" s="1">
        <f>_xlfn.XLOOKUP('Data Source 1_customer readings'!A1121,'Data Source 1_customer readings'!A1121:A3519,'Data Source 1_customer readings'!J1121:J3519)</f>
        <v>0</v>
      </c>
    </row>
    <row r="1122" spans="1:8" x14ac:dyDescent="0.2">
      <c r="A1122" s="2" t="s">
        <v>2</v>
      </c>
      <c r="B1122" s="2">
        <v>18</v>
      </c>
      <c r="C1122" s="2">
        <v>3</v>
      </c>
      <c r="D1122" s="2">
        <v>2020</v>
      </c>
      <c r="E1122" s="2">
        <v>0</v>
      </c>
      <c r="F1122" s="2">
        <v>122.45</v>
      </c>
      <c r="H1122" s="1">
        <f>_xlfn.XLOOKUP('Data Source 1_customer readings'!A1122,'Data Source 1_customer readings'!A1122:A3520,'Data Source 1_customer readings'!J1122:J3520)</f>
        <v>0</v>
      </c>
    </row>
    <row r="1123" spans="1:8" x14ac:dyDescent="0.2">
      <c r="A1123" s="2" t="s">
        <v>17</v>
      </c>
      <c r="B1123" s="2">
        <v>8</v>
      </c>
      <c r="C1123" s="2">
        <v>5</v>
      </c>
      <c r="D1123" s="2">
        <v>2020</v>
      </c>
      <c r="E1123" s="2">
        <v>0</v>
      </c>
      <c r="F1123" s="2">
        <v>122.45</v>
      </c>
      <c r="H1123" s="1">
        <f>_xlfn.XLOOKUP('Data Source 1_customer readings'!A1123,'Data Source 1_customer readings'!A1123:A3521,'Data Source 1_customer readings'!J1123:J3521)</f>
        <v>0</v>
      </c>
    </row>
    <row r="1124" spans="1:8" x14ac:dyDescent="0.2">
      <c r="A1124" s="2" t="s">
        <v>23</v>
      </c>
      <c r="B1124" s="2">
        <v>5</v>
      </c>
      <c r="C1124" s="2">
        <v>6</v>
      </c>
      <c r="D1124" s="2">
        <v>2020</v>
      </c>
      <c r="E1124" s="2">
        <v>0</v>
      </c>
      <c r="F1124" s="2">
        <v>122.1</v>
      </c>
      <c r="H1124" s="1">
        <f>_xlfn.XLOOKUP('Data Source 1_customer readings'!A1124,'Data Source 1_customer readings'!A1124:A3522,'Data Source 1_customer readings'!J1124:J3522)</f>
        <v>0</v>
      </c>
    </row>
    <row r="1125" spans="1:8" x14ac:dyDescent="0.2">
      <c r="A1125" s="2" t="s">
        <v>2</v>
      </c>
      <c r="B1125" s="2">
        <v>18</v>
      </c>
      <c r="C1125" s="2">
        <v>4</v>
      </c>
      <c r="D1125" s="2">
        <v>2020</v>
      </c>
      <c r="E1125" s="2">
        <v>0</v>
      </c>
      <c r="F1125" s="2">
        <v>121.8</v>
      </c>
      <c r="H1125" s="1">
        <f>_xlfn.XLOOKUP('Data Source 1_customer readings'!A1125,'Data Source 1_customer readings'!A1125:A3523,'Data Source 1_customer readings'!J1125:J3523)</f>
        <v>0</v>
      </c>
    </row>
    <row r="1126" spans="1:8" x14ac:dyDescent="0.2">
      <c r="A1126" s="2" t="s">
        <v>9</v>
      </c>
      <c r="B1126" s="2">
        <v>22</v>
      </c>
      <c r="C1126" s="2">
        <v>5</v>
      </c>
      <c r="D1126" s="2">
        <v>2020</v>
      </c>
      <c r="E1126" s="2">
        <v>0</v>
      </c>
      <c r="F1126" s="2">
        <v>121.52</v>
      </c>
      <c r="H1126" s="1">
        <f>_xlfn.XLOOKUP('Data Source 1_customer readings'!A1126,'Data Source 1_customer readings'!A1126:A3524,'Data Source 1_customer readings'!J1126:J3524)</f>
        <v>0</v>
      </c>
    </row>
    <row r="1127" spans="1:8" x14ac:dyDescent="0.2">
      <c r="A1127" s="2" t="s">
        <v>17</v>
      </c>
      <c r="B1127" s="2">
        <v>8</v>
      </c>
      <c r="C1127" s="2">
        <v>9</v>
      </c>
      <c r="D1127" s="2">
        <v>2020</v>
      </c>
      <c r="E1127" s="2">
        <v>0</v>
      </c>
      <c r="F1127" s="2">
        <v>121.2</v>
      </c>
      <c r="H1127" s="1">
        <f>_xlfn.XLOOKUP('Data Source 1_customer readings'!A1127,'Data Source 1_customer readings'!A1127:A3525,'Data Source 1_customer readings'!J1127:J3525)</f>
        <v>0</v>
      </c>
    </row>
    <row r="1128" spans="1:8" x14ac:dyDescent="0.2">
      <c r="A1128" s="2" t="s">
        <v>5</v>
      </c>
      <c r="B1128" s="2">
        <v>7</v>
      </c>
      <c r="C1128" s="2">
        <v>4</v>
      </c>
      <c r="D1128" s="2">
        <v>2020</v>
      </c>
      <c r="E1128" s="2">
        <v>0</v>
      </c>
      <c r="F1128" s="2">
        <v>120.9</v>
      </c>
      <c r="H1128" s="1">
        <f>_xlfn.XLOOKUP('Data Source 1_customer readings'!A1128,'Data Source 1_customer readings'!A1128:A3526,'Data Source 1_customer readings'!J1128:J3526)</f>
        <v>0</v>
      </c>
    </row>
    <row r="1129" spans="1:8" x14ac:dyDescent="0.2">
      <c r="A1129" s="2" t="s">
        <v>19</v>
      </c>
      <c r="B1129" s="2">
        <v>24</v>
      </c>
      <c r="C1129" s="2">
        <v>7</v>
      </c>
      <c r="D1129" s="2">
        <v>2020</v>
      </c>
      <c r="E1129" s="2">
        <v>0</v>
      </c>
      <c r="F1129" s="2">
        <v>120.59</v>
      </c>
      <c r="H1129" s="1">
        <f>_xlfn.XLOOKUP('Data Source 1_customer readings'!A1129,'Data Source 1_customer readings'!A1129:A3527,'Data Source 1_customer readings'!J1129:J3527)</f>
        <v>0</v>
      </c>
    </row>
    <row r="1130" spans="1:8" x14ac:dyDescent="0.2">
      <c r="A1130" s="2" t="s">
        <v>21</v>
      </c>
      <c r="B1130" s="2">
        <v>15</v>
      </c>
      <c r="C1130" s="2">
        <v>9</v>
      </c>
      <c r="D1130" s="2">
        <v>2020</v>
      </c>
      <c r="E1130" s="2">
        <v>0</v>
      </c>
      <c r="F1130" s="2">
        <v>120</v>
      </c>
      <c r="H1130" s="1">
        <f>_xlfn.XLOOKUP('Data Source 1_customer readings'!A1130,'Data Source 1_customer readings'!A1130:A3528,'Data Source 1_customer readings'!J1130:J3528)</f>
        <v>0</v>
      </c>
    </row>
    <row r="1131" spans="1:8" x14ac:dyDescent="0.2">
      <c r="A1131" s="2" t="s">
        <v>23</v>
      </c>
      <c r="B1131" s="2">
        <v>5</v>
      </c>
      <c r="C1131" s="2">
        <v>7</v>
      </c>
      <c r="D1131" s="2">
        <v>2020</v>
      </c>
      <c r="E1131" s="2">
        <v>0</v>
      </c>
      <c r="F1131" s="2">
        <v>119.66</v>
      </c>
      <c r="H1131" s="1">
        <f>_xlfn.XLOOKUP('Data Source 1_customer readings'!A1131,'Data Source 1_customer readings'!A1131:A3529,'Data Source 1_customer readings'!J1131:J3529)</f>
        <v>0</v>
      </c>
    </row>
    <row r="1132" spans="1:8" x14ac:dyDescent="0.2">
      <c r="A1132" s="2" t="s">
        <v>10</v>
      </c>
      <c r="B1132" s="2">
        <v>18</v>
      </c>
      <c r="C1132" s="2">
        <v>8</v>
      </c>
      <c r="D1132" s="2">
        <v>2020</v>
      </c>
      <c r="E1132" s="2">
        <v>0</v>
      </c>
      <c r="F1132" s="2">
        <v>119.66</v>
      </c>
      <c r="H1132" s="1">
        <f>_xlfn.XLOOKUP('Data Source 1_customer readings'!A1132,'Data Source 1_customer readings'!A1132:A3530,'Data Source 1_customer readings'!J1132:J3530)</f>
        <v>0</v>
      </c>
    </row>
    <row r="1133" spans="1:8" x14ac:dyDescent="0.2">
      <c r="A1133" s="2" t="s">
        <v>19</v>
      </c>
      <c r="B1133" s="2">
        <v>24</v>
      </c>
      <c r="C1133" s="2">
        <v>6</v>
      </c>
      <c r="D1133" s="2">
        <v>2020</v>
      </c>
      <c r="E1133" s="2">
        <v>0</v>
      </c>
      <c r="F1133" s="2">
        <v>118.8</v>
      </c>
      <c r="H1133" s="1">
        <f>_xlfn.XLOOKUP('Data Source 1_customer readings'!A1133,'Data Source 1_customer readings'!A1133:A3531,'Data Source 1_customer readings'!J1133:J3531)</f>
        <v>0</v>
      </c>
    </row>
    <row r="1134" spans="1:8" x14ac:dyDescent="0.2">
      <c r="A1134" s="2" t="s">
        <v>10</v>
      </c>
      <c r="B1134" s="2">
        <v>18</v>
      </c>
      <c r="C1134" s="2">
        <v>7</v>
      </c>
      <c r="D1134" s="2">
        <v>2020</v>
      </c>
      <c r="E1134" s="2">
        <v>0</v>
      </c>
      <c r="F1134" s="2">
        <v>118.73</v>
      </c>
      <c r="H1134" s="1">
        <f>_xlfn.XLOOKUP('Data Source 1_customer readings'!A1134,'Data Source 1_customer readings'!A1134:A3532,'Data Source 1_customer readings'!J1134:J3532)</f>
        <v>0</v>
      </c>
    </row>
    <row r="1135" spans="1:8" x14ac:dyDescent="0.2">
      <c r="A1135" s="2" t="s">
        <v>1</v>
      </c>
      <c r="B1135" s="2">
        <v>21</v>
      </c>
      <c r="C1135" s="2">
        <v>3</v>
      </c>
      <c r="D1135" s="2">
        <v>2020</v>
      </c>
      <c r="E1135" s="2">
        <v>0</v>
      </c>
      <c r="F1135" s="2">
        <v>117.8</v>
      </c>
      <c r="H1135" s="1">
        <f>_xlfn.XLOOKUP('Data Source 1_customer readings'!A1135,'Data Source 1_customer readings'!A1135:A3533,'Data Source 1_customer readings'!J1135:J3533)</f>
        <v>0</v>
      </c>
    </row>
    <row r="1136" spans="1:8" x14ac:dyDescent="0.2">
      <c r="A1136" s="2" t="s">
        <v>21</v>
      </c>
      <c r="B1136" s="2">
        <v>15</v>
      </c>
      <c r="C1136" s="2">
        <v>6</v>
      </c>
      <c r="D1136" s="2">
        <v>2020</v>
      </c>
      <c r="E1136" s="2">
        <v>0</v>
      </c>
      <c r="F1136" s="2">
        <v>117.3</v>
      </c>
      <c r="H1136" s="1">
        <f>_xlfn.XLOOKUP('Data Source 1_customer readings'!A1136,'Data Source 1_customer readings'!A1136:A3534,'Data Source 1_customer readings'!J1136:J3534)</f>
        <v>0</v>
      </c>
    </row>
    <row r="1137" spans="1:8" x14ac:dyDescent="0.2">
      <c r="A1137" s="2" t="s">
        <v>19</v>
      </c>
      <c r="B1137" s="2">
        <v>24</v>
      </c>
      <c r="C1137" s="2">
        <v>5</v>
      </c>
      <c r="D1137" s="2">
        <v>2020</v>
      </c>
      <c r="E1137" s="2">
        <v>0</v>
      </c>
      <c r="F1137" s="2">
        <v>117.18</v>
      </c>
      <c r="H1137" s="1">
        <f>_xlfn.XLOOKUP('Data Source 1_customer readings'!A1137,'Data Source 1_customer readings'!A1137:A3535,'Data Source 1_customer readings'!J1137:J3535)</f>
        <v>0</v>
      </c>
    </row>
    <row r="1138" spans="1:8" x14ac:dyDescent="0.2">
      <c r="A1138" s="2" t="s">
        <v>16</v>
      </c>
      <c r="B1138" s="2">
        <v>14</v>
      </c>
      <c r="C1138" s="2">
        <v>7</v>
      </c>
      <c r="D1138" s="2">
        <v>2020</v>
      </c>
      <c r="E1138" s="2">
        <v>0</v>
      </c>
      <c r="F1138" s="2">
        <v>116.87</v>
      </c>
      <c r="H1138" s="1">
        <f>_xlfn.XLOOKUP('Data Source 1_customer readings'!A1138,'Data Source 1_customer readings'!A1138:A3536,'Data Source 1_customer readings'!J1138:J3536)</f>
        <v>0</v>
      </c>
    </row>
    <row r="1139" spans="1:8" x14ac:dyDescent="0.2">
      <c r="A1139" s="2" t="s">
        <v>14</v>
      </c>
      <c r="B1139" s="2">
        <v>10</v>
      </c>
      <c r="C1139" s="2">
        <v>9</v>
      </c>
      <c r="D1139" s="2">
        <v>2020</v>
      </c>
      <c r="E1139" s="2">
        <v>0</v>
      </c>
      <c r="F1139" s="2">
        <v>116.7</v>
      </c>
      <c r="H1139" s="1">
        <f>_xlfn.XLOOKUP('Data Source 1_customer readings'!A1139,'Data Source 1_customer readings'!A1139:A3537,'Data Source 1_customer readings'!J1139:J3537)</f>
        <v>0</v>
      </c>
    </row>
    <row r="1140" spans="1:8" x14ac:dyDescent="0.2">
      <c r="A1140" s="2" t="s">
        <v>11</v>
      </c>
      <c r="B1140" s="2">
        <v>15</v>
      </c>
      <c r="C1140" s="2">
        <v>8</v>
      </c>
      <c r="D1140" s="2">
        <v>2020</v>
      </c>
      <c r="E1140" s="2">
        <v>0</v>
      </c>
      <c r="F1140" s="2">
        <v>116.56</v>
      </c>
      <c r="H1140" s="1">
        <f>_xlfn.XLOOKUP('Data Source 1_customer readings'!A1140,'Data Source 1_customer readings'!A1140:A3538,'Data Source 1_customer readings'!J1140:J3538)</f>
        <v>0</v>
      </c>
    </row>
    <row r="1141" spans="1:8" x14ac:dyDescent="0.2">
      <c r="A1141" s="2" t="s">
        <v>20</v>
      </c>
      <c r="B1141" s="2">
        <v>12</v>
      </c>
      <c r="C1141" s="2">
        <v>9</v>
      </c>
      <c r="D1141" s="2">
        <v>2020</v>
      </c>
      <c r="E1141" s="2">
        <v>0</v>
      </c>
      <c r="F1141" s="2">
        <v>116.4</v>
      </c>
      <c r="H1141" s="1">
        <f>_xlfn.XLOOKUP('Data Source 1_customer readings'!A1141,'Data Source 1_customer readings'!A1141:A3539,'Data Source 1_customer readings'!J1141:J3539)</f>
        <v>0</v>
      </c>
    </row>
    <row r="1142" spans="1:8" x14ac:dyDescent="0.2">
      <c r="A1142" s="2" t="s">
        <v>17</v>
      </c>
      <c r="B1142" s="2">
        <v>8</v>
      </c>
      <c r="C1142" s="2">
        <v>8</v>
      </c>
      <c r="D1142" s="2">
        <v>2020</v>
      </c>
      <c r="E1142" s="2">
        <v>0</v>
      </c>
      <c r="F1142" s="2">
        <v>115.94</v>
      </c>
      <c r="H1142" s="1">
        <f>_xlfn.XLOOKUP('Data Source 1_customer readings'!A1142,'Data Source 1_customer readings'!A1142:A3540,'Data Source 1_customer readings'!J1142:J3540)</f>
        <v>0</v>
      </c>
    </row>
    <row r="1143" spans="1:8" x14ac:dyDescent="0.2">
      <c r="A1143" s="2" t="s">
        <v>6</v>
      </c>
      <c r="B1143" s="2">
        <v>7</v>
      </c>
      <c r="C1143" s="2">
        <v>9</v>
      </c>
      <c r="D1143" s="2">
        <v>2020</v>
      </c>
      <c r="E1143" s="2">
        <v>0</v>
      </c>
      <c r="F1143" s="2">
        <v>114.6</v>
      </c>
      <c r="H1143" s="1">
        <f>_xlfn.XLOOKUP('Data Source 1_customer readings'!A1143,'Data Source 1_customer readings'!A1143:A3541,'Data Source 1_customer readings'!J1143:J3541)</f>
        <v>0</v>
      </c>
    </row>
    <row r="1144" spans="1:8" x14ac:dyDescent="0.2">
      <c r="A1144" s="2" t="s">
        <v>9</v>
      </c>
      <c r="B1144" s="2">
        <v>22</v>
      </c>
      <c r="C1144" s="2">
        <v>9</v>
      </c>
      <c r="D1144" s="2">
        <v>2020</v>
      </c>
      <c r="E1144" s="2">
        <v>0</v>
      </c>
      <c r="F1144" s="2">
        <v>114.3</v>
      </c>
      <c r="H1144" s="1">
        <f>_xlfn.XLOOKUP('Data Source 1_customer readings'!A1144,'Data Source 1_customer readings'!A1144:A3542,'Data Source 1_customer readings'!J1144:J3542)</f>
        <v>0</v>
      </c>
    </row>
    <row r="1145" spans="1:8" x14ac:dyDescent="0.2">
      <c r="A1145" s="2" t="s">
        <v>10</v>
      </c>
      <c r="B1145" s="2">
        <v>18</v>
      </c>
      <c r="C1145" s="2">
        <v>5</v>
      </c>
      <c r="D1145" s="2">
        <v>2020</v>
      </c>
      <c r="E1145" s="2">
        <v>0</v>
      </c>
      <c r="F1145" s="2">
        <v>114.08</v>
      </c>
      <c r="H1145" s="1">
        <f>_xlfn.XLOOKUP('Data Source 1_customer readings'!A1145,'Data Source 1_customer readings'!A1145:A3543,'Data Source 1_customer readings'!J1145:J3543)</f>
        <v>0</v>
      </c>
    </row>
    <row r="1146" spans="1:8" x14ac:dyDescent="0.2">
      <c r="A1146" s="2" t="s">
        <v>11</v>
      </c>
      <c r="B1146" s="2">
        <v>15</v>
      </c>
      <c r="C1146" s="2">
        <v>7</v>
      </c>
      <c r="D1146" s="2">
        <v>2020</v>
      </c>
      <c r="E1146" s="2">
        <v>0</v>
      </c>
      <c r="F1146" s="2">
        <v>114.08</v>
      </c>
      <c r="H1146" s="1">
        <f>_xlfn.XLOOKUP('Data Source 1_customer readings'!A1146,'Data Source 1_customer readings'!A1146:A3544,'Data Source 1_customer readings'!J1146:J3544)</f>
        <v>0</v>
      </c>
    </row>
    <row r="1147" spans="1:8" x14ac:dyDescent="0.2">
      <c r="A1147" s="2" t="s">
        <v>21</v>
      </c>
      <c r="B1147" s="2">
        <v>15</v>
      </c>
      <c r="C1147" s="2">
        <v>8</v>
      </c>
      <c r="D1147" s="2">
        <v>2020</v>
      </c>
      <c r="E1147" s="2">
        <v>0</v>
      </c>
      <c r="F1147" s="2">
        <v>114.08</v>
      </c>
      <c r="H1147" s="1">
        <f>_xlfn.XLOOKUP('Data Source 1_customer readings'!A1147,'Data Source 1_customer readings'!A1147:A3545,'Data Source 1_customer readings'!J1147:J3545)</f>
        <v>0</v>
      </c>
    </row>
    <row r="1148" spans="1:8" x14ac:dyDescent="0.2">
      <c r="A1148" s="2" t="s">
        <v>17</v>
      </c>
      <c r="B1148" s="2">
        <v>8</v>
      </c>
      <c r="C1148" s="2">
        <v>6</v>
      </c>
      <c r="D1148" s="2">
        <v>2020</v>
      </c>
      <c r="E1148" s="2">
        <v>0</v>
      </c>
      <c r="F1148" s="2">
        <v>114</v>
      </c>
      <c r="H1148" s="1">
        <f>_xlfn.XLOOKUP('Data Source 1_customer readings'!A1148,'Data Source 1_customer readings'!A1148:A3546,'Data Source 1_customer readings'!J1148:J3546)</f>
        <v>0</v>
      </c>
    </row>
    <row r="1149" spans="1:8" x14ac:dyDescent="0.2">
      <c r="A1149" s="2" t="s">
        <v>12</v>
      </c>
      <c r="B1149" s="2">
        <v>2</v>
      </c>
      <c r="C1149" s="2">
        <v>5</v>
      </c>
      <c r="D1149" s="2">
        <v>2020</v>
      </c>
      <c r="E1149" s="2">
        <v>0</v>
      </c>
      <c r="F1149" s="2">
        <v>113.77</v>
      </c>
      <c r="H1149" s="1">
        <f>_xlfn.XLOOKUP('Data Source 1_customer readings'!A1149,'Data Source 1_customer readings'!A1149:A3547,'Data Source 1_customer readings'!J1149:J3547)</f>
        <v>0</v>
      </c>
    </row>
    <row r="1150" spans="1:8" x14ac:dyDescent="0.2">
      <c r="A1150" s="2" t="s">
        <v>22</v>
      </c>
      <c r="B1150" s="2">
        <v>22</v>
      </c>
      <c r="C1150" s="2">
        <v>8</v>
      </c>
      <c r="D1150" s="2">
        <v>2020</v>
      </c>
      <c r="E1150" s="2">
        <v>0</v>
      </c>
      <c r="F1150" s="2">
        <v>113.15</v>
      </c>
      <c r="H1150" s="1">
        <f>_xlfn.XLOOKUP('Data Source 1_customer readings'!A1150,'Data Source 1_customer readings'!A1150:A3548,'Data Source 1_customer readings'!J1150:J3548)</f>
        <v>0</v>
      </c>
    </row>
    <row r="1151" spans="1:8" x14ac:dyDescent="0.2">
      <c r="A1151" s="2" t="s">
        <v>4</v>
      </c>
      <c r="B1151" s="2">
        <v>1</v>
      </c>
      <c r="C1151" s="2">
        <v>6</v>
      </c>
      <c r="D1151" s="2">
        <v>2020</v>
      </c>
      <c r="E1151" s="2">
        <v>0</v>
      </c>
      <c r="F1151" s="2">
        <v>113.1</v>
      </c>
      <c r="H1151" s="1">
        <f>_xlfn.XLOOKUP('Data Source 1_customer readings'!A1151,'Data Source 1_customer readings'!A1151:A3549,'Data Source 1_customer readings'!J1151:J3549)</f>
        <v>0</v>
      </c>
    </row>
    <row r="1152" spans="1:8" x14ac:dyDescent="0.2">
      <c r="A1152" s="2" t="s">
        <v>7</v>
      </c>
      <c r="B1152" s="2">
        <v>20</v>
      </c>
      <c r="C1152" s="2">
        <v>6</v>
      </c>
      <c r="D1152" s="2">
        <v>2020</v>
      </c>
      <c r="E1152" s="2">
        <v>0</v>
      </c>
      <c r="F1152" s="2">
        <v>112.5</v>
      </c>
      <c r="H1152" s="1">
        <f>_xlfn.XLOOKUP('Data Source 1_customer readings'!A1152,'Data Source 1_customer readings'!A1152:A3550,'Data Source 1_customer readings'!J1152:J3550)</f>
        <v>0</v>
      </c>
    </row>
    <row r="1153" spans="1:8" x14ac:dyDescent="0.2">
      <c r="A1153" s="2" t="s">
        <v>4</v>
      </c>
      <c r="B1153" s="2">
        <v>1</v>
      </c>
      <c r="C1153" s="2">
        <v>8</v>
      </c>
      <c r="D1153" s="2">
        <v>2020</v>
      </c>
      <c r="E1153" s="2">
        <v>0</v>
      </c>
      <c r="F1153" s="2">
        <v>112.22</v>
      </c>
      <c r="H1153" s="1">
        <f>_xlfn.XLOOKUP('Data Source 1_customer readings'!A1153,'Data Source 1_customer readings'!A1153:A3551,'Data Source 1_customer readings'!J1153:J3551)</f>
        <v>0</v>
      </c>
    </row>
    <row r="1154" spans="1:8" x14ac:dyDescent="0.2">
      <c r="A1154" s="2" t="s">
        <v>5</v>
      </c>
      <c r="B1154" s="2">
        <v>7</v>
      </c>
      <c r="C1154" s="2">
        <v>10</v>
      </c>
      <c r="D1154" s="2">
        <v>2020</v>
      </c>
      <c r="E1154" s="2">
        <v>0</v>
      </c>
      <c r="F1154" s="2">
        <v>111.91</v>
      </c>
      <c r="H1154" s="1">
        <f>_xlfn.XLOOKUP('Data Source 1_customer readings'!A1154,'Data Source 1_customer readings'!A1154:A3552,'Data Source 1_customer readings'!J1154:J3552)</f>
        <v>0</v>
      </c>
    </row>
    <row r="1155" spans="1:8" x14ac:dyDescent="0.2">
      <c r="A1155" s="2" t="s">
        <v>15</v>
      </c>
      <c r="B1155" s="2">
        <v>5</v>
      </c>
      <c r="C1155" s="2">
        <v>9</v>
      </c>
      <c r="D1155" s="2">
        <v>2020</v>
      </c>
      <c r="E1155" s="2">
        <v>0</v>
      </c>
      <c r="F1155" s="2">
        <v>111.9</v>
      </c>
      <c r="H1155" s="1">
        <f>_xlfn.XLOOKUP('Data Source 1_customer readings'!A1155,'Data Source 1_customer readings'!A1155:A3553,'Data Source 1_customer readings'!J1155:J3553)</f>
        <v>0</v>
      </c>
    </row>
    <row r="1156" spans="1:8" x14ac:dyDescent="0.2">
      <c r="A1156" s="2" t="s">
        <v>22</v>
      </c>
      <c r="B1156" s="2">
        <v>22</v>
      </c>
      <c r="C1156" s="2">
        <v>6</v>
      </c>
      <c r="D1156" s="2">
        <v>2020</v>
      </c>
      <c r="E1156" s="2">
        <v>0</v>
      </c>
      <c r="F1156" s="2">
        <v>111.6</v>
      </c>
      <c r="H1156" s="1">
        <f>_xlfn.XLOOKUP('Data Source 1_customer readings'!A1156,'Data Source 1_customer readings'!A1156:A3554,'Data Source 1_customer readings'!J1156:J3554)</f>
        <v>0</v>
      </c>
    </row>
    <row r="1157" spans="1:8" x14ac:dyDescent="0.2">
      <c r="A1157" s="2" t="s">
        <v>19</v>
      </c>
      <c r="B1157" s="2">
        <v>24</v>
      </c>
      <c r="C1157" s="2">
        <v>9</v>
      </c>
      <c r="D1157" s="2">
        <v>2020</v>
      </c>
      <c r="E1157" s="2">
        <v>0</v>
      </c>
      <c r="F1157" s="2">
        <v>111.6</v>
      </c>
      <c r="H1157" s="1">
        <f>_xlfn.XLOOKUP('Data Source 1_customer readings'!A1157,'Data Source 1_customer readings'!A1157:A3555,'Data Source 1_customer readings'!J1157:J3555)</f>
        <v>0</v>
      </c>
    </row>
    <row r="1158" spans="1:8" x14ac:dyDescent="0.2">
      <c r="A1158" s="2" t="s">
        <v>3</v>
      </c>
      <c r="B1158" s="2">
        <v>25</v>
      </c>
      <c r="C1158" s="2">
        <v>9</v>
      </c>
      <c r="D1158" s="2">
        <v>2020</v>
      </c>
      <c r="E1158" s="2">
        <v>0</v>
      </c>
      <c r="F1158" s="2">
        <v>111</v>
      </c>
      <c r="H1158" s="1">
        <f>_xlfn.XLOOKUP('Data Source 1_customer readings'!A1158,'Data Source 1_customer readings'!A1158:A3556,'Data Source 1_customer readings'!J1158:J3556)</f>
        <v>0</v>
      </c>
    </row>
    <row r="1159" spans="1:8" x14ac:dyDescent="0.2">
      <c r="A1159" s="2" t="s">
        <v>9</v>
      </c>
      <c r="B1159" s="2">
        <v>22</v>
      </c>
      <c r="C1159" s="2">
        <v>7</v>
      </c>
      <c r="D1159" s="2">
        <v>2020</v>
      </c>
      <c r="E1159" s="2">
        <v>0</v>
      </c>
      <c r="F1159" s="2">
        <v>110.98</v>
      </c>
      <c r="H1159" s="1">
        <f>_xlfn.XLOOKUP('Data Source 1_customer readings'!A1159,'Data Source 1_customer readings'!A1159:A3557,'Data Source 1_customer readings'!J1159:J3557)</f>
        <v>0</v>
      </c>
    </row>
    <row r="1160" spans="1:8" x14ac:dyDescent="0.2">
      <c r="A1160" s="2" t="s">
        <v>9</v>
      </c>
      <c r="B1160" s="2">
        <v>22</v>
      </c>
      <c r="C1160" s="2">
        <v>6</v>
      </c>
      <c r="D1160" s="2">
        <v>2020</v>
      </c>
      <c r="E1160" s="2">
        <v>0</v>
      </c>
      <c r="F1160" s="2">
        <v>110.7</v>
      </c>
      <c r="H1160" s="1">
        <f>_xlfn.XLOOKUP('Data Source 1_customer readings'!A1160,'Data Source 1_customer readings'!A1160:A3558,'Data Source 1_customer readings'!J1160:J3558)</f>
        <v>0</v>
      </c>
    </row>
    <row r="1161" spans="1:8" x14ac:dyDescent="0.2">
      <c r="A1161" s="2" t="s">
        <v>14</v>
      </c>
      <c r="B1161" s="2">
        <v>10</v>
      </c>
      <c r="C1161" s="2">
        <v>7</v>
      </c>
      <c r="D1161" s="2">
        <v>2020</v>
      </c>
      <c r="E1161" s="2">
        <v>0</v>
      </c>
      <c r="F1161" s="2">
        <v>110.05</v>
      </c>
      <c r="H1161" s="1">
        <f>_xlfn.XLOOKUP('Data Source 1_customer readings'!A1161,'Data Source 1_customer readings'!A1161:A3559,'Data Source 1_customer readings'!J1161:J3559)</f>
        <v>0</v>
      </c>
    </row>
    <row r="1162" spans="1:8" x14ac:dyDescent="0.2">
      <c r="A1162" s="2" t="s">
        <v>1</v>
      </c>
      <c r="B1162" s="2">
        <v>21</v>
      </c>
      <c r="C1162" s="2">
        <v>7</v>
      </c>
      <c r="D1162" s="2">
        <v>2020</v>
      </c>
      <c r="E1162" s="2">
        <v>0</v>
      </c>
      <c r="F1162" s="2">
        <v>110.05</v>
      </c>
      <c r="H1162" s="1">
        <f>_xlfn.XLOOKUP('Data Source 1_customer readings'!A1162,'Data Source 1_customer readings'!A1162:A3560,'Data Source 1_customer readings'!J1162:J3560)</f>
        <v>0</v>
      </c>
    </row>
    <row r="1163" spans="1:8" x14ac:dyDescent="0.2">
      <c r="A1163" s="2" t="s">
        <v>4</v>
      </c>
      <c r="B1163" s="2">
        <v>1</v>
      </c>
      <c r="C1163" s="2">
        <v>5</v>
      </c>
      <c r="D1163" s="2">
        <v>2020</v>
      </c>
      <c r="E1163" s="2">
        <v>0</v>
      </c>
      <c r="F1163" s="2">
        <v>109.74</v>
      </c>
      <c r="H1163" s="1">
        <f>_xlfn.XLOOKUP('Data Source 1_customer readings'!A1163,'Data Source 1_customer readings'!A1163:A3561,'Data Source 1_customer readings'!J1163:J3561)</f>
        <v>0</v>
      </c>
    </row>
    <row r="1164" spans="1:8" x14ac:dyDescent="0.2">
      <c r="A1164" s="2" t="s">
        <v>18</v>
      </c>
      <c r="B1164" s="2">
        <v>5</v>
      </c>
      <c r="C1164" s="2">
        <v>6</v>
      </c>
      <c r="D1164" s="2">
        <v>2020</v>
      </c>
      <c r="E1164" s="2">
        <v>0</v>
      </c>
      <c r="F1164" s="2">
        <v>109.5</v>
      </c>
      <c r="H1164" s="1">
        <f>_xlfn.XLOOKUP('Data Source 1_customer readings'!A1164,'Data Source 1_customer readings'!A1164:A3562,'Data Source 1_customer readings'!J1164:J3562)</f>
        <v>0</v>
      </c>
    </row>
    <row r="1165" spans="1:8" x14ac:dyDescent="0.2">
      <c r="A1165" s="2" t="s">
        <v>6</v>
      </c>
      <c r="B1165" s="2">
        <v>7</v>
      </c>
      <c r="C1165" s="2">
        <v>5</v>
      </c>
      <c r="D1165" s="2">
        <v>2020</v>
      </c>
      <c r="E1165" s="2">
        <v>0</v>
      </c>
      <c r="F1165" s="2">
        <v>109.43</v>
      </c>
      <c r="H1165" s="1">
        <f>_xlfn.XLOOKUP('Data Source 1_customer readings'!A1165,'Data Source 1_customer readings'!A1165:A3563,'Data Source 1_customer readings'!J1165:J3563)</f>
        <v>0</v>
      </c>
    </row>
    <row r="1166" spans="1:8" x14ac:dyDescent="0.2">
      <c r="A1166" s="2" t="s">
        <v>16</v>
      </c>
      <c r="B1166" s="2">
        <v>14</v>
      </c>
      <c r="C1166" s="2">
        <v>6</v>
      </c>
      <c r="D1166" s="2">
        <v>2020</v>
      </c>
      <c r="E1166" s="2">
        <v>0</v>
      </c>
      <c r="F1166" s="2">
        <v>108.9</v>
      </c>
      <c r="H1166" s="1">
        <f>_xlfn.XLOOKUP('Data Source 1_customer readings'!A1166,'Data Source 1_customer readings'!A1166:A3564,'Data Source 1_customer readings'!J1166:J3564)</f>
        <v>0</v>
      </c>
    </row>
    <row r="1167" spans="1:8" x14ac:dyDescent="0.2">
      <c r="A1167" s="2" t="s">
        <v>20</v>
      </c>
      <c r="B1167" s="2">
        <v>12</v>
      </c>
      <c r="C1167" s="2">
        <v>8</v>
      </c>
      <c r="D1167" s="2">
        <v>2020</v>
      </c>
      <c r="E1167" s="2">
        <v>0</v>
      </c>
      <c r="F1167" s="2">
        <v>108.5</v>
      </c>
      <c r="H1167" s="1">
        <f>_xlfn.XLOOKUP('Data Source 1_customer readings'!A1167,'Data Source 1_customer readings'!A1167:A3565,'Data Source 1_customer readings'!J1167:J3565)</f>
        <v>0</v>
      </c>
    </row>
    <row r="1168" spans="1:8" x14ac:dyDescent="0.2">
      <c r="A1168" s="2" t="s">
        <v>18</v>
      </c>
      <c r="B1168" s="2">
        <v>5</v>
      </c>
      <c r="C1168" s="2">
        <v>5</v>
      </c>
      <c r="D1168" s="2">
        <v>2020</v>
      </c>
      <c r="E1168" s="2">
        <v>0</v>
      </c>
      <c r="F1168" s="2">
        <v>108.19</v>
      </c>
      <c r="H1168" s="1">
        <f>_xlfn.XLOOKUP('Data Source 1_customer readings'!A1168,'Data Source 1_customer readings'!A1168:A3566,'Data Source 1_customer readings'!J1168:J3566)</f>
        <v>0</v>
      </c>
    </row>
    <row r="1169" spans="1:8" x14ac:dyDescent="0.2">
      <c r="A1169" s="2" t="s">
        <v>17</v>
      </c>
      <c r="B1169" s="2">
        <v>8</v>
      </c>
      <c r="C1169" s="2">
        <v>7</v>
      </c>
      <c r="D1169" s="2">
        <v>2020</v>
      </c>
      <c r="E1169" s="2">
        <v>0</v>
      </c>
      <c r="F1169" s="2">
        <v>108.19</v>
      </c>
      <c r="H1169" s="1">
        <f>_xlfn.XLOOKUP('Data Source 1_customer readings'!A1169,'Data Source 1_customer readings'!A1169:A3567,'Data Source 1_customer readings'!J1169:J3567)</f>
        <v>0</v>
      </c>
    </row>
    <row r="1170" spans="1:8" x14ac:dyDescent="0.2">
      <c r="A1170" s="2" t="s">
        <v>2</v>
      </c>
      <c r="B1170" s="2">
        <v>18</v>
      </c>
      <c r="C1170" s="2">
        <v>7</v>
      </c>
      <c r="D1170" s="2">
        <v>2020</v>
      </c>
      <c r="E1170" s="2">
        <v>0</v>
      </c>
      <c r="F1170" s="2">
        <v>108.19</v>
      </c>
      <c r="H1170" s="1">
        <f>_xlfn.XLOOKUP('Data Source 1_customer readings'!A1170,'Data Source 1_customer readings'!A1170:A3568,'Data Source 1_customer readings'!J1170:J3568)</f>
        <v>0</v>
      </c>
    </row>
    <row r="1171" spans="1:8" x14ac:dyDescent="0.2">
      <c r="A1171" s="2" t="s">
        <v>11</v>
      </c>
      <c r="B1171" s="2">
        <v>15</v>
      </c>
      <c r="C1171" s="2">
        <v>6</v>
      </c>
      <c r="D1171" s="2">
        <v>2020</v>
      </c>
      <c r="E1171" s="2">
        <v>0</v>
      </c>
      <c r="F1171" s="2">
        <v>108</v>
      </c>
      <c r="H1171" s="1">
        <f>_xlfn.XLOOKUP('Data Source 1_customer readings'!A1171,'Data Source 1_customer readings'!A1171:A3569,'Data Source 1_customer readings'!J1171:J3569)</f>
        <v>0</v>
      </c>
    </row>
    <row r="1172" spans="1:8" x14ac:dyDescent="0.2">
      <c r="A1172" s="2" t="s">
        <v>16</v>
      </c>
      <c r="B1172" s="2">
        <v>14</v>
      </c>
      <c r="C1172" s="2">
        <v>9</v>
      </c>
      <c r="D1172" s="2">
        <v>2020</v>
      </c>
      <c r="E1172" s="2">
        <v>0</v>
      </c>
      <c r="F1172" s="2">
        <v>107.4</v>
      </c>
      <c r="H1172" s="1">
        <f>_xlfn.XLOOKUP('Data Source 1_customer readings'!A1172,'Data Source 1_customer readings'!A1172:A3570,'Data Source 1_customer readings'!J1172:J3570)</f>
        <v>0</v>
      </c>
    </row>
    <row r="1173" spans="1:8" x14ac:dyDescent="0.2">
      <c r="A1173" s="2" t="s">
        <v>12</v>
      </c>
      <c r="B1173" s="2">
        <v>2</v>
      </c>
      <c r="C1173" s="2">
        <v>8</v>
      </c>
      <c r="D1173" s="2">
        <v>2020</v>
      </c>
      <c r="E1173" s="2">
        <v>0</v>
      </c>
      <c r="F1173" s="2">
        <v>106.95</v>
      </c>
      <c r="H1173" s="1">
        <f>_xlfn.XLOOKUP('Data Source 1_customer readings'!A1173,'Data Source 1_customer readings'!A1173:A3571,'Data Source 1_customer readings'!J1173:J3571)</f>
        <v>0</v>
      </c>
    </row>
    <row r="1174" spans="1:8" x14ac:dyDescent="0.2">
      <c r="A1174" s="2" t="s">
        <v>12</v>
      </c>
      <c r="B1174" s="2">
        <v>2</v>
      </c>
      <c r="C1174" s="2">
        <v>6</v>
      </c>
      <c r="D1174" s="2">
        <v>2020</v>
      </c>
      <c r="E1174" s="2">
        <v>0</v>
      </c>
      <c r="F1174" s="2">
        <v>106.5</v>
      </c>
      <c r="H1174" s="1">
        <f>_xlfn.XLOOKUP('Data Source 1_customer readings'!A1174,'Data Source 1_customer readings'!A1174:A3572,'Data Source 1_customer readings'!J1174:J3572)</f>
        <v>0</v>
      </c>
    </row>
    <row r="1175" spans="1:8" x14ac:dyDescent="0.2">
      <c r="A1175" s="2" t="s">
        <v>16</v>
      </c>
      <c r="B1175" s="2">
        <v>14</v>
      </c>
      <c r="C1175" s="2">
        <v>5</v>
      </c>
      <c r="D1175" s="2">
        <v>2020</v>
      </c>
      <c r="E1175" s="2">
        <v>0</v>
      </c>
      <c r="F1175" s="2">
        <v>105.4</v>
      </c>
      <c r="H1175" s="1">
        <f>_xlfn.XLOOKUP('Data Source 1_customer readings'!A1175,'Data Source 1_customer readings'!A1175:A3573,'Data Source 1_customer readings'!J1175:J3573)</f>
        <v>0</v>
      </c>
    </row>
    <row r="1176" spans="1:8" x14ac:dyDescent="0.2">
      <c r="A1176" s="2" t="s">
        <v>6</v>
      </c>
      <c r="B1176" s="2">
        <v>7</v>
      </c>
      <c r="C1176" s="2">
        <v>8</v>
      </c>
      <c r="D1176" s="2">
        <v>2020</v>
      </c>
      <c r="E1176" s="2">
        <v>0</v>
      </c>
      <c r="F1176" s="2">
        <v>105.4</v>
      </c>
      <c r="H1176" s="1">
        <f>_xlfn.XLOOKUP('Data Source 1_customer readings'!A1176,'Data Source 1_customer readings'!A1176:A3574,'Data Source 1_customer readings'!J1176:J3574)</f>
        <v>0</v>
      </c>
    </row>
    <row r="1177" spans="1:8" x14ac:dyDescent="0.2">
      <c r="A1177" s="2" t="s">
        <v>15</v>
      </c>
      <c r="B1177" s="2">
        <v>5</v>
      </c>
      <c r="C1177" s="2">
        <v>6</v>
      </c>
      <c r="D1177" s="2">
        <v>2020</v>
      </c>
      <c r="E1177" s="2">
        <v>0</v>
      </c>
      <c r="F1177" s="2">
        <v>105.3</v>
      </c>
      <c r="H1177" s="1">
        <f>_xlfn.XLOOKUP('Data Source 1_customer readings'!A1177,'Data Source 1_customer readings'!A1177:A3575,'Data Source 1_customer readings'!J1177:J3575)</f>
        <v>0</v>
      </c>
    </row>
    <row r="1178" spans="1:8" x14ac:dyDescent="0.2">
      <c r="A1178" s="2" t="s">
        <v>3</v>
      </c>
      <c r="B1178" s="2">
        <v>25</v>
      </c>
      <c r="C1178" s="2">
        <v>8</v>
      </c>
      <c r="D1178" s="2">
        <v>2020</v>
      </c>
      <c r="E1178" s="2">
        <v>0</v>
      </c>
      <c r="F1178" s="2">
        <v>105.09</v>
      </c>
      <c r="H1178" s="1">
        <f>_xlfn.XLOOKUP('Data Source 1_customer readings'!A1178,'Data Source 1_customer readings'!A1178:A3576,'Data Source 1_customer readings'!J1178:J3576)</f>
        <v>0</v>
      </c>
    </row>
    <row r="1179" spans="1:8" x14ac:dyDescent="0.2">
      <c r="A1179" s="2" t="s">
        <v>1</v>
      </c>
      <c r="B1179" s="2">
        <v>21</v>
      </c>
      <c r="C1179" s="2">
        <v>9</v>
      </c>
      <c r="D1179" s="2">
        <v>2020</v>
      </c>
      <c r="E1179" s="2">
        <v>0</v>
      </c>
      <c r="F1179" s="2">
        <v>104.7</v>
      </c>
      <c r="H1179" s="1">
        <f>_xlfn.XLOOKUP('Data Source 1_customer readings'!A1179,'Data Source 1_customer readings'!A1179:A3577,'Data Source 1_customer readings'!J1179:J3577)</f>
        <v>0</v>
      </c>
    </row>
    <row r="1180" spans="1:8" x14ac:dyDescent="0.2">
      <c r="A1180" s="2" t="s">
        <v>1</v>
      </c>
      <c r="B1180" s="2">
        <v>21</v>
      </c>
      <c r="C1180" s="2">
        <v>5</v>
      </c>
      <c r="D1180" s="2">
        <v>2020</v>
      </c>
      <c r="E1180" s="2">
        <v>0</v>
      </c>
      <c r="F1180" s="2">
        <v>104.47</v>
      </c>
      <c r="H1180" s="1">
        <f>_xlfn.XLOOKUP('Data Source 1_customer readings'!A1180,'Data Source 1_customer readings'!A1180:A3578,'Data Source 1_customer readings'!J1180:J3578)</f>
        <v>0</v>
      </c>
    </row>
    <row r="1181" spans="1:8" x14ac:dyDescent="0.2">
      <c r="A1181" s="2" t="s">
        <v>3</v>
      </c>
      <c r="B1181" s="2">
        <v>25</v>
      </c>
      <c r="C1181" s="2">
        <v>5</v>
      </c>
      <c r="D1181" s="2">
        <v>2020</v>
      </c>
      <c r="E1181" s="2">
        <v>0</v>
      </c>
      <c r="F1181" s="2">
        <v>104.47</v>
      </c>
      <c r="H1181" s="1">
        <f>_xlfn.XLOOKUP('Data Source 1_customer readings'!A1181,'Data Source 1_customer readings'!A1181:A3579,'Data Source 1_customer readings'!J1181:J3579)</f>
        <v>0</v>
      </c>
    </row>
    <row r="1182" spans="1:8" x14ac:dyDescent="0.2">
      <c r="A1182" s="2" t="s">
        <v>8</v>
      </c>
      <c r="B1182" s="2">
        <v>5</v>
      </c>
      <c r="C1182" s="2">
        <v>9</v>
      </c>
      <c r="D1182" s="2">
        <v>2020</v>
      </c>
      <c r="E1182" s="2">
        <v>0</v>
      </c>
      <c r="F1182" s="2">
        <v>104.1</v>
      </c>
      <c r="H1182" s="1">
        <f>_xlfn.XLOOKUP('Data Source 1_customer readings'!A1182,'Data Source 1_customer readings'!A1182:A3580,'Data Source 1_customer readings'!J1182:J3580)</f>
        <v>0</v>
      </c>
    </row>
    <row r="1183" spans="1:8" x14ac:dyDescent="0.2">
      <c r="A1183" s="2" t="s">
        <v>13</v>
      </c>
      <c r="B1183" s="2">
        <v>7</v>
      </c>
      <c r="C1183" s="2">
        <v>6</v>
      </c>
      <c r="D1183" s="2">
        <v>2020</v>
      </c>
      <c r="E1183" s="2">
        <v>0</v>
      </c>
      <c r="F1183" s="2">
        <v>103.8</v>
      </c>
      <c r="H1183" s="1">
        <f>_xlfn.XLOOKUP('Data Source 1_customer readings'!A1183,'Data Source 1_customer readings'!A1183:A3581,'Data Source 1_customer readings'!J1183:J3581)</f>
        <v>0</v>
      </c>
    </row>
    <row r="1184" spans="1:8" x14ac:dyDescent="0.2">
      <c r="A1184" s="2" t="s">
        <v>8</v>
      </c>
      <c r="B1184" s="2">
        <v>5</v>
      </c>
      <c r="C1184" s="2">
        <v>6</v>
      </c>
      <c r="D1184" s="2">
        <v>2020</v>
      </c>
      <c r="E1184" s="2">
        <v>0</v>
      </c>
      <c r="F1184" s="2">
        <v>103.5</v>
      </c>
      <c r="H1184" s="1">
        <f>_xlfn.XLOOKUP('Data Source 1_customer readings'!A1184,'Data Source 1_customer readings'!A1184:A3582,'Data Source 1_customer readings'!J1184:J3582)</f>
        <v>0</v>
      </c>
    </row>
    <row r="1185" spans="1:8" x14ac:dyDescent="0.2">
      <c r="A1185" s="2" t="s">
        <v>6</v>
      </c>
      <c r="B1185" s="2">
        <v>7</v>
      </c>
      <c r="C1185" s="2">
        <v>7</v>
      </c>
      <c r="D1185" s="2">
        <v>2020</v>
      </c>
      <c r="E1185" s="2">
        <v>0</v>
      </c>
      <c r="F1185" s="2">
        <v>103.23</v>
      </c>
      <c r="H1185" s="1">
        <f>_xlfn.XLOOKUP('Data Source 1_customer readings'!A1185,'Data Source 1_customer readings'!A1185:A3583,'Data Source 1_customer readings'!J1185:J3583)</f>
        <v>0</v>
      </c>
    </row>
    <row r="1186" spans="1:8" x14ac:dyDescent="0.2">
      <c r="A1186" s="2" t="s">
        <v>6</v>
      </c>
      <c r="B1186" s="2">
        <v>7</v>
      </c>
      <c r="C1186" s="2">
        <v>6</v>
      </c>
      <c r="D1186" s="2">
        <v>2020</v>
      </c>
      <c r="E1186" s="2">
        <v>0</v>
      </c>
      <c r="F1186" s="2">
        <v>103.2</v>
      </c>
      <c r="H1186" s="1">
        <f>_xlfn.XLOOKUP('Data Source 1_customer readings'!A1186,'Data Source 1_customer readings'!A1186:A3584,'Data Source 1_customer readings'!J1186:J3584)</f>
        <v>0</v>
      </c>
    </row>
    <row r="1187" spans="1:8" x14ac:dyDescent="0.2">
      <c r="A1187" s="2" t="s">
        <v>2</v>
      </c>
      <c r="B1187" s="2">
        <v>18</v>
      </c>
      <c r="C1187" s="2">
        <v>8</v>
      </c>
      <c r="D1187" s="2">
        <v>2020</v>
      </c>
      <c r="E1187" s="2">
        <v>0</v>
      </c>
      <c r="F1187" s="2">
        <v>102.61</v>
      </c>
      <c r="H1187" s="1">
        <f>_xlfn.XLOOKUP('Data Source 1_customer readings'!A1187,'Data Source 1_customer readings'!A1187:A3585,'Data Source 1_customer readings'!J1187:J3585)</f>
        <v>0</v>
      </c>
    </row>
    <row r="1188" spans="1:8" x14ac:dyDescent="0.2">
      <c r="A1188" s="2" t="s">
        <v>12</v>
      </c>
      <c r="B1188" s="2">
        <v>2</v>
      </c>
      <c r="C1188" s="2">
        <v>9</v>
      </c>
      <c r="D1188" s="2">
        <v>2020</v>
      </c>
      <c r="E1188" s="2">
        <v>0</v>
      </c>
      <c r="F1188" s="2">
        <v>102.6</v>
      </c>
      <c r="H1188" s="1">
        <f>_xlfn.XLOOKUP('Data Source 1_customer readings'!A1188,'Data Source 1_customer readings'!A1188:A3586,'Data Source 1_customer readings'!J1188:J3586)</f>
        <v>0</v>
      </c>
    </row>
    <row r="1189" spans="1:8" x14ac:dyDescent="0.2">
      <c r="A1189" s="2" t="s">
        <v>5</v>
      </c>
      <c r="B1189" s="2">
        <v>7</v>
      </c>
      <c r="C1189" s="2">
        <v>9</v>
      </c>
      <c r="D1189" s="2">
        <v>2020</v>
      </c>
      <c r="E1189" s="2">
        <v>0</v>
      </c>
      <c r="F1189" s="2">
        <v>102.6</v>
      </c>
      <c r="H1189" s="1">
        <f>_xlfn.XLOOKUP('Data Source 1_customer readings'!A1189,'Data Source 1_customer readings'!A1189:A3587,'Data Source 1_customer readings'!J1189:J3587)</f>
        <v>0</v>
      </c>
    </row>
    <row r="1190" spans="1:8" x14ac:dyDescent="0.2">
      <c r="A1190" s="2" t="s">
        <v>10</v>
      </c>
      <c r="B1190" s="2">
        <v>18</v>
      </c>
      <c r="C1190" s="2">
        <v>6</v>
      </c>
      <c r="D1190" s="2">
        <v>2020</v>
      </c>
      <c r="E1190" s="2">
        <v>0</v>
      </c>
      <c r="F1190" s="2">
        <v>102.3</v>
      </c>
      <c r="H1190" s="1">
        <f>_xlfn.XLOOKUP('Data Source 1_customer readings'!A1190,'Data Source 1_customer readings'!A1190:A3588,'Data Source 1_customer readings'!J1190:J3588)</f>
        <v>0</v>
      </c>
    </row>
    <row r="1191" spans="1:8" x14ac:dyDescent="0.2">
      <c r="A1191" s="2" t="s">
        <v>1</v>
      </c>
      <c r="B1191" s="2">
        <v>21</v>
      </c>
      <c r="C1191" s="2">
        <v>8</v>
      </c>
      <c r="D1191" s="2">
        <v>2020</v>
      </c>
      <c r="E1191" s="2">
        <v>0</v>
      </c>
      <c r="F1191" s="2">
        <v>101.99</v>
      </c>
      <c r="H1191" s="1">
        <f>_xlfn.XLOOKUP('Data Source 1_customer readings'!A1191,'Data Source 1_customer readings'!A1191:A3589,'Data Source 1_customer readings'!J1191:J3589)</f>
        <v>0</v>
      </c>
    </row>
    <row r="1192" spans="1:8" x14ac:dyDescent="0.2">
      <c r="A1192" s="2" t="s">
        <v>9</v>
      </c>
      <c r="B1192" s="2">
        <v>22</v>
      </c>
      <c r="C1192" s="2">
        <v>8</v>
      </c>
      <c r="D1192" s="2">
        <v>2020</v>
      </c>
      <c r="E1192" s="2">
        <v>0</v>
      </c>
      <c r="F1192" s="2">
        <v>101.99</v>
      </c>
      <c r="H1192" s="1">
        <f>_xlfn.XLOOKUP('Data Source 1_customer readings'!A1192,'Data Source 1_customer readings'!A1192:A3590,'Data Source 1_customer readings'!J1192:J3590)</f>
        <v>0</v>
      </c>
    </row>
    <row r="1193" spans="1:8" x14ac:dyDescent="0.2">
      <c r="A1193" s="2" t="s">
        <v>5</v>
      </c>
      <c r="B1193" s="2">
        <v>7</v>
      </c>
      <c r="C1193" s="2">
        <v>8</v>
      </c>
      <c r="D1193" s="2">
        <v>2020</v>
      </c>
      <c r="E1193" s="2">
        <v>0</v>
      </c>
      <c r="F1193" s="2">
        <v>101.68</v>
      </c>
      <c r="H1193" s="1">
        <f>_xlfn.XLOOKUP('Data Source 1_customer readings'!A1193,'Data Source 1_customer readings'!A1193:A3591,'Data Source 1_customer readings'!J1193:J3591)</f>
        <v>0</v>
      </c>
    </row>
    <row r="1194" spans="1:8" x14ac:dyDescent="0.2">
      <c r="A1194" s="2" t="s">
        <v>4</v>
      </c>
      <c r="B1194" s="2">
        <v>1</v>
      </c>
      <c r="C1194" s="2">
        <v>9</v>
      </c>
      <c r="D1194" s="2">
        <v>2020</v>
      </c>
      <c r="E1194" s="2">
        <v>0</v>
      </c>
      <c r="F1194" s="2">
        <v>101.4</v>
      </c>
      <c r="H1194" s="1">
        <f>_xlfn.XLOOKUP('Data Source 1_customer readings'!A1194,'Data Source 1_customer readings'!A1194:A3592,'Data Source 1_customer readings'!J1194:J3592)</f>
        <v>0</v>
      </c>
    </row>
    <row r="1195" spans="1:8" x14ac:dyDescent="0.2">
      <c r="A1195" s="2" t="s">
        <v>8</v>
      </c>
      <c r="B1195" s="2">
        <v>5</v>
      </c>
      <c r="C1195" s="2">
        <v>7</v>
      </c>
      <c r="D1195" s="2">
        <v>2020</v>
      </c>
      <c r="E1195" s="2">
        <v>0</v>
      </c>
      <c r="F1195" s="2">
        <v>101.37</v>
      </c>
      <c r="H1195" s="1">
        <f>_xlfn.XLOOKUP('Data Source 1_customer readings'!A1195,'Data Source 1_customer readings'!A1195:A3593,'Data Source 1_customer readings'!J1195:J3593)</f>
        <v>0</v>
      </c>
    </row>
    <row r="1196" spans="1:8" x14ac:dyDescent="0.2">
      <c r="A1196" s="2" t="s">
        <v>2</v>
      </c>
      <c r="B1196" s="2">
        <v>18</v>
      </c>
      <c r="C1196" s="2">
        <v>9</v>
      </c>
      <c r="D1196" s="2">
        <v>2020</v>
      </c>
      <c r="E1196" s="2">
        <v>0</v>
      </c>
      <c r="F1196" s="2">
        <v>96</v>
      </c>
      <c r="H1196" s="1">
        <f>_xlfn.XLOOKUP('Data Source 1_customer readings'!A1196,'Data Source 1_customer readings'!A1196:A3594,'Data Source 1_customer readings'!J1196:J3594)</f>
        <v>0</v>
      </c>
    </row>
    <row r="1197" spans="1:8" x14ac:dyDescent="0.2">
      <c r="A1197" s="2" t="s">
        <v>3</v>
      </c>
      <c r="B1197" s="2">
        <v>25</v>
      </c>
      <c r="C1197" s="2">
        <v>7</v>
      </c>
      <c r="D1197" s="2">
        <v>2020</v>
      </c>
      <c r="E1197" s="2">
        <v>0</v>
      </c>
      <c r="F1197" s="2">
        <v>93.93</v>
      </c>
      <c r="H1197" s="1">
        <f>_xlfn.XLOOKUP('Data Source 1_customer readings'!A1197,'Data Source 1_customer readings'!A1197:A3595,'Data Source 1_customer readings'!J1197:J3595)</f>
        <v>0</v>
      </c>
    </row>
    <row r="1198" spans="1:8" x14ac:dyDescent="0.2">
      <c r="A1198" s="2" t="s">
        <v>5</v>
      </c>
      <c r="B1198" s="2">
        <v>7</v>
      </c>
      <c r="C1198" s="2">
        <v>6</v>
      </c>
      <c r="D1198" s="2">
        <v>2020</v>
      </c>
      <c r="E1198" s="2">
        <v>0</v>
      </c>
      <c r="F1198" s="2">
        <v>93.9</v>
      </c>
      <c r="H1198" s="1">
        <f>_xlfn.XLOOKUP('Data Source 1_customer readings'!A1198,'Data Source 1_customer readings'!A1198:A3596,'Data Source 1_customer readings'!J1198:J3596)</f>
        <v>0</v>
      </c>
    </row>
    <row r="1199" spans="1:8" x14ac:dyDescent="0.2">
      <c r="A1199" s="2" t="s">
        <v>3</v>
      </c>
      <c r="B1199" s="2">
        <v>25</v>
      </c>
      <c r="C1199" s="2">
        <v>6</v>
      </c>
      <c r="D1199" s="2">
        <v>2020</v>
      </c>
      <c r="E1199" s="2">
        <v>0</v>
      </c>
      <c r="F1199" s="2">
        <v>91.2</v>
      </c>
      <c r="H1199" s="1">
        <f>_xlfn.XLOOKUP('Data Source 1_customer readings'!A1199,'Data Source 1_customer readings'!A1199:A3597,'Data Source 1_customer readings'!J1199:J3597)</f>
        <v>0</v>
      </c>
    </row>
    <row r="1200" spans="1:8" x14ac:dyDescent="0.2">
      <c r="A1200" s="2" t="s">
        <v>2</v>
      </c>
      <c r="B1200" s="2">
        <v>18</v>
      </c>
      <c r="C1200" s="2">
        <v>6</v>
      </c>
      <c r="D1200" s="2">
        <v>2020</v>
      </c>
      <c r="E1200" s="2">
        <v>0</v>
      </c>
      <c r="F1200" s="2">
        <v>86.1</v>
      </c>
      <c r="H1200" s="1">
        <f>_xlfn.XLOOKUP('Data Source 1_customer readings'!A1200,'Data Source 1_customer readings'!A1200:A3598,'Data Source 1_customer readings'!J1200:J3598)</f>
        <v>0</v>
      </c>
    </row>
    <row r="1201" spans="1:8" x14ac:dyDescent="0.2">
      <c r="A1201" s="2" t="s">
        <v>0</v>
      </c>
      <c r="B1201" s="2">
        <v>25</v>
      </c>
      <c r="C1201" s="2">
        <v>3</v>
      </c>
      <c r="D1201" s="2">
        <v>2020</v>
      </c>
      <c r="F1201" s="2">
        <v>69.44</v>
      </c>
      <c r="H1201" s="1">
        <f>_xlfn.XLOOKUP('Data Source 1_customer readings'!A1201,'Data Source 1_customer readings'!A1201:A3599,'Data Source 1_customer readings'!J1201:J3599)</f>
        <v>0</v>
      </c>
    </row>
    <row r="1203" spans="1:8" x14ac:dyDescent="0.2">
      <c r="E1203" s="1">
        <f>SUM(E145:E1202)</f>
        <v>53627.339999999953</v>
      </c>
      <c r="F1203" s="1">
        <f>SUM(F2:F1202)</f>
        <v>125845.03000000001</v>
      </c>
    </row>
    <row r="1206" spans="1:8" x14ac:dyDescent="0.2">
      <c r="A1206" s="1">
        <f>COUNTA(_xlfn.UNIQUE(A2:A1201))</f>
        <v>100</v>
      </c>
    </row>
  </sheetData>
  <conditionalFormatting sqref="H1:H1048576">
    <cfRule type="containsText" dxfId="1" priority="1" operator="containsText" text="TRUE">
      <formula>NOT(ISERROR(SEARCH("TRUE",H1)))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3D97-A8ED-6F49-A648-ACBD3FD15E74}">
  <dimension ref="A1:F1202"/>
  <sheetViews>
    <sheetView topLeftCell="A1191" workbookViewId="0">
      <selection activeCell="J1202" sqref="J1202"/>
    </sheetView>
  </sheetViews>
  <sheetFormatPr baseColWidth="10" defaultRowHeight="16" x14ac:dyDescent="0.2"/>
  <sheetData>
    <row r="1" spans="1:6" x14ac:dyDescent="0.2">
      <c r="A1" s="2" t="s">
        <v>110</v>
      </c>
      <c r="B1" s="2" t="s">
        <v>109</v>
      </c>
      <c r="C1" s="2" t="s">
        <v>108</v>
      </c>
      <c r="D1" s="2" t="s">
        <v>107</v>
      </c>
      <c r="E1" s="2" t="s">
        <v>106</v>
      </c>
      <c r="F1" s="2" t="s">
        <v>105</v>
      </c>
    </row>
    <row r="2" spans="1:6" x14ac:dyDescent="0.2">
      <c r="A2" s="2" t="s">
        <v>32</v>
      </c>
      <c r="B2" s="2">
        <v>17</v>
      </c>
      <c r="C2" s="2">
        <v>12</v>
      </c>
      <c r="D2" s="2">
        <v>2020</v>
      </c>
      <c r="E2" s="1" t="s">
        <v>94</v>
      </c>
      <c r="F2" s="2">
        <v>244.9</v>
      </c>
    </row>
    <row r="3" spans="1:6" x14ac:dyDescent="0.2">
      <c r="A3" s="2" t="s">
        <v>31</v>
      </c>
      <c r="B3" s="2">
        <v>14</v>
      </c>
      <c r="C3" s="2">
        <v>11</v>
      </c>
      <c r="D3" s="2">
        <v>2020</v>
      </c>
      <c r="E3" s="2">
        <v>0</v>
      </c>
      <c r="F3" s="2">
        <v>234.3</v>
      </c>
    </row>
    <row r="4" spans="1:6" x14ac:dyDescent="0.2">
      <c r="A4" s="2" t="s">
        <v>32</v>
      </c>
      <c r="B4" s="2">
        <v>17</v>
      </c>
      <c r="C4" s="2">
        <v>2</v>
      </c>
      <c r="D4" s="2">
        <v>2020</v>
      </c>
      <c r="E4" s="2">
        <v>0</v>
      </c>
      <c r="F4" s="2">
        <v>223.72</v>
      </c>
    </row>
    <row r="5" spans="1:6" x14ac:dyDescent="0.2">
      <c r="A5" s="2" t="s">
        <v>32</v>
      </c>
      <c r="B5" s="2">
        <v>17</v>
      </c>
      <c r="C5" s="2">
        <v>1</v>
      </c>
      <c r="D5" s="2">
        <v>2020</v>
      </c>
      <c r="E5" s="2">
        <v>0</v>
      </c>
      <c r="F5" s="2">
        <v>220.72</v>
      </c>
    </row>
    <row r="6" spans="1:6" x14ac:dyDescent="0.2">
      <c r="A6" s="2" t="s">
        <v>25</v>
      </c>
      <c r="B6" s="2">
        <v>8</v>
      </c>
      <c r="C6" s="2">
        <v>1</v>
      </c>
      <c r="D6" s="2">
        <v>2020</v>
      </c>
      <c r="E6" s="2">
        <v>0</v>
      </c>
      <c r="F6" s="2">
        <v>219.48</v>
      </c>
    </row>
    <row r="7" spans="1:6" x14ac:dyDescent="0.2">
      <c r="A7" s="2" t="s">
        <v>26</v>
      </c>
      <c r="B7" s="2">
        <v>22</v>
      </c>
      <c r="C7" s="2">
        <v>11</v>
      </c>
      <c r="D7" s="2">
        <v>2020</v>
      </c>
      <c r="E7" s="2">
        <v>0</v>
      </c>
      <c r="F7" s="2">
        <v>217.5</v>
      </c>
    </row>
    <row r="8" spans="1:6" x14ac:dyDescent="0.2">
      <c r="A8" s="2" t="s">
        <v>32</v>
      </c>
      <c r="B8" s="2">
        <v>17</v>
      </c>
      <c r="C8" s="2">
        <v>11</v>
      </c>
      <c r="D8" s="2">
        <v>2020</v>
      </c>
      <c r="E8" s="2">
        <v>0</v>
      </c>
      <c r="F8" s="2">
        <v>213.9</v>
      </c>
    </row>
    <row r="9" spans="1:6" x14ac:dyDescent="0.2">
      <c r="A9" s="2" t="s">
        <v>22</v>
      </c>
      <c r="B9" s="2">
        <v>22</v>
      </c>
      <c r="C9" s="2">
        <v>12</v>
      </c>
      <c r="D9" s="2">
        <v>2020</v>
      </c>
      <c r="E9" s="2">
        <v>0</v>
      </c>
      <c r="F9" s="2">
        <v>209.87</v>
      </c>
    </row>
    <row r="10" spans="1:6" x14ac:dyDescent="0.2">
      <c r="A10" s="2" t="s">
        <v>30</v>
      </c>
      <c r="B10" s="2">
        <v>2</v>
      </c>
      <c r="C10" s="2">
        <v>1</v>
      </c>
      <c r="D10" s="2">
        <v>2020</v>
      </c>
      <c r="E10" s="2">
        <v>0</v>
      </c>
      <c r="F10" s="2">
        <v>209.25</v>
      </c>
    </row>
    <row r="11" spans="1:6" x14ac:dyDescent="0.2">
      <c r="A11" s="2" t="s">
        <v>22</v>
      </c>
      <c r="B11" s="2">
        <v>22</v>
      </c>
      <c r="C11" s="2">
        <v>1</v>
      </c>
      <c r="D11" s="2">
        <v>2020</v>
      </c>
      <c r="E11" s="2">
        <v>0</v>
      </c>
      <c r="F11" s="2">
        <v>209.25</v>
      </c>
    </row>
    <row r="12" spans="1:6" x14ac:dyDescent="0.2">
      <c r="A12" s="2" t="s">
        <v>29</v>
      </c>
      <c r="B12" s="2">
        <v>20</v>
      </c>
      <c r="C12" s="2">
        <v>12</v>
      </c>
      <c r="D12" s="2">
        <v>2020</v>
      </c>
      <c r="E12" s="1" t="s">
        <v>94</v>
      </c>
      <c r="F12" s="2">
        <v>206.46</v>
      </c>
    </row>
    <row r="13" spans="1:6" x14ac:dyDescent="0.2">
      <c r="A13" s="2" t="s">
        <v>29</v>
      </c>
      <c r="B13" s="2">
        <v>20</v>
      </c>
      <c r="C13" s="2">
        <v>11</v>
      </c>
      <c r="D13" s="2">
        <v>2020</v>
      </c>
      <c r="E13" s="2">
        <v>0</v>
      </c>
      <c r="F13" s="2">
        <v>206.4</v>
      </c>
    </row>
    <row r="14" spans="1:6" x14ac:dyDescent="0.2">
      <c r="A14" s="2" t="s">
        <v>28</v>
      </c>
      <c r="B14" s="2">
        <v>5</v>
      </c>
      <c r="C14" s="2">
        <v>11</v>
      </c>
      <c r="D14" s="2">
        <v>2020</v>
      </c>
      <c r="E14" s="1" t="s">
        <v>94</v>
      </c>
      <c r="F14" s="2">
        <v>206.1</v>
      </c>
    </row>
    <row r="15" spans="1:6" x14ac:dyDescent="0.2">
      <c r="A15" s="2" t="s">
        <v>28</v>
      </c>
      <c r="B15" s="2">
        <v>5</v>
      </c>
      <c r="C15" s="2">
        <v>1</v>
      </c>
      <c r="D15" s="2">
        <v>2020</v>
      </c>
      <c r="E15" s="2">
        <v>0</v>
      </c>
      <c r="F15" s="2">
        <v>205.84</v>
      </c>
    </row>
    <row r="16" spans="1:6" x14ac:dyDescent="0.2">
      <c r="A16" s="2" t="s">
        <v>30</v>
      </c>
      <c r="B16" s="2">
        <v>2</v>
      </c>
      <c r="C16" s="2">
        <v>11</v>
      </c>
      <c r="D16" s="2">
        <v>2020</v>
      </c>
      <c r="E16" s="2">
        <v>0</v>
      </c>
      <c r="F16" s="2">
        <v>205.5</v>
      </c>
    </row>
    <row r="17" spans="1:6" x14ac:dyDescent="0.2">
      <c r="A17" s="2" t="s">
        <v>23</v>
      </c>
      <c r="B17" s="2">
        <v>5</v>
      </c>
      <c r="C17" s="2">
        <v>1</v>
      </c>
      <c r="D17" s="2">
        <v>2020</v>
      </c>
      <c r="E17" s="2">
        <v>0</v>
      </c>
      <c r="F17" s="2">
        <v>205.22</v>
      </c>
    </row>
    <row r="18" spans="1:6" x14ac:dyDescent="0.2">
      <c r="A18" s="2" t="s">
        <v>11</v>
      </c>
      <c r="B18" s="2">
        <v>15</v>
      </c>
      <c r="C18" s="2">
        <v>1</v>
      </c>
      <c r="D18" s="2">
        <v>2020</v>
      </c>
      <c r="E18" s="2">
        <v>0</v>
      </c>
      <c r="F18" s="2">
        <v>204.6</v>
      </c>
    </row>
    <row r="19" spans="1:6" x14ac:dyDescent="0.2">
      <c r="A19" s="2" t="s">
        <v>22</v>
      </c>
      <c r="B19" s="2">
        <v>22</v>
      </c>
      <c r="C19" s="2">
        <v>2</v>
      </c>
      <c r="D19" s="2">
        <v>2020</v>
      </c>
      <c r="E19" s="1" t="s">
        <v>94</v>
      </c>
      <c r="F19" s="2">
        <v>204.12</v>
      </c>
    </row>
    <row r="20" spans="1:6" x14ac:dyDescent="0.2">
      <c r="A20" s="2" t="s">
        <v>30</v>
      </c>
      <c r="B20" s="2">
        <v>2</v>
      </c>
      <c r="C20" s="2">
        <v>12</v>
      </c>
      <c r="D20" s="2">
        <v>2020</v>
      </c>
      <c r="E20" s="2">
        <v>0</v>
      </c>
      <c r="F20" s="2">
        <v>203.98</v>
      </c>
    </row>
    <row r="21" spans="1:6" x14ac:dyDescent="0.2">
      <c r="A21" s="2" t="s">
        <v>23</v>
      </c>
      <c r="B21" s="2">
        <v>5</v>
      </c>
      <c r="C21" s="2">
        <v>12</v>
      </c>
      <c r="D21" s="2">
        <v>2020</v>
      </c>
      <c r="E21" s="2">
        <v>0</v>
      </c>
      <c r="F21" s="2">
        <v>203.98</v>
      </c>
    </row>
    <row r="22" spans="1:6" x14ac:dyDescent="0.2">
      <c r="A22" s="2" t="s">
        <v>25</v>
      </c>
      <c r="B22" s="2">
        <v>8</v>
      </c>
      <c r="C22" s="2">
        <v>11</v>
      </c>
      <c r="D22" s="2">
        <v>2020</v>
      </c>
      <c r="E22" s="2">
        <v>0</v>
      </c>
      <c r="F22" s="2">
        <v>203.7</v>
      </c>
    </row>
    <row r="23" spans="1:6" x14ac:dyDescent="0.2">
      <c r="A23" s="2" t="s">
        <v>31</v>
      </c>
      <c r="B23" s="2">
        <v>14</v>
      </c>
      <c r="C23" s="2">
        <v>1</v>
      </c>
      <c r="D23" s="2">
        <v>2020</v>
      </c>
      <c r="E23" s="2">
        <v>0</v>
      </c>
      <c r="F23" s="2">
        <v>203.67</v>
      </c>
    </row>
    <row r="24" spans="1:6" x14ac:dyDescent="0.2">
      <c r="A24" s="2" t="s">
        <v>27</v>
      </c>
      <c r="B24" s="2">
        <v>1</v>
      </c>
      <c r="C24" s="2">
        <v>12</v>
      </c>
      <c r="D24" s="2">
        <v>2020</v>
      </c>
      <c r="E24" s="1" t="s">
        <v>94</v>
      </c>
      <c r="F24" s="2">
        <v>203.05</v>
      </c>
    </row>
    <row r="25" spans="1:6" x14ac:dyDescent="0.2">
      <c r="A25" s="2" t="s">
        <v>32</v>
      </c>
      <c r="B25" s="2">
        <v>17</v>
      </c>
      <c r="C25" s="2">
        <v>10</v>
      </c>
      <c r="D25" s="2">
        <v>2020</v>
      </c>
      <c r="E25" s="2">
        <v>0</v>
      </c>
      <c r="F25" s="2">
        <v>202.74</v>
      </c>
    </row>
    <row r="26" spans="1:6" x14ac:dyDescent="0.2">
      <c r="A26" s="2" t="s">
        <v>29</v>
      </c>
      <c r="B26" s="2">
        <v>20</v>
      </c>
      <c r="C26" s="2">
        <v>1</v>
      </c>
      <c r="D26" s="2">
        <v>2020</v>
      </c>
      <c r="E26" s="1" t="s">
        <v>94</v>
      </c>
      <c r="F26" s="2">
        <v>202.43</v>
      </c>
    </row>
    <row r="27" spans="1:6" x14ac:dyDescent="0.2">
      <c r="A27" s="2" t="s">
        <v>25</v>
      </c>
      <c r="B27" s="2">
        <v>8</v>
      </c>
      <c r="C27" s="2">
        <v>12</v>
      </c>
      <c r="D27" s="2">
        <v>2020</v>
      </c>
      <c r="E27" s="2">
        <v>0</v>
      </c>
      <c r="F27" s="2">
        <v>201.19</v>
      </c>
    </row>
    <row r="28" spans="1:6" x14ac:dyDescent="0.2">
      <c r="A28" s="2" t="s">
        <v>31</v>
      </c>
      <c r="B28" s="2">
        <v>14</v>
      </c>
      <c r="C28" s="2">
        <v>2</v>
      </c>
      <c r="D28" s="2">
        <v>2020</v>
      </c>
      <c r="E28" s="2">
        <v>0</v>
      </c>
      <c r="F28" s="2">
        <v>199.92</v>
      </c>
    </row>
    <row r="29" spans="1:6" x14ac:dyDescent="0.2">
      <c r="A29" s="2" t="s">
        <v>26</v>
      </c>
      <c r="B29" s="2">
        <v>22</v>
      </c>
      <c r="C29" s="2">
        <v>1</v>
      </c>
      <c r="D29" s="2">
        <v>2020</v>
      </c>
      <c r="E29" s="1" t="s">
        <v>94</v>
      </c>
      <c r="F29" s="2">
        <v>199.33</v>
      </c>
    </row>
    <row r="30" spans="1:6" x14ac:dyDescent="0.2">
      <c r="A30" s="2" t="s">
        <v>16</v>
      </c>
      <c r="B30" s="2">
        <v>14</v>
      </c>
      <c r="C30" s="2">
        <v>1</v>
      </c>
      <c r="D30" s="2">
        <v>2020</v>
      </c>
      <c r="E30" s="2">
        <v>0</v>
      </c>
      <c r="F30" s="2">
        <v>198.71</v>
      </c>
    </row>
    <row r="31" spans="1:6" x14ac:dyDescent="0.2">
      <c r="A31" s="2" t="s">
        <v>24</v>
      </c>
      <c r="B31" s="2">
        <v>22</v>
      </c>
      <c r="C31" s="2">
        <v>1</v>
      </c>
      <c r="D31" s="2">
        <v>2020</v>
      </c>
      <c r="E31" s="2">
        <v>0</v>
      </c>
      <c r="F31" s="2">
        <v>198.71</v>
      </c>
    </row>
    <row r="32" spans="1:6" x14ac:dyDescent="0.2">
      <c r="A32" s="2" t="s">
        <v>100</v>
      </c>
      <c r="B32" s="2">
        <v>1</v>
      </c>
      <c r="C32" s="2">
        <v>1</v>
      </c>
      <c r="D32" s="2">
        <v>2020</v>
      </c>
      <c r="E32" s="1" t="s">
        <v>94</v>
      </c>
      <c r="F32" s="2">
        <v>198.09</v>
      </c>
    </row>
    <row r="33" spans="1:6" x14ac:dyDescent="0.2">
      <c r="A33" s="2" t="s">
        <v>18</v>
      </c>
      <c r="B33" s="2">
        <v>5</v>
      </c>
      <c r="C33" s="2">
        <v>1</v>
      </c>
      <c r="D33" s="2">
        <v>2020</v>
      </c>
      <c r="E33" s="2">
        <v>0</v>
      </c>
      <c r="F33" s="2">
        <v>197.78</v>
      </c>
    </row>
    <row r="34" spans="1:6" x14ac:dyDescent="0.2">
      <c r="A34" s="2" t="s">
        <v>28</v>
      </c>
      <c r="B34" s="2">
        <v>5</v>
      </c>
      <c r="C34" s="2">
        <v>2</v>
      </c>
      <c r="D34" s="2">
        <v>2020</v>
      </c>
      <c r="E34" s="2">
        <v>0</v>
      </c>
      <c r="F34" s="2">
        <v>196.84</v>
      </c>
    </row>
    <row r="35" spans="1:6" x14ac:dyDescent="0.2">
      <c r="A35" s="2" t="s">
        <v>11</v>
      </c>
      <c r="B35" s="2">
        <v>15</v>
      </c>
      <c r="C35" s="2">
        <v>11</v>
      </c>
      <c r="D35" s="2">
        <v>2020</v>
      </c>
      <c r="E35" s="2">
        <v>0</v>
      </c>
      <c r="F35" s="2">
        <v>196.8</v>
      </c>
    </row>
    <row r="36" spans="1:6" x14ac:dyDescent="0.2">
      <c r="A36" s="2" t="s">
        <v>24</v>
      </c>
      <c r="B36" s="2">
        <v>22</v>
      </c>
      <c r="C36" s="2">
        <v>11</v>
      </c>
      <c r="D36" s="2">
        <v>2020</v>
      </c>
      <c r="E36" s="2">
        <v>0</v>
      </c>
      <c r="F36" s="2">
        <v>195.3</v>
      </c>
    </row>
    <row r="37" spans="1:6" x14ac:dyDescent="0.2">
      <c r="A37" s="2" t="s">
        <v>31</v>
      </c>
      <c r="B37" s="2">
        <v>14</v>
      </c>
      <c r="C37" s="2">
        <v>12</v>
      </c>
      <c r="D37" s="2">
        <v>2020</v>
      </c>
      <c r="E37" s="2">
        <v>0</v>
      </c>
      <c r="F37" s="2">
        <v>194.99</v>
      </c>
    </row>
    <row r="38" spans="1:6" x14ac:dyDescent="0.2">
      <c r="A38" s="2" t="s">
        <v>11</v>
      </c>
      <c r="B38" s="2">
        <v>15</v>
      </c>
      <c r="C38" s="2">
        <v>12</v>
      </c>
      <c r="D38" s="2">
        <v>2020</v>
      </c>
      <c r="E38" s="2">
        <v>0</v>
      </c>
      <c r="F38" s="2">
        <v>194.68</v>
      </c>
    </row>
    <row r="39" spans="1:6" x14ac:dyDescent="0.2">
      <c r="A39" s="2" t="s">
        <v>100</v>
      </c>
      <c r="B39" s="2">
        <v>1</v>
      </c>
      <c r="C39" s="2">
        <v>12</v>
      </c>
      <c r="D39" s="2">
        <v>2020</v>
      </c>
      <c r="E39" s="1" t="s">
        <v>94</v>
      </c>
      <c r="F39" s="2">
        <v>194.06</v>
      </c>
    </row>
    <row r="40" spans="1:6" x14ac:dyDescent="0.2">
      <c r="A40" s="2" t="s">
        <v>26</v>
      </c>
      <c r="B40" s="2">
        <v>22</v>
      </c>
      <c r="C40" s="2">
        <v>12</v>
      </c>
      <c r="D40" s="2">
        <v>2020</v>
      </c>
      <c r="E40" s="1" t="s">
        <v>94</v>
      </c>
      <c r="F40" s="2">
        <v>193.13</v>
      </c>
    </row>
    <row r="41" spans="1:6" x14ac:dyDescent="0.2">
      <c r="A41" s="2" t="s">
        <v>8</v>
      </c>
      <c r="B41" s="2">
        <v>5</v>
      </c>
      <c r="C41" s="2">
        <v>1</v>
      </c>
      <c r="D41" s="2">
        <v>2020</v>
      </c>
      <c r="E41" s="2">
        <v>0</v>
      </c>
      <c r="F41" s="2">
        <v>192.51</v>
      </c>
    </row>
    <row r="42" spans="1:6" x14ac:dyDescent="0.2">
      <c r="A42" s="2" t="s">
        <v>27</v>
      </c>
      <c r="B42" s="2">
        <v>1</v>
      </c>
      <c r="C42" s="2">
        <v>1</v>
      </c>
      <c r="D42" s="2">
        <v>2020</v>
      </c>
      <c r="E42" s="1" t="s">
        <v>94</v>
      </c>
      <c r="F42" s="2">
        <v>192.2</v>
      </c>
    </row>
    <row r="43" spans="1:6" x14ac:dyDescent="0.2">
      <c r="A43" s="2" t="s">
        <v>24</v>
      </c>
      <c r="B43" s="2">
        <v>22</v>
      </c>
      <c r="C43" s="2">
        <v>12</v>
      </c>
      <c r="D43" s="2">
        <v>2020</v>
      </c>
      <c r="E43" s="2">
        <v>0</v>
      </c>
      <c r="F43" s="2">
        <v>192.2</v>
      </c>
    </row>
    <row r="44" spans="1:6" x14ac:dyDescent="0.2">
      <c r="A44" s="2" t="s">
        <v>17</v>
      </c>
      <c r="B44" s="2">
        <v>8</v>
      </c>
      <c r="C44" s="2">
        <v>1</v>
      </c>
      <c r="D44" s="2">
        <v>2020</v>
      </c>
      <c r="E44" s="2">
        <v>0</v>
      </c>
      <c r="F44" s="2">
        <v>191.89</v>
      </c>
    </row>
    <row r="45" spans="1:6" x14ac:dyDescent="0.2">
      <c r="A45" s="2" t="s">
        <v>31</v>
      </c>
      <c r="B45" s="2">
        <v>14</v>
      </c>
      <c r="C45" s="2">
        <v>3</v>
      </c>
      <c r="D45" s="2">
        <v>2020</v>
      </c>
      <c r="E45" s="2">
        <v>0</v>
      </c>
      <c r="F45" s="2">
        <v>190.65</v>
      </c>
    </row>
    <row r="46" spans="1:6" x14ac:dyDescent="0.2">
      <c r="A46" s="2" t="s">
        <v>14</v>
      </c>
      <c r="B46" s="2">
        <v>10</v>
      </c>
      <c r="C46" s="2">
        <v>12</v>
      </c>
      <c r="D46" s="2">
        <v>2020</v>
      </c>
      <c r="E46" s="2">
        <v>0</v>
      </c>
      <c r="F46" s="2">
        <v>190.34</v>
      </c>
    </row>
    <row r="47" spans="1:6" x14ac:dyDescent="0.2">
      <c r="A47" s="2" t="s">
        <v>26</v>
      </c>
      <c r="B47" s="2">
        <v>22</v>
      </c>
      <c r="C47" s="2">
        <v>2</v>
      </c>
      <c r="D47" s="2">
        <v>2020</v>
      </c>
      <c r="E47" s="2">
        <v>0</v>
      </c>
      <c r="F47" s="2">
        <v>189.84</v>
      </c>
    </row>
    <row r="48" spans="1:6" x14ac:dyDescent="0.2">
      <c r="A48" s="2" t="s">
        <v>19</v>
      </c>
      <c r="B48" s="2">
        <v>24</v>
      </c>
      <c r="C48" s="2">
        <v>11</v>
      </c>
      <c r="D48" s="2">
        <v>2020</v>
      </c>
      <c r="E48" s="2">
        <v>0</v>
      </c>
      <c r="F48" s="2">
        <v>188.7</v>
      </c>
    </row>
    <row r="49" spans="1:6" x14ac:dyDescent="0.2">
      <c r="A49" s="2" t="s">
        <v>23</v>
      </c>
      <c r="B49" s="2">
        <v>5</v>
      </c>
      <c r="C49" s="2">
        <v>11</v>
      </c>
      <c r="D49" s="2">
        <v>2020</v>
      </c>
      <c r="E49" s="2">
        <v>0</v>
      </c>
      <c r="F49" s="2">
        <v>188.1</v>
      </c>
    </row>
    <row r="50" spans="1:6" x14ac:dyDescent="0.2">
      <c r="A50" s="2" t="s">
        <v>14</v>
      </c>
      <c r="B50" s="2">
        <v>10</v>
      </c>
      <c r="C50" s="2">
        <v>1</v>
      </c>
      <c r="D50" s="2">
        <v>2020</v>
      </c>
      <c r="E50" s="2">
        <v>0</v>
      </c>
      <c r="F50" s="2">
        <v>187.86</v>
      </c>
    </row>
    <row r="51" spans="1:6" x14ac:dyDescent="0.2">
      <c r="A51" s="2" t="s">
        <v>15</v>
      </c>
      <c r="B51" s="2">
        <v>5</v>
      </c>
      <c r="C51" s="2">
        <v>11</v>
      </c>
      <c r="D51" s="2">
        <v>2020</v>
      </c>
      <c r="E51" s="1" t="s">
        <v>94</v>
      </c>
      <c r="F51" s="2">
        <v>187.8</v>
      </c>
    </row>
    <row r="52" spans="1:6" x14ac:dyDescent="0.2">
      <c r="A52" s="2" t="s">
        <v>27</v>
      </c>
      <c r="B52" s="2">
        <v>1</v>
      </c>
      <c r="C52" s="2">
        <v>11</v>
      </c>
      <c r="D52" s="2">
        <v>2020</v>
      </c>
      <c r="E52" s="2">
        <v>0</v>
      </c>
      <c r="F52" s="2">
        <v>187.5</v>
      </c>
    </row>
    <row r="53" spans="1:6" x14ac:dyDescent="0.2">
      <c r="A53" s="2" t="s">
        <v>10</v>
      </c>
      <c r="B53" s="2">
        <v>18</v>
      </c>
      <c r="C53" s="2">
        <v>11</v>
      </c>
      <c r="D53" s="2">
        <v>2020</v>
      </c>
      <c r="E53" s="2">
        <v>0</v>
      </c>
      <c r="F53" s="2">
        <v>186.9</v>
      </c>
    </row>
    <row r="54" spans="1:6" x14ac:dyDescent="0.2">
      <c r="A54" s="2" t="s">
        <v>19</v>
      </c>
      <c r="B54" s="2">
        <v>24</v>
      </c>
      <c r="C54" s="2">
        <v>2</v>
      </c>
      <c r="D54" s="2">
        <v>2020</v>
      </c>
      <c r="E54" s="2">
        <v>0</v>
      </c>
      <c r="F54" s="2">
        <v>186.76</v>
      </c>
    </row>
    <row r="55" spans="1:6" x14ac:dyDescent="0.2">
      <c r="A55" s="2" t="s">
        <v>23</v>
      </c>
      <c r="B55" s="2">
        <v>5</v>
      </c>
      <c r="C55" s="2">
        <v>2</v>
      </c>
      <c r="D55" s="2">
        <v>2020</v>
      </c>
      <c r="E55" s="1" t="s">
        <v>94</v>
      </c>
      <c r="F55" s="2">
        <v>186.48</v>
      </c>
    </row>
    <row r="56" spans="1:6" x14ac:dyDescent="0.2">
      <c r="A56" s="2" t="s">
        <v>25</v>
      </c>
      <c r="B56" s="2">
        <v>8</v>
      </c>
      <c r="C56" s="2">
        <v>2</v>
      </c>
      <c r="D56" s="2">
        <v>2020</v>
      </c>
      <c r="E56" s="2">
        <v>0</v>
      </c>
      <c r="F56" s="2">
        <v>186.48</v>
      </c>
    </row>
    <row r="57" spans="1:6" x14ac:dyDescent="0.2">
      <c r="A57" s="2" t="s">
        <v>28</v>
      </c>
      <c r="B57" s="2">
        <v>5</v>
      </c>
      <c r="C57" s="2">
        <v>12</v>
      </c>
      <c r="D57" s="2">
        <v>2020</v>
      </c>
      <c r="E57" s="2">
        <v>0</v>
      </c>
      <c r="F57" s="2">
        <v>186.31</v>
      </c>
    </row>
    <row r="58" spans="1:6" x14ac:dyDescent="0.2">
      <c r="A58" s="2" t="s">
        <v>31</v>
      </c>
      <c r="B58" s="2">
        <v>14</v>
      </c>
      <c r="C58" s="2">
        <v>4</v>
      </c>
      <c r="D58" s="2">
        <v>2020</v>
      </c>
      <c r="E58" s="2">
        <v>0</v>
      </c>
      <c r="F58" s="2">
        <v>186</v>
      </c>
    </row>
    <row r="59" spans="1:6" x14ac:dyDescent="0.2">
      <c r="A59" s="2" t="s">
        <v>20</v>
      </c>
      <c r="B59" s="2">
        <v>12</v>
      </c>
      <c r="C59" s="2">
        <v>2</v>
      </c>
      <c r="D59" s="2">
        <v>2020</v>
      </c>
      <c r="E59" s="1" t="s">
        <v>94</v>
      </c>
      <c r="F59" s="2">
        <v>185.64</v>
      </c>
    </row>
    <row r="60" spans="1:6" x14ac:dyDescent="0.2">
      <c r="A60" s="2" t="s">
        <v>4</v>
      </c>
      <c r="B60" s="2">
        <v>1</v>
      </c>
      <c r="C60" s="2">
        <v>11</v>
      </c>
      <c r="D60" s="2">
        <v>2020</v>
      </c>
      <c r="E60" s="2">
        <v>0</v>
      </c>
      <c r="F60" s="2">
        <v>185.4</v>
      </c>
    </row>
    <row r="61" spans="1:6" x14ac:dyDescent="0.2">
      <c r="A61" s="2" t="s">
        <v>20</v>
      </c>
      <c r="B61" s="2">
        <v>12</v>
      </c>
      <c r="C61" s="2">
        <v>11</v>
      </c>
      <c r="D61" s="2">
        <v>2020</v>
      </c>
      <c r="E61" s="2">
        <v>0</v>
      </c>
      <c r="F61" s="2">
        <v>185.1</v>
      </c>
    </row>
    <row r="62" spans="1:6" x14ac:dyDescent="0.2">
      <c r="A62" s="2" t="s">
        <v>29</v>
      </c>
      <c r="B62" s="2">
        <v>20</v>
      </c>
      <c r="C62" s="2">
        <v>2</v>
      </c>
      <c r="D62" s="2">
        <v>2020</v>
      </c>
      <c r="E62" s="2">
        <v>0</v>
      </c>
      <c r="F62" s="2">
        <v>184.8</v>
      </c>
    </row>
    <row r="63" spans="1:6" x14ac:dyDescent="0.2">
      <c r="A63" s="2" t="s">
        <v>32</v>
      </c>
      <c r="B63" s="2">
        <v>17</v>
      </c>
      <c r="C63" s="2">
        <v>4</v>
      </c>
      <c r="D63" s="2">
        <v>2020</v>
      </c>
      <c r="E63" s="2">
        <v>0</v>
      </c>
      <c r="F63" s="2">
        <v>184.2</v>
      </c>
    </row>
    <row r="64" spans="1:6" x14ac:dyDescent="0.2">
      <c r="A64" s="2" t="s">
        <v>13</v>
      </c>
      <c r="B64" s="2">
        <v>7</v>
      </c>
      <c r="C64" s="2">
        <v>12</v>
      </c>
      <c r="D64" s="2">
        <v>2020</v>
      </c>
      <c r="E64" s="2">
        <v>0</v>
      </c>
      <c r="F64" s="2">
        <v>183.83</v>
      </c>
    </row>
    <row r="65" spans="1:6" x14ac:dyDescent="0.2">
      <c r="A65" s="2" t="s">
        <v>99</v>
      </c>
      <c r="B65" s="2">
        <v>10</v>
      </c>
      <c r="C65" s="2">
        <v>12</v>
      </c>
      <c r="D65" s="2">
        <v>2020</v>
      </c>
      <c r="E65" s="1" t="s">
        <v>94</v>
      </c>
      <c r="F65" s="2">
        <v>183.52</v>
      </c>
    </row>
    <row r="66" spans="1:6" x14ac:dyDescent="0.2">
      <c r="A66" s="2" t="s">
        <v>32</v>
      </c>
      <c r="B66" s="2">
        <v>17</v>
      </c>
      <c r="C66" s="2">
        <v>3</v>
      </c>
      <c r="D66" s="2">
        <v>2020</v>
      </c>
      <c r="E66" s="2">
        <v>0</v>
      </c>
      <c r="F66" s="2">
        <v>183.52</v>
      </c>
    </row>
    <row r="67" spans="1:6" x14ac:dyDescent="0.2">
      <c r="A67" s="2" t="s">
        <v>7</v>
      </c>
      <c r="B67" s="2">
        <v>20</v>
      </c>
      <c r="C67" s="2">
        <v>11</v>
      </c>
      <c r="D67" s="2">
        <v>2020</v>
      </c>
      <c r="E67" s="2">
        <v>0</v>
      </c>
      <c r="F67" s="2">
        <v>183.3</v>
      </c>
    </row>
    <row r="68" spans="1:6" x14ac:dyDescent="0.2">
      <c r="A68" s="2" t="s">
        <v>19</v>
      </c>
      <c r="B68" s="2">
        <v>24</v>
      </c>
      <c r="C68" s="2">
        <v>12</v>
      </c>
      <c r="D68" s="2">
        <v>2020</v>
      </c>
      <c r="E68" s="2">
        <v>0</v>
      </c>
      <c r="F68" s="2">
        <v>182.9</v>
      </c>
    </row>
    <row r="69" spans="1:6" x14ac:dyDescent="0.2">
      <c r="A69" s="2" t="s">
        <v>26</v>
      </c>
      <c r="B69" s="2">
        <v>22</v>
      </c>
      <c r="C69" s="2">
        <v>3</v>
      </c>
      <c r="D69" s="2">
        <v>2020</v>
      </c>
      <c r="E69" s="2">
        <v>0</v>
      </c>
      <c r="F69" s="2">
        <v>182.59</v>
      </c>
    </row>
    <row r="70" spans="1:6" x14ac:dyDescent="0.2">
      <c r="A70" s="2" t="s">
        <v>12</v>
      </c>
      <c r="B70" s="2">
        <v>2</v>
      </c>
      <c r="C70" s="2">
        <v>11</v>
      </c>
      <c r="D70" s="2">
        <v>2020</v>
      </c>
      <c r="E70" s="2">
        <v>0</v>
      </c>
      <c r="F70" s="2">
        <v>181.8</v>
      </c>
    </row>
    <row r="71" spans="1:6" x14ac:dyDescent="0.2">
      <c r="A71" s="2" t="s">
        <v>98</v>
      </c>
      <c r="B71" s="2">
        <v>21</v>
      </c>
      <c r="C71" s="2">
        <v>11</v>
      </c>
      <c r="D71" s="2">
        <v>2020</v>
      </c>
      <c r="E71" s="1" t="s">
        <v>94</v>
      </c>
      <c r="F71" s="2">
        <v>181.5</v>
      </c>
    </row>
    <row r="72" spans="1:6" x14ac:dyDescent="0.2">
      <c r="A72" s="2" t="s">
        <v>4</v>
      </c>
      <c r="B72" s="2">
        <v>1</v>
      </c>
      <c r="C72" s="2">
        <v>1</v>
      </c>
      <c r="D72" s="2">
        <v>2020</v>
      </c>
      <c r="E72" s="1" t="s">
        <v>94</v>
      </c>
      <c r="F72" s="2">
        <v>180.73</v>
      </c>
    </row>
    <row r="73" spans="1:6" x14ac:dyDescent="0.2">
      <c r="A73" s="2" t="s">
        <v>16</v>
      </c>
      <c r="B73" s="2">
        <v>14</v>
      </c>
      <c r="C73" s="2">
        <v>12</v>
      </c>
      <c r="D73" s="2">
        <v>2020</v>
      </c>
      <c r="E73" s="2">
        <v>0</v>
      </c>
      <c r="F73" s="2">
        <v>180.42</v>
      </c>
    </row>
    <row r="74" spans="1:6" x14ac:dyDescent="0.2">
      <c r="A74" s="2" t="s">
        <v>7</v>
      </c>
      <c r="B74" s="2">
        <v>20</v>
      </c>
      <c r="C74" s="2">
        <v>1</v>
      </c>
      <c r="D74" s="2">
        <v>2020</v>
      </c>
      <c r="E74" s="2">
        <v>0</v>
      </c>
      <c r="F74" s="2">
        <v>179.8</v>
      </c>
    </row>
    <row r="75" spans="1:6" x14ac:dyDescent="0.2">
      <c r="A75" s="2" t="s">
        <v>24</v>
      </c>
      <c r="B75" s="2">
        <v>22</v>
      </c>
      <c r="C75" s="2">
        <v>2</v>
      </c>
      <c r="D75" s="2">
        <v>2020</v>
      </c>
      <c r="E75" s="2">
        <v>0</v>
      </c>
      <c r="F75" s="2">
        <v>179.76</v>
      </c>
    </row>
    <row r="76" spans="1:6" x14ac:dyDescent="0.2">
      <c r="A76" s="2" t="s">
        <v>27</v>
      </c>
      <c r="B76" s="2">
        <v>1</v>
      </c>
      <c r="C76" s="2">
        <v>2</v>
      </c>
      <c r="D76" s="2">
        <v>2020</v>
      </c>
      <c r="E76" s="2">
        <v>0</v>
      </c>
      <c r="F76" s="2">
        <v>179.48</v>
      </c>
    </row>
    <row r="77" spans="1:6" x14ac:dyDescent="0.2">
      <c r="A77" s="2" t="s">
        <v>14</v>
      </c>
      <c r="B77" s="2">
        <v>10</v>
      </c>
      <c r="C77" s="2">
        <v>2</v>
      </c>
      <c r="D77" s="2">
        <v>2020</v>
      </c>
      <c r="E77" s="1" t="s">
        <v>94</v>
      </c>
      <c r="F77" s="2">
        <v>179.2</v>
      </c>
    </row>
    <row r="78" spans="1:6" x14ac:dyDescent="0.2">
      <c r="A78" s="2" t="s">
        <v>15</v>
      </c>
      <c r="B78" s="2">
        <v>5</v>
      </c>
      <c r="C78" s="2">
        <v>12</v>
      </c>
      <c r="D78" s="2">
        <v>2020</v>
      </c>
      <c r="E78" s="2">
        <v>0</v>
      </c>
      <c r="F78" s="2">
        <v>179.18</v>
      </c>
    </row>
    <row r="79" spans="1:6" x14ac:dyDescent="0.2">
      <c r="A79" s="2" t="s">
        <v>22</v>
      </c>
      <c r="B79" s="2">
        <v>22</v>
      </c>
      <c r="C79" s="2">
        <v>11</v>
      </c>
      <c r="D79" s="2">
        <v>2020</v>
      </c>
      <c r="E79" s="2">
        <v>0</v>
      </c>
      <c r="F79" s="2">
        <v>178.8</v>
      </c>
    </row>
    <row r="80" spans="1:6" x14ac:dyDescent="0.2">
      <c r="A80" s="2" t="s">
        <v>98</v>
      </c>
      <c r="B80" s="2">
        <v>21</v>
      </c>
      <c r="C80" s="2">
        <v>1</v>
      </c>
      <c r="D80" s="2">
        <v>2020</v>
      </c>
      <c r="E80" s="1" t="s">
        <v>94</v>
      </c>
      <c r="F80" s="2">
        <v>178.25</v>
      </c>
    </row>
    <row r="81" spans="1:6" x14ac:dyDescent="0.2">
      <c r="A81" s="2" t="s">
        <v>13</v>
      </c>
      <c r="B81" s="2">
        <v>7</v>
      </c>
      <c r="C81" s="2">
        <v>1</v>
      </c>
      <c r="D81" s="2">
        <v>2020</v>
      </c>
      <c r="E81" s="2">
        <v>0</v>
      </c>
      <c r="F81" s="2">
        <v>177.32</v>
      </c>
    </row>
    <row r="82" spans="1:6" x14ac:dyDescent="0.2">
      <c r="A82" s="2" t="s">
        <v>30</v>
      </c>
      <c r="B82" s="2">
        <v>2</v>
      </c>
      <c r="C82" s="2">
        <v>4</v>
      </c>
      <c r="D82" s="2">
        <v>2020</v>
      </c>
      <c r="E82" s="2">
        <v>0</v>
      </c>
      <c r="F82" s="2">
        <v>176.7</v>
      </c>
    </row>
    <row r="83" spans="1:6" x14ac:dyDescent="0.2">
      <c r="A83" s="2" t="s">
        <v>25</v>
      </c>
      <c r="B83" s="2">
        <v>8</v>
      </c>
      <c r="C83" s="2">
        <v>10</v>
      </c>
      <c r="D83" s="2">
        <v>2020</v>
      </c>
      <c r="E83" s="2">
        <v>0</v>
      </c>
      <c r="F83" s="2">
        <v>176.39</v>
      </c>
    </row>
    <row r="84" spans="1:6" x14ac:dyDescent="0.2">
      <c r="A84" s="2" t="s">
        <v>13</v>
      </c>
      <c r="B84" s="2">
        <v>7</v>
      </c>
      <c r="C84" s="2">
        <v>2</v>
      </c>
      <c r="D84" s="2">
        <v>2020</v>
      </c>
      <c r="E84" s="2">
        <v>0</v>
      </c>
      <c r="F84" s="2">
        <v>175.56</v>
      </c>
    </row>
    <row r="85" spans="1:6" x14ac:dyDescent="0.2">
      <c r="A85" s="2" t="s">
        <v>29</v>
      </c>
      <c r="B85" s="2">
        <v>20</v>
      </c>
      <c r="C85" s="2">
        <v>4</v>
      </c>
      <c r="D85" s="2">
        <v>2020</v>
      </c>
      <c r="E85" s="2">
        <v>0</v>
      </c>
      <c r="F85" s="2">
        <v>175.5</v>
      </c>
    </row>
    <row r="86" spans="1:6" x14ac:dyDescent="0.2">
      <c r="A86" s="2" t="s">
        <v>10</v>
      </c>
      <c r="B86" s="2">
        <v>18</v>
      </c>
      <c r="C86" s="2">
        <v>12</v>
      </c>
      <c r="D86" s="2">
        <v>2020</v>
      </c>
      <c r="E86" s="2">
        <v>0</v>
      </c>
      <c r="F86" s="2">
        <v>175.46</v>
      </c>
    </row>
    <row r="87" spans="1:6" x14ac:dyDescent="0.2">
      <c r="A87" s="2" t="s">
        <v>19</v>
      </c>
      <c r="B87" s="2">
        <v>24</v>
      </c>
      <c r="C87" s="2">
        <v>1</v>
      </c>
      <c r="D87" s="2">
        <v>2020</v>
      </c>
      <c r="E87" s="1" t="s">
        <v>94</v>
      </c>
      <c r="F87" s="2">
        <v>175.15</v>
      </c>
    </row>
    <row r="88" spans="1:6" x14ac:dyDescent="0.2">
      <c r="A88" s="2" t="s">
        <v>21</v>
      </c>
      <c r="B88" s="2">
        <v>15</v>
      </c>
      <c r="C88" s="2">
        <v>12</v>
      </c>
      <c r="D88" s="2">
        <v>2020</v>
      </c>
      <c r="E88" s="2">
        <v>0</v>
      </c>
      <c r="F88" s="2">
        <v>174.84</v>
      </c>
    </row>
    <row r="89" spans="1:6" x14ac:dyDescent="0.2">
      <c r="A89" s="2" t="s">
        <v>31</v>
      </c>
      <c r="B89" s="2">
        <v>14</v>
      </c>
      <c r="C89" s="2">
        <v>7</v>
      </c>
      <c r="D89" s="2">
        <v>2020</v>
      </c>
      <c r="E89" s="2">
        <v>0</v>
      </c>
      <c r="F89" s="2">
        <v>174.53</v>
      </c>
    </row>
    <row r="90" spans="1:6" x14ac:dyDescent="0.2">
      <c r="A90" s="2" t="s">
        <v>100</v>
      </c>
      <c r="B90" s="2">
        <v>1</v>
      </c>
      <c r="C90" s="2">
        <v>2</v>
      </c>
      <c r="D90" s="2">
        <v>2020</v>
      </c>
      <c r="E90" s="1" t="s">
        <v>94</v>
      </c>
      <c r="F90" s="2">
        <v>174.44</v>
      </c>
    </row>
    <row r="91" spans="1:6" x14ac:dyDescent="0.2">
      <c r="A91" s="2" t="s">
        <v>21</v>
      </c>
      <c r="B91" s="2">
        <v>15</v>
      </c>
      <c r="C91" s="2">
        <v>11</v>
      </c>
      <c r="D91" s="2">
        <v>2020</v>
      </c>
      <c r="E91" s="2">
        <v>0</v>
      </c>
      <c r="F91" s="2">
        <v>174</v>
      </c>
    </row>
    <row r="92" spans="1:6" x14ac:dyDescent="0.2">
      <c r="A92" s="2" t="s">
        <v>4</v>
      </c>
      <c r="B92" s="2">
        <v>1</v>
      </c>
      <c r="C92" s="2">
        <v>12</v>
      </c>
      <c r="D92" s="2">
        <v>2020</v>
      </c>
      <c r="E92" s="2">
        <v>0</v>
      </c>
      <c r="F92" s="2">
        <v>173.91</v>
      </c>
    </row>
    <row r="93" spans="1:6" x14ac:dyDescent="0.2">
      <c r="A93" s="2" t="s">
        <v>30</v>
      </c>
      <c r="B93" s="2">
        <v>2</v>
      </c>
      <c r="C93" s="2">
        <v>2</v>
      </c>
      <c r="D93" s="2">
        <v>2020</v>
      </c>
      <c r="E93" s="2">
        <v>0</v>
      </c>
      <c r="F93" s="2">
        <v>173.32</v>
      </c>
    </row>
    <row r="94" spans="1:6" x14ac:dyDescent="0.2">
      <c r="A94" s="2" t="s">
        <v>31</v>
      </c>
      <c r="B94" s="2">
        <v>14</v>
      </c>
      <c r="C94" s="2">
        <v>10</v>
      </c>
      <c r="D94" s="2">
        <v>2020</v>
      </c>
      <c r="E94" s="2">
        <v>0</v>
      </c>
      <c r="F94" s="2">
        <v>173.29</v>
      </c>
    </row>
    <row r="95" spans="1:6" x14ac:dyDescent="0.2">
      <c r="A95" s="2" t="s">
        <v>14</v>
      </c>
      <c r="B95" s="2">
        <v>10</v>
      </c>
      <c r="C95" s="2">
        <v>11</v>
      </c>
      <c r="D95" s="2">
        <v>2020</v>
      </c>
      <c r="E95" s="2">
        <v>0</v>
      </c>
      <c r="F95" s="2">
        <v>172.5</v>
      </c>
    </row>
    <row r="96" spans="1:6" x14ac:dyDescent="0.2">
      <c r="A96" s="2" t="s">
        <v>18</v>
      </c>
      <c r="B96" s="2">
        <v>5</v>
      </c>
      <c r="C96" s="2">
        <v>11</v>
      </c>
      <c r="D96" s="2">
        <v>2020</v>
      </c>
      <c r="E96" s="2">
        <v>0</v>
      </c>
      <c r="F96" s="2">
        <v>172.2</v>
      </c>
    </row>
    <row r="97" spans="1:6" x14ac:dyDescent="0.2">
      <c r="A97" s="2" t="s">
        <v>99</v>
      </c>
      <c r="B97" s="2">
        <v>10</v>
      </c>
      <c r="C97" s="2">
        <v>1</v>
      </c>
      <c r="D97" s="2">
        <v>2020</v>
      </c>
      <c r="E97" s="1" t="s">
        <v>94</v>
      </c>
      <c r="F97" s="2">
        <v>172.05</v>
      </c>
    </row>
    <row r="98" spans="1:6" x14ac:dyDescent="0.2">
      <c r="A98" s="2" t="s">
        <v>15</v>
      </c>
      <c r="B98" s="2">
        <v>5</v>
      </c>
      <c r="C98" s="2">
        <v>1</v>
      </c>
      <c r="D98" s="2">
        <v>2020</v>
      </c>
      <c r="E98" s="2">
        <v>0</v>
      </c>
      <c r="F98" s="2">
        <v>171.74</v>
      </c>
    </row>
    <row r="99" spans="1:6" x14ac:dyDescent="0.2">
      <c r="A99" s="2" t="s">
        <v>30</v>
      </c>
      <c r="B99" s="2">
        <v>2</v>
      </c>
      <c r="C99" s="2">
        <v>10</v>
      </c>
      <c r="D99" s="2">
        <v>2020</v>
      </c>
      <c r="E99" s="2">
        <v>0</v>
      </c>
      <c r="F99" s="2">
        <v>171.74</v>
      </c>
    </row>
    <row r="100" spans="1:6" x14ac:dyDescent="0.2">
      <c r="A100" s="2" t="s">
        <v>24</v>
      </c>
      <c r="B100" s="2">
        <v>22</v>
      </c>
      <c r="C100" s="2">
        <v>10</v>
      </c>
      <c r="D100" s="2">
        <v>2020</v>
      </c>
      <c r="E100" s="2">
        <v>0</v>
      </c>
      <c r="F100" s="2">
        <v>171.43</v>
      </c>
    </row>
    <row r="101" spans="1:6" x14ac:dyDescent="0.2">
      <c r="A101" s="2" t="s">
        <v>17</v>
      </c>
      <c r="B101" s="2">
        <v>8</v>
      </c>
      <c r="C101" s="2">
        <v>11</v>
      </c>
      <c r="D101" s="2">
        <v>2020</v>
      </c>
      <c r="E101" s="2">
        <v>0</v>
      </c>
      <c r="F101" s="2">
        <v>171.3</v>
      </c>
    </row>
    <row r="102" spans="1:6" x14ac:dyDescent="0.2">
      <c r="A102" s="2" t="s">
        <v>32</v>
      </c>
      <c r="B102" s="2">
        <v>17</v>
      </c>
      <c r="C102" s="2">
        <v>6</v>
      </c>
      <c r="D102" s="2">
        <v>2020</v>
      </c>
      <c r="E102" s="2">
        <v>0</v>
      </c>
      <c r="F102" s="2">
        <v>171</v>
      </c>
    </row>
    <row r="103" spans="1:6" x14ac:dyDescent="0.2">
      <c r="A103" s="2" t="s">
        <v>13</v>
      </c>
      <c r="B103" s="2">
        <v>7</v>
      </c>
      <c r="C103" s="2">
        <v>11</v>
      </c>
      <c r="D103" s="2">
        <v>2020</v>
      </c>
      <c r="E103" s="2">
        <v>0</v>
      </c>
      <c r="F103" s="2">
        <v>171</v>
      </c>
    </row>
    <row r="104" spans="1:6" x14ac:dyDescent="0.2">
      <c r="A104" s="2" t="s">
        <v>4</v>
      </c>
      <c r="B104" s="2">
        <v>1</v>
      </c>
      <c r="C104" s="2">
        <v>2</v>
      </c>
      <c r="D104" s="2">
        <v>2020</v>
      </c>
      <c r="E104" s="2">
        <v>0</v>
      </c>
      <c r="F104" s="2">
        <v>170.8</v>
      </c>
    </row>
    <row r="105" spans="1:6" x14ac:dyDescent="0.2">
      <c r="A105" s="2" t="s">
        <v>18</v>
      </c>
      <c r="B105" s="2">
        <v>5</v>
      </c>
      <c r="C105" s="2">
        <v>2</v>
      </c>
      <c r="D105" s="2">
        <v>2020</v>
      </c>
      <c r="E105" s="2">
        <v>0</v>
      </c>
      <c r="F105" s="2">
        <v>170.24</v>
      </c>
    </row>
    <row r="106" spans="1:6" x14ac:dyDescent="0.2">
      <c r="A106" s="2" t="s">
        <v>10</v>
      </c>
      <c r="B106" s="2">
        <v>18</v>
      </c>
      <c r="C106" s="2">
        <v>1</v>
      </c>
      <c r="D106" s="2">
        <v>2020</v>
      </c>
      <c r="E106" s="2">
        <v>0</v>
      </c>
      <c r="F106" s="2">
        <v>170.19</v>
      </c>
    </row>
    <row r="107" spans="1:6" x14ac:dyDescent="0.2">
      <c r="A107" s="2" t="s">
        <v>23</v>
      </c>
      <c r="B107" s="2">
        <v>5</v>
      </c>
      <c r="C107" s="2">
        <v>3</v>
      </c>
      <c r="D107" s="2">
        <v>2020</v>
      </c>
      <c r="E107" s="2">
        <v>0</v>
      </c>
      <c r="F107" s="2">
        <v>170.19</v>
      </c>
    </row>
    <row r="108" spans="1:6" x14ac:dyDescent="0.2">
      <c r="A108" s="2" t="s">
        <v>16</v>
      </c>
      <c r="B108" s="2">
        <v>14</v>
      </c>
      <c r="C108" s="2">
        <v>11</v>
      </c>
      <c r="D108" s="2">
        <v>2020</v>
      </c>
      <c r="E108" s="1" t="s">
        <v>94</v>
      </c>
      <c r="F108" s="2">
        <v>170.1</v>
      </c>
    </row>
    <row r="109" spans="1:6" x14ac:dyDescent="0.2">
      <c r="A109" s="2" t="s">
        <v>6</v>
      </c>
      <c r="B109" s="2">
        <v>7</v>
      </c>
      <c r="C109" s="2">
        <v>12</v>
      </c>
      <c r="D109" s="2">
        <v>2020</v>
      </c>
      <c r="E109" s="1" t="s">
        <v>94</v>
      </c>
      <c r="F109" s="2">
        <v>169.88</v>
      </c>
    </row>
    <row r="110" spans="1:6" x14ac:dyDescent="0.2">
      <c r="A110" s="2" t="s">
        <v>21</v>
      </c>
      <c r="B110" s="2">
        <v>15</v>
      </c>
      <c r="C110" s="2">
        <v>1</v>
      </c>
      <c r="D110" s="2">
        <v>2020</v>
      </c>
      <c r="E110" s="1" t="s">
        <v>94</v>
      </c>
      <c r="F110" s="2">
        <v>169.57</v>
      </c>
    </row>
    <row r="111" spans="1:6" x14ac:dyDescent="0.2">
      <c r="A111" s="2" t="s">
        <v>18</v>
      </c>
      <c r="B111" s="2">
        <v>5</v>
      </c>
      <c r="C111" s="2">
        <v>12</v>
      </c>
      <c r="D111" s="2">
        <v>2020</v>
      </c>
      <c r="E111" s="2">
        <v>0</v>
      </c>
      <c r="F111" s="2">
        <v>169.57</v>
      </c>
    </row>
    <row r="112" spans="1:6" x14ac:dyDescent="0.2">
      <c r="A112" s="2" t="s">
        <v>97</v>
      </c>
      <c r="B112" s="2">
        <v>12</v>
      </c>
      <c r="C112" s="2">
        <v>12</v>
      </c>
      <c r="D112" s="2">
        <v>2020</v>
      </c>
      <c r="E112" s="1" t="s">
        <v>94</v>
      </c>
      <c r="F112" s="2">
        <v>168.64</v>
      </c>
    </row>
    <row r="113" spans="1:6" x14ac:dyDescent="0.2">
      <c r="A113" s="2" t="s">
        <v>98</v>
      </c>
      <c r="B113" s="2">
        <v>21</v>
      </c>
      <c r="C113" s="2">
        <v>12</v>
      </c>
      <c r="D113" s="2">
        <v>2020</v>
      </c>
      <c r="E113" s="1" t="s">
        <v>94</v>
      </c>
      <c r="F113" s="2">
        <v>168.64</v>
      </c>
    </row>
    <row r="114" spans="1:6" x14ac:dyDescent="0.2">
      <c r="A114" s="2" t="s">
        <v>12</v>
      </c>
      <c r="B114" s="2">
        <v>2</v>
      </c>
      <c r="C114" s="2">
        <v>1</v>
      </c>
      <c r="D114" s="2">
        <v>2020</v>
      </c>
      <c r="E114" s="2">
        <v>0</v>
      </c>
      <c r="F114" s="2">
        <v>168.33</v>
      </c>
    </row>
    <row r="115" spans="1:6" x14ac:dyDescent="0.2">
      <c r="A115" s="2" t="s">
        <v>8</v>
      </c>
      <c r="B115" s="2">
        <v>5</v>
      </c>
      <c r="C115" s="2">
        <v>12</v>
      </c>
      <c r="D115" s="2">
        <v>2020</v>
      </c>
      <c r="E115" s="2">
        <v>0</v>
      </c>
      <c r="F115" s="2">
        <v>168.02</v>
      </c>
    </row>
    <row r="116" spans="1:6" x14ac:dyDescent="0.2">
      <c r="A116" s="2" t="s">
        <v>3</v>
      </c>
      <c r="B116" s="2">
        <v>25</v>
      </c>
      <c r="C116" s="2">
        <v>12</v>
      </c>
      <c r="D116" s="2">
        <v>2020</v>
      </c>
      <c r="E116" s="2">
        <v>0</v>
      </c>
      <c r="F116" s="2">
        <v>168.02</v>
      </c>
    </row>
    <row r="117" spans="1:6" x14ac:dyDescent="0.2">
      <c r="A117" s="2" t="s">
        <v>12</v>
      </c>
      <c r="B117" s="2">
        <v>2</v>
      </c>
      <c r="C117" s="2">
        <v>12</v>
      </c>
      <c r="D117" s="2">
        <v>2020</v>
      </c>
      <c r="E117" s="2">
        <v>0</v>
      </c>
      <c r="F117" s="2">
        <v>167.71</v>
      </c>
    </row>
    <row r="118" spans="1:6" x14ac:dyDescent="0.2">
      <c r="A118" s="2" t="s">
        <v>22</v>
      </c>
      <c r="B118" s="2">
        <v>22</v>
      </c>
      <c r="C118" s="2">
        <v>4</v>
      </c>
      <c r="D118" s="2">
        <v>2020</v>
      </c>
      <c r="E118" s="2">
        <v>0</v>
      </c>
      <c r="F118" s="2">
        <v>167.1</v>
      </c>
    </row>
    <row r="119" spans="1:6" x14ac:dyDescent="0.2">
      <c r="A119" s="2" t="s">
        <v>30</v>
      </c>
      <c r="B119" s="2">
        <v>2</v>
      </c>
      <c r="C119" s="2">
        <v>3</v>
      </c>
      <c r="D119" s="2">
        <v>2020</v>
      </c>
      <c r="E119" s="2">
        <v>0</v>
      </c>
      <c r="F119" s="2">
        <v>167.09</v>
      </c>
    </row>
    <row r="120" spans="1:6" x14ac:dyDescent="0.2">
      <c r="A120" s="2" t="s">
        <v>28</v>
      </c>
      <c r="B120" s="2">
        <v>5</v>
      </c>
      <c r="C120" s="2">
        <v>3</v>
      </c>
      <c r="D120" s="2">
        <v>2020</v>
      </c>
      <c r="E120" s="1" t="s">
        <v>94</v>
      </c>
      <c r="F120" s="2">
        <v>166.47</v>
      </c>
    </row>
    <row r="121" spans="1:6" x14ac:dyDescent="0.2">
      <c r="A121" s="2" t="s">
        <v>11</v>
      </c>
      <c r="B121" s="2">
        <v>15</v>
      </c>
      <c r="C121" s="2">
        <v>2</v>
      </c>
      <c r="D121" s="2">
        <v>2020</v>
      </c>
      <c r="E121" s="2">
        <v>0</v>
      </c>
      <c r="F121" s="2">
        <v>166.32</v>
      </c>
    </row>
    <row r="122" spans="1:6" x14ac:dyDescent="0.2">
      <c r="A122" s="2" t="s">
        <v>23</v>
      </c>
      <c r="B122" s="2">
        <v>5</v>
      </c>
      <c r="C122" s="2">
        <v>4</v>
      </c>
      <c r="D122" s="2">
        <v>2020</v>
      </c>
      <c r="E122" s="2">
        <v>0</v>
      </c>
      <c r="F122" s="2">
        <v>166.2</v>
      </c>
    </row>
    <row r="123" spans="1:6" x14ac:dyDescent="0.2">
      <c r="A123" s="2" t="s">
        <v>20</v>
      </c>
      <c r="B123" s="2">
        <v>12</v>
      </c>
      <c r="C123" s="2">
        <v>12</v>
      </c>
      <c r="D123" s="2">
        <v>2020</v>
      </c>
      <c r="E123" s="1" t="s">
        <v>94</v>
      </c>
      <c r="F123" s="2">
        <v>166.16</v>
      </c>
    </row>
    <row r="124" spans="1:6" x14ac:dyDescent="0.2">
      <c r="A124" s="2" t="s">
        <v>7</v>
      </c>
      <c r="B124" s="2">
        <v>20</v>
      </c>
      <c r="C124" s="2">
        <v>2</v>
      </c>
      <c r="D124" s="2">
        <v>2020</v>
      </c>
      <c r="E124" s="2">
        <v>0</v>
      </c>
      <c r="F124" s="2">
        <v>166.04</v>
      </c>
    </row>
    <row r="125" spans="1:6" x14ac:dyDescent="0.2">
      <c r="A125" s="2" t="s">
        <v>27</v>
      </c>
      <c r="B125" s="2">
        <v>1</v>
      </c>
      <c r="C125" s="2">
        <v>3</v>
      </c>
      <c r="D125" s="2">
        <v>2020</v>
      </c>
      <c r="E125" s="2">
        <v>0</v>
      </c>
      <c r="F125" s="2">
        <v>165.85</v>
      </c>
    </row>
    <row r="126" spans="1:6" x14ac:dyDescent="0.2">
      <c r="A126" s="2" t="s">
        <v>11</v>
      </c>
      <c r="B126" s="2">
        <v>15</v>
      </c>
      <c r="C126" s="2">
        <v>3</v>
      </c>
      <c r="D126" s="2">
        <v>2020</v>
      </c>
      <c r="E126" s="2">
        <v>0</v>
      </c>
      <c r="F126" s="2">
        <v>164.61</v>
      </c>
    </row>
    <row r="127" spans="1:6" x14ac:dyDescent="0.2">
      <c r="A127" s="2" t="s">
        <v>29</v>
      </c>
      <c r="B127" s="2">
        <v>20</v>
      </c>
      <c r="C127" s="2">
        <v>10</v>
      </c>
      <c r="D127" s="2">
        <v>2020</v>
      </c>
      <c r="E127" s="2">
        <v>0</v>
      </c>
      <c r="F127" s="2">
        <v>164.61</v>
      </c>
    </row>
    <row r="128" spans="1:6" x14ac:dyDescent="0.2">
      <c r="A128" s="2" t="s">
        <v>100</v>
      </c>
      <c r="B128" s="2">
        <v>1</v>
      </c>
      <c r="C128" s="2">
        <v>11</v>
      </c>
      <c r="D128" s="2">
        <v>2020</v>
      </c>
      <c r="E128" s="1" t="s">
        <v>94</v>
      </c>
      <c r="F128" s="2">
        <v>164.4</v>
      </c>
    </row>
    <row r="129" spans="1:6" x14ac:dyDescent="0.2">
      <c r="A129" s="2" t="s">
        <v>15</v>
      </c>
      <c r="B129" s="2">
        <v>5</v>
      </c>
      <c r="C129" s="2">
        <v>4</v>
      </c>
      <c r="D129" s="2">
        <v>2020</v>
      </c>
      <c r="E129" s="2">
        <v>0</v>
      </c>
      <c r="F129" s="2">
        <v>164.1</v>
      </c>
    </row>
    <row r="130" spans="1:6" x14ac:dyDescent="0.2">
      <c r="A130" s="2" t="s">
        <v>24</v>
      </c>
      <c r="B130" s="2">
        <v>22</v>
      </c>
      <c r="C130" s="2">
        <v>4</v>
      </c>
      <c r="D130" s="2">
        <v>2020</v>
      </c>
      <c r="E130" s="2">
        <v>0</v>
      </c>
      <c r="F130" s="2">
        <v>162.9</v>
      </c>
    </row>
    <row r="131" spans="1:6" x14ac:dyDescent="0.2">
      <c r="A131" s="2" t="s">
        <v>2</v>
      </c>
      <c r="B131" s="2">
        <v>18</v>
      </c>
      <c r="C131" s="2">
        <v>11</v>
      </c>
      <c r="D131" s="2">
        <v>2020</v>
      </c>
      <c r="E131" s="2">
        <v>0</v>
      </c>
      <c r="F131" s="2">
        <v>162.9</v>
      </c>
    </row>
    <row r="132" spans="1:6" x14ac:dyDescent="0.2">
      <c r="A132" s="2" t="s">
        <v>30</v>
      </c>
      <c r="B132" s="2">
        <v>2</v>
      </c>
      <c r="C132" s="2">
        <v>5</v>
      </c>
      <c r="D132" s="2">
        <v>2020</v>
      </c>
      <c r="E132" s="2">
        <v>0</v>
      </c>
      <c r="F132" s="2">
        <v>162.75</v>
      </c>
    </row>
    <row r="133" spans="1:6" x14ac:dyDescent="0.2">
      <c r="A133" s="2" t="s">
        <v>11</v>
      </c>
      <c r="B133" s="2">
        <v>15</v>
      </c>
      <c r="C133" s="2">
        <v>10</v>
      </c>
      <c r="D133" s="2">
        <v>2020</v>
      </c>
      <c r="E133" s="2">
        <v>0</v>
      </c>
      <c r="F133" s="2">
        <v>162.75</v>
      </c>
    </row>
    <row r="134" spans="1:6" x14ac:dyDescent="0.2">
      <c r="A134" s="2" t="s">
        <v>8</v>
      </c>
      <c r="B134" s="2">
        <v>5</v>
      </c>
      <c r="C134" s="2">
        <v>11</v>
      </c>
      <c r="D134" s="2">
        <v>2020</v>
      </c>
      <c r="E134" s="2">
        <v>0</v>
      </c>
      <c r="F134" s="2">
        <v>162.6</v>
      </c>
    </row>
    <row r="135" spans="1:6" x14ac:dyDescent="0.2">
      <c r="A135" s="2" t="s">
        <v>99</v>
      </c>
      <c r="B135" s="2">
        <v>10</v>
      </c>
      <c r="C135" s="2">
        <v>2</v>
      </c>
      <c r="D135" s="2">
        <v>2020</v>
      </c>
      <c r="E135" s="1" t="s">
        <v>94</v>
      </c>
      <c r="F135" s="2">
        <v>162.4</v>
      </c>
    </row>
    <row r="136" spans="1:6" x14ac:dyDescent="0.2">
      <c r="A136" s="2" t="s">
        <v>1</v>
      </c>
      <c r="B136" s="2">
        <v>21</v>
      </c>
      <c r="C136" s="2">
        <v>11</v>
      </c>
      <c r="D136" s="2">
        <v>2020</v>
      </c>
      <c r="E136" s="2">
        <v>0</v>
      </c>
      <c r="F136" s="2">
        <v>162</v>
      </c>
    </row>
    <row r="137" spans="1:6" x14ac:dyDescent="0.2">
      <c r="A137" s="2" t="s">
        <v>1</v>
      </c>
      <c r="B137" s="2">
        <v>21</v>
      </c>
      <c r="C137" s="2">
        <v>1</v>
      </c>
      <c r="D137" s="2">
        <v>2020</v>
      </c>
      <c r="E137" s="2">
        <v>0</v>
      </c>
      <c r="F137" s="2">
        <v>161.82</v>
      </c>
    </row>
    <row r="138" spans="1:6" x14ac:dyDescent="0.2">
      <c r="A138" s="2" t="s">
        <v>24</v>
      </c>
      <c r="B138" s="2">
        <v>22</v>
      </c>
      <c r="C138" s="2">
        <v>3</v>
      </c>
      <c r="D138" s="2">
        <v>2020</v>
      </c>
      <c r="E138" s="2">
        <v>0</v>
      </c>
      <c r="F138" s="2">
        <v>161.82</v>
      </c>
    </row>
    <row r="139" spans="1:6" x14ac:dyDescent="0.2">
      <c r="A139" s="2" t="s">
        <v>17</v>
      </c>
      <c r="B139" s="2">
        <v>8</v>
      </c>
      <c r="C139" s="2">
        <v>12</v>
      </c>
      <c r="D139" s="2">
        <v>2020</v>
      </c>
      <c r="E139" s="2">
        <v>0</v>
      </c>
      <c r="F139" s="2">
        <v>161.51</v>
      </c>
    </row>
    <row r="140" spans="1:6" x14ac:dyDescent="0.2">
      <c r="A140" s="2" t="s">
        <v>27</v>
      </c>
      <c r="B140" s="2">
        <v>1</v>
      </c>
      <c r="C140" s="2">
        <v>4</v>
      </c>
      <c r="D140" s="2">
        <v>2020</v>
      </c>
      <c r="E140" s="1" t="s">
        <v>94</v>
      </c>
      <c r="F140" s="2">
        <v>161.4</v>
      </c>
    </row>
    <row r="141" spans="1:6" x14ac:dyDescent="0.2">
      <c r="A141" s="2" t="s">
        <v>32</v>
      </c>
      <c r="B141" s="2">
        <v>17</v>
      </c>
      <c r="C141" s="2">
        <v>5</v>
      </c>
      <c r="D141" s="2">
        <v>2020</v>
      </c>
      <c r="E141" s="2">
        <v>0</v>
      </c>
      <c r="F141" s="2">
        <v>161.19999999999999</v>
      </c>
    </row>
    <row r="142" spans="1:6" x14ac:dyDescent="0.2">
      <c r="A142" s="2" t="s">
        <v>20</v>
      </c>
      <c r="B142" s="2">
        <v>12</v>
      </c>
      <c r="C142" s="2">
        <v>1</v>
      </c>
      <c r="D142" s="2">
        <v>2020</v>
      </c>
      <c r="E142" s="1" t="s">
        <v>94</v>
      </c>
      <c r="F142" s="2">
        <v>160.88999999999999</v>
      </c>
    </row>
    <row r="143" spans="1:6" x14ac:dyDescent="0.2">
      <c r="A143" s="2" t="s">
        <v>10</v>
      </c>
      <c r="B143" s="2">
        <v>18</v>
      </c>
      <c r="C143" s="2">
        <v>2</v>
      </c>
      <c r="D143" s="2">
        <v>2020</v>
      </c>
      <c r="E143" s="1" t="s">
        <v>94</v>
      </c>
      <c r="F143" s="2">
        <v>160.72</v>
      </c>
    </row>
    <row r="144" spans="1:6" x14ac:dyDescent="0.2">
      <c r="A144" s="2" t="s">
        <v>7</v>
      </c>
      <c r="B144" s="2">
        <v>20</v>
      </c>
      <c r="C144" s="2">
        <v>12</v>
      </c>
      <c r="D144" s="2">
        <v>2020</v>
      </c>
      <c r="E144" s="1" t="s">
        <v>94</v>
      </c>
      <c r="F144" s="2">
        <v>160.58000000000001</v>
      </c>
    </row>
    <row r="145" spans="1:6" x14ac:dyDescent="0.2">
      <c r="A145" s="2" t="s">
        <v>17</v>
      </c>
      <c r="B145" s="2">
        <v>8</v>
      </c>
      <c r="C145" s="2">
        <v>2</v>
      </c>
      <c r="D145" s="2">
        <v>2020</v>
      </c>
      <c r="E145" s="2">
        <v>0</v>
      </c>
      <c r="F145" s="2">
        <v>160.44</v>
      </c>
    </row>
    <row r="146" spans="1:6" x14ac:dyDescent="0.2">
      <c r="A146" s="2" t="s">
        <v>97</v>
      </c>
      <c r="B146" s="2">
        <v>12</v>
      </c>
      <c r="C146" s="2">
        <v>1</v>
      </c>
      <c r="D146" s="2">
        <v>2020</v>
      </c>
      <c r="E146" s="1" t="s">
        <v>94</v>
      </c>
      <c r="F146" s="2">
        <v>160.27000000000001</v>
      </c>
    </row>
    <row r="147" spans="1:6" x14ac:dyDescent="0.2">
      <c r="A147" s="2" t="s">
        <v>28</v>
      </c>
      <c r="B147" s="2">
        <v>5</v>
      </c>
      <c r="C147" s="2">
        <v>10</v>
      </c>
      <c r="D147" s="2">
        <v>2020</v>
      </c>
      <c r="E147" s="2">
        <v>0</v>
      </c>
      <c r="F147" s="2">
        <v>159.96</v>
      </c>
    </row>
    <row r="148" spans="1:6" x14ac:dyDescent="0.2">
      <c r="A148" s="2" t="s">
        <v>22</v>
      </c>
      <c r="B148" s="2">
        <v>22</v>
      </c>
      <c r="C148" s="2">
        <v>10</v>
      </c>
      <c r="D148" s="2">
        <v>2020</v>
      </c>
      <c r="E148" s="1" t="s">
        <v>94</v>
      </c>
      <c r="F148" s="2">
        <v>159.65</v>
      </c>
    </row>
    <row r="149" spans="1:6" x14ac:dyDescent="0.2">
      <c r="A149" s="2" t="s">
        <v>31</v>
      </c>
      <c r="B149" s="2">
        <v>14</v>
      </c>
      <c r="C149" s="2">
        <v>5</v>
      </c>
      <c r="D149" s="2">
        <v>2020</v>
      </c>
      <c r="E149" s="2">
        <v>0</v>
      </c>
      <c r="F149" s="2">
        <v>159.65</v>
      </c>
    </row>
    <row r="150" spans="1:6" x14ac:dyDescent="0.2">
      <c r="A150" s="2" t="s">
        <v>7</v>
      </c>
      <c r="B150" s="2">
        <v>20</v>
      </c>
      <c r="C150" s="2">
        <v>10</v>
      </c>
      <c r="D150" s="2">
        <v>2020</v>
      </c>
      <c r="E150" s="2">
        <v>0</v>
      </c>
      <c r="F150" s="2">
        <v>159.65</v>
      </c>
    </row>
    <row r="151" spans="1:6" x14ac:dyDescent="0.2">
      <c r="A151" s="2" t="s">
        <v>25</v>
      </c>
      <c r="B151" s="2">
        <v>8</v>
      </c>
      <c r="C151" s="2">
        <v>3</v>
      </c>
      <c r="D151" s="2">
        <v>2020</v>
      </c>
      <c r="E151" s="1" t="s">
        <v>94</v>
      </c>
      <c r="F151" s="2">
        <v>159.03</v>
      </c>
    </row>
    <row r="152" spans="1:6" x14ac:dyDescent="0.2">
      <c r="A152" s="2" t="s">
        <v>13</v>
      </c>
      <c r="B152" s="2">
        <v>7</v>
      </c>
      <c r="C152" s="2">
        <v>4</v>
      </c>
      <c r="D152" s="2">
        <v>2020</v>
      </c>
      <c r="E152" s="2">
        <v>0</v>
      </c>
      <c r="F152" s="2">
        <v>158.69999999999999</v>
      </c>
    </row>
    <row r="153" spans="1:6" x14ac:dyDescent="0.2">
      <c r="A153" s="2" t="s">
        <v>26</v>
      </c>
      <c r="B153" s="2">
        <v>22</v>
      </c>
      <c r="C153" s="2">
        <v>4</v>
      </c>
      <c r="D153" s="2">
        <v>2020</v>
      </c>
      <c r="E153" s="2">
        <v>0</v>
      </c>
      <c r="F153" s="2">
        <v>158.69999999999999</v>
      </c>
    </row>
    <row r="154" spans="1:6" x14ac:dyDescent="0.2">
      <c r="A154" s="2" t="s">
        <v>28</v>
      </c>
      <c r="B154" s="2">
        <v>5</v>
      </c>
      <c r="C154" s="2">
        <v>5</v>
      </c>
      <c r="D154" s="2">
        <v>2020</v>
      </c>
      <c r="E154" s="2">
        <v>0</v>
      </c>
      <c r="F154" s="2">
        <v>157.16999999999999</v>
      </c>
    </row>
    <row r="155" spans="1:6" x14ac:dyDescent="0.2">
      <c r="A155" s="2" t="s">
        <v>100</v>
      </c>
      <c r="B155" s="2">
        <v>1</v>
      </c>
      <c r="C155" s="2">
        <v>4</v>
      </c>
      <c r="D155" s="2">
        <v>2020</v>
      </c>
      <c r="E155" s="1" t="s">
        <v>94</v>
      </c>
      <c r="F155" s="2">
        <v>156.6</v>
      </c>
    </row>
    <row r="156" spans="1:6" x14ac:dyDescent="0.2">
      <c r="A156" s="2" t="s">
        <v>32</v>
      </c>
      <c r="B156" s="2">
        <v>17</v>
      </c>
      <c r="C156" s="2">
        <v>9</v>
      </c>
      <c r="D156" s="2">
        <v>2020</v>
      </c>
      <c r="E156" s="2">
        <v>0</v>
      </c>
      <c r="F156" s="2">
        <v>156.6</v>
      </c>
    </row>
    <row r="157" spans="1:6" x14ac:dyDescent="0.2">
      <c r="A157" s="2" t="s">
        <v>13</v>
      </c>
      <c r="B157" s="2">
        <v>7</v>
      </c>
      <c r="C157" s="2">
        <v>3</v>
      </c>
      <c r="D157" s="2">
        <v>2020</v>
      </c>
      <c r="E157" s="1" t="s">
        <v>94</v>
      </c>
      <c r="F157" s="2">
        <v>156.55000000000001</v>
      </c>
    </row>
    <row r="158" spans="1:6" x14ac:dyDescent="0.2">
      <c r="A158" s="2" t="s">
        <v>16</v>
      </c>
      <c r="B158" s="2">
        <v>14</v>
      </c>
      <c r="C158" s="2">
        <v>3</v>
      </c>
      <c r="D158" s="2">
        <v>2020</v>
      </c>
      <c r="E158" s="2">
        <v>0</v>
      </c>
      <c r="F158" s="2">
        <v>156.55000000000001</v>
      </c>
    </row>
    <row r="159" spans="1:6" x14ac:dyDescent="0.2">
      <c r="A159" s="2" t="s">
        <v>18</v>
      </c>
      <c r="B159" s="2">
        <v>5</v>
      </c>
      <c r="C159" s="2">
        <v>3</v>
      </c>
      <c r="D159" s="2">
        <v>2020</v>
      </c>
      <c r="E159" s="2">
        <v>0</v>
      </c>
      <c r="F159" s="2">
        <v>156.24</v>
      </c>
    </row>
    <row r="160" spans="1:6" x14ac:dyDescent="0.2">
      <c r="A160" s="2" t="s">
        <v>20</v>
      </c>
      <c r="B160" s="2">
        <v>12</v>
      </c>
      <c r="C160" s="2">
        <v>3</v>
      </c>
      <c r="D160" s="2">
        <v>2020</v>
      </c>
      <c r="E160" s="2">
        <v>0</v>
      </c>
      <c r="F160" s="2">
        <v>156.24</v>
      </c>
    </row>
    <row r="161" spans="1:6" x14ac:dyDescent="0.2">
      <c r="A161" s="2" t="s">
        <v>99</v>
      </c>
      <c r="B161" s="2">
        <v>10</v>
      </c>
      <c r="C161" s="2">
        <v>10</v>
      </c>
      <c r="D161" s="2">
        <v>2020</v>
      </c>
      <c r="E161" s="1" t="s">
        <v>94</v>
      </c>
      <c r="F161" s="2">
        <v>155.93</v>
      </c>
    </row>
    <row r="162" spans="1:6" x14ac:dyDescent="0.2">
      <c r="A162" s="2" t="s">
        <v>2</v>
      </c>
      <c r="B162" s="2">
        <v>18</v>
      </c>
      <c r="C162" s="2">
        <v>2</v>
      </c>
      <c r="D162" s="2">
        <v>2020</v>
      </c>
      <c r="E162" s="2">
        <v>0</v>
      </c>
      <c r="F162" s="2">
        <v>155.4</v>
      </c>
    </row>
    <row r="163" spans="1:6" x14ac:dyDescent="0.2">
      <c r="A163" s="2" t="s">
        <v>5</v>
      </c>
      <c r="B163" s="2">
        <v>7</v>
      </c>
      <c r="C163" s="2">
        <v>1</v>
      </c>
      <c r="D163" s="2">
        <v>2020</v>
      </c>
      <c r="E163" s="2">
        <v>0</v>
      </c>
      <c r="F163" s="2">
        <v>155.31</v>
      </c>
    </row>
    <row r="164" spans="1:6" x14ac:dyDescent="0.2">
      <c r="A164" s="2" t="s">
        <v>29</v>
      </c>
      <c r="B164" s="2">
        <v>20</v>
      </c>
      <c r="C164" s="2">
        <v>3</v>
      </c>
      <c r="D164" s="2">
        <v>2020</v>
      </c>
      <c r="E164" s="2">
        <v>0</v>
      </c>
      <c r="F164" s="2">
        <v>155.31</v>
      </c>
    </row>
    <row r="165" spans="1:6" x14ac:dyDescent="0.2">
      <c r="A165" s="2" t="s">
        <v>1</v>
      </c>
      <c r="B165" s="2">
        <v>21</v>
      </c>
      <c r="C165" s="2">
        <v>2</v>
      </c>
      <c r="D165" s="2">
        <v>2020</v>
      </c>
      <c r="E165" s="2">
        <v>0</v>
      </c>
      <c r="F165" s="2">
        <v>155.12</v>
      </c>
    </row>
    <row r="166" spans="1:6" x14ac:dyDescent="0.2">
      <c r="A166" s="2" t="s">
        <v>32</v>
      </c>
      <c r="B166" s="2">
        <v>17</v>
      </c>
      <c r="C166" s="2">
        <v>7</v>
      </c>
      <c r="D166" s="2">
        <v>2020</v>
      </c>
      <c r="E166" s="2">
        <v>0</v>
      </c>
      <c r="F166" s="2">
        <v>155</v>
      </c>
    </row>
    <row r="167" spans="1:6" x14ac:dyDescent="0.2">
      <c r="A167" s="2" t="s">
        <v>32</v>
      </c>
      <c r="B167" s="2">
        <v>17</v>
      </c>
      <c r="C167" s="2">
        <v>8</v>
      </c>
      <c r="D167" s="2">
        <v>2020</v>
      </c>
      <c r="E167" s="2">
        <v>0</v>
      </c>
      <c r="F167" s="2">
        <v>155</v>
      </c>
    </row>
    <row r="168" spans="1:6" x14ac:dyDescent="0.2">
      <c r="A168" s="2" t="s">
        <v>12</v>
      </c>
      <c r="B168" s="2">
        <v>2</v>
      </c>
      <c r="C168" s="2">
        <v>2</v>
      </c>
      <c r="D168" s="2">
        <v>2020</v>
      </c>
      <c r="E168" s="2">
        <v>0</v>
      </c>
      <c r="F168" s="2">
        <v>154.56</v>
      </c>
    </row>
    <row r="169" spans="1:6" x14ac:dyDescent="0.2">
      <c r="A169" s="2" t="s">
        <v>25</v>
      </c>
      <c r="B169" s="2">
        <v>8</v>
      </c>
      <c r="C169" s="2">
        <v>4</v>
      </c>
      <c r="D169" s="2">
        <v>2020</v>
      </c>
      <c r="E169" s="1" t="s">
        <v>94</v>
      </c>
      <c r="F169" s="2">
        <v>154.5</v>
      </c>
    </row>
    <row r="170" spans="1:6" x14ac:dyDescent="0.2">
      <c r="A170" s="2" t="s">
        <v>99</v>
      </c>
      <c r="B170" s="2">
        <v>10</v>
      </c>
      <c r="C170" s="2">
        <v>11</v>
      </c>
      <c r="D170" s="2">
        <v>2020</v>
      </c>
      <c r="E170" s="1" t="s">
        <v>94</v>
      </c>
      <c r="F170" s="2">
        <v>154.5</v>
      </c>
    </row>
    <row r="171" spans="1:6" x14ac:dyDescent="0.2">
      <c r="A171" s="2" t="s">
        <v>9</v>
      </c>
      <c r="B171" s="2">
        <v>22</v>
      </c>
      <c r="C171" s="2">
        <v>12</v>
      </c>
      <c r="D171" s="2">
        <v>2020</v>
      </c>
      <c r="E171" s="2">
        <v>0</v>
      </c>
      <c r="F171" s="2">
        <v>154.38</v>
      </c>
    </row>
    <row r="172" spans="1:6" x14ac:dyDescent="0.2">
      <c r="A172" s="2" t="s">
        <v>31</v>
      </c>
      <c r="B172" s="2">
        <v>14</v>
      </c>
      <c r="C172" s="2">
        <v>6</v>
      </c>
      <c r="D172" s="2">
        <v>2020</v>
      </c>
      <c r="E172" s="2">
        <v>0</v>
      </c>
      <c r="F172" s="2">
        <v>154.19999999999999</v>
      </c>
    </row>
    <row r="173" spans="1:6" x14ac:dyDescent="0.2">
      <c r="A173" s="2" t="s">
        <v>31</v>
      </c>
      <c r="B173" s="2">
        <v>14</v>
      </c>
      <c r="C173" s="2">
        <v>9</v>
      </c>
      <c r="D173" s="2">
        <v>2020</v>
      </c>
      <c r="E173" s="2">
        <v>0</v>
      </c>
      <c r="F173" s="2">
        <v>154.19999999999999</v>
      </c>
    </row>
    <row r="174" spans="1:6" x14ac:dyDescent="0.2">
      <c r="A174" s="2" t="s">
        <v>9</v>
      </c>
      <c r="B174" s="2">
        <v>22</v>
      </c>
      <c r="C174" s="2">
        <v>1</v>
      </c>
      <c r="D174" s="2">
        <v>2020</v>
      </c>
      <c r="E174" s="2">
        <v>0</v>
      </c>
      <c r="F174" s="2">
        <v>154.07</v>
      </c>
    </row>
    <row r="175" spans="1:6" x14ac:dyDescent="0.2">
      <c r="A175" s="2" t="s">
        <v>14</v>
      </c>
      <c r="B175" s="2">
        <v>10</v>
      </c>
      <c r="C175" s="2">
        <v>10</v>
      </c>
      <c r="D175" s="2">
        <v>2020</v>
      </c>
      <c r="E175" s="2">
        <v>0</v>
      </c>
      <c r="F175" s="2">
        <v>154.07</v>
      </c>
    </row>
    <row r="176" spans="1:6" x14ac:dyDescent="0.2">
      <c r="A176" s="2" t="s">
        <v>13</v>
      </c>
      <c r="B176" s="2">
        <v>7</v>
      </c>
      <c r="C176" s="2">
        <v>10</v>
      </c>
      <c r="D176" s="2">
        <v>2020</v>
      </c>
      <c r="E176" s="2">
        <v>0</v>
      </c>
      <c r="F176" s="2">
        <v>153.76</v>
      </c>
    </row>
    <row r="177" spans="1:6" x14ac:dyDescent="0.2">
      <c r="A177" s="2" t="s">
        <v>15</v>
      </c>
      <c r="B177" s="2">
        <v>5</v>
      </c>
      <c r="C177" s="2">
        <v>3</v>
      </c>
      <c r="D177" s="2">
        <v>2020</v>
      </c>
      <c r="E177" s="1" t="s">
        <v>94</v>
      </c>
      <c r="F177" s="2">
        <v>153.44999999999999</v>
      </c>
    </row>
    <row r="178" spans="1:6" x14ac:dyDescent="0.2">
      <c r="A178" s="2" t="s">
        <v>99</v>
      </c>
      <c r="B178" s="2">
        <v>10</v>
      </c>
      <c r="C178" s="2">
        <v>3</v>
      </c>
      <c r="D178" s="2">
        <v>2020</v>
      </c>
      <c r="E178" s="1" t="s">
        <v>94</v>
      </c>
      <c r="F178" s="2">
        <v>153.13999999999999</v>
      </c>
    </row>
    <row r="179" spans="1:6" x14ac:dyDescent="0.2">
      <c r="A179" s="2" t="s">
        <v>14</v>
      </c>
      <c r="B179" s="2">
        <v>10</v>
      </c>
      <c r="C179" s="2">
        <v>3</v>
      </c>
      <c r="D179" s="2">
        <v>2020</v>
      </c>
      <c r="E179" s="2">
        <v>0</v>
      </c>
      <c r="F179" s="2">
        <v>153.13999999999999</v>
      </c>
    </row>
    <row r="180" spans="1:6" x14ac:dyDescent="0.2">
      <c r="A180" s="2" t="s">
        <v>9</v>
      </c>
      <c r="B180" s="2">
        <v>22</v>
      </c>
      <c r="C180" s="2">
        <v>11</v>
      </c>
      <c r="D180" s="2">
        <v>2020</v>
      </c>
      <c r="E180" s="2">
        <v>0</v>
      </c>
      <c r="F180" s="2">
        <v>153</v>
      </c>
    </row>
    <row r="181" spans="1:6" x14ac:dyDescent="0.2">
      <c r="A181" s="2" t="s">
        <v>14</v>
      </c>
      <c r="B181" s="2">
        <v>10</v>
      </c>
      <c r="C181" s="2">
        <v>4</v>
      </c>
      <c r="D181" s="2">
        <v>2020</v>
      </c>
      <c r="E181" s="2">
        <v>0</v>
      </c>
      <c r="F181" s="2">
        <v>152.69999999999999</v>
      </c>
    </row>
    <row r="182" spans="1:6" x14ac:dyDescent="0.2">
      <c r="A182" s="2" t="s">
        <v>100</v>
      </c>
      <c r="B182" s="2">
        <v>1</v>
      </c>
      <c r="C182" s="2">
        <v>3</v>
      </c>
      <c r="D182" s="2">
        <v>2020</v>
      </c>
      <c r="E182" s="1" t="s">
        <v>94</v>
      </c>
      <c r="F182" s="2">
        <v>152.52000000000001</v>
      </c>
    </row>
    <row r="183" spans="1:6" x14ac:dyDescent="0.2">
      <c r="A183" s="2" t="s">
        <v>22</v>
      </c>
      <c r="B183" s="2">
        <v>22</v>
      </c>
      <c r="C183" s="2">
        <v>3</v>
      </c>
      <c r="D183" s="2">
        <v>2020</v>
      </c>
      <c r="E183" s="2">
        <v>0</v>
      </c>
      <c r="F183" s="2">
        <v>152.52000000000001</v>
      </c>
    </row>
    <row r="184" spans="1:6" x14ac:dyDescent="0.2">
      <c r="A184" s="2" t="s">
        <v>31</v>
      </c>
      <c r="B184" s="2">
        <v>14</v>
      </c>
      <c r="C184" s="2">
        <v>8</v>
      </c>
      <c r="D184" s="2">
        <v>2020</v>
      </c>
      <c r="E184" s="2">
        <v>0</v>
      </c>
      <c r="F184" s="2">
        <v>152.52000000000001</v>
      </c>
    </row>
    <row r="185" spans="1:6" x14ac:dyDescent="0.2">
      <c r="A185" s="2" t="s">
        <v>17</v>
      </c>
      <c r="B185" s="2">
        <v>8</v>
      </c>
      <c r="C185" s="2">
        <v>4</v>
      </c>
      <c r="D185" s="2">
        <v>2020</v>
      </c>
      <c r="E185" s="2">
        <v>0</v>
      </c>
      <c r="F185" s="2">
        <v>152.1</v>
      </c>
    </row>
    <row r="186" spans="1:6" x14ac:dyDescent="0.2">
      <c r="A186" s="2" t="s">
        <v>8</v>
      </c>
      <c r="B186" s="2">
        <v>5</v>
      </c>
      <c r="C186" s="2">
        <v>3</v>
      </c>
      <c r="D186" s="2">
        <v>2020</v>
      </c>
      <c r="E186" s="2">
        <v>0</v>
      </c>
      <c r="F186" s="2">
        <v>151.9</v>
      </c>
    </row>
    <row r="187" spans="1:6" x14ac:dyDescent="0.2">
      <c r="A187" s="2" t="s">
        <v>19</v>
      </c>
      <c r="B187" s="2">
        <v>24</v>
      </c>
      <c r="C187" s="2">
        <v>3</v>
      </c>
      <c r="D187" s="2">
        <v>2020</v>
      </c>
      <c r="E187" s="2">
        <v>0</v>
      </c>
      <c r="F187" s="2">
        <v>151.9</v>
      </c>
    </row>
    <row r="188" spans="1:6" x14ac:dyDescent="0.2">
      <c r="A188" s="2" t="s">
        <v>26</v>
      </c>
      <c r="B188" s="2">
        <v>22</v>
      </c>
      <c r="C188" s="2">
        <v>9</v>
      </c>
      <c r="D188" s="2">
        <v>2020</v>
      </c>
      <c r="E188" s="2">
        <v>0</v>
      </c>
      <c r="F188" s="2">
        <v>151.80000000000001</v>
      </c>
    </row>
    <row r="189" spans="1:6" x14ac:dyDescent="0.2">
      <c r="A189" s="2" t="s">
        <v>27</v>
      </c>
      <c r="B189" s="2">
        <v>1</v>
      </c>
      <c r="C189" s="2">
        <v>10</v>
      </c>
      <c r="D189" s="2">
        <v>2020</v>
      </c>
      <c r="E189" s="2">
        <v>0</v>
      </c>
      <c r="F189" s="2">
        <v>151.59</v>
      </c>
    </row>
    <row r="190" spans="1:6" x14ac:dyDescent="0.2">
      <c r="A190" s="2" t="s">
        <v>21</v>
      </c>
      <c r="B190" s="2">
        <v>15</v>
      </c>
      <c r="C190" s="2">
        <v>10</v>
      </c>
      <c r="D190" s="2">
        <v>2020</v>
      </c>
      <c r="E190" s="2">
        <v>0</v>
      </c>
      <c r="F190" s="2">
        <v>151.59</v>
      </c>
    </row>
    <row r="191" spans="1:6" x14ac:dyDescent="0.2">
      <c r="A191" s="2" t="s">
        <v>7</v>
      </c>
      <c r="B191" s="2">
        <v>20</v>
      </c>
      <c r="C191" s="2">
        <v>4</v>
      </c>
      <c r="D191" s="2">
        <v>2020</v>
      </c>
      <c r="E191" s="2">
        <v>0</v>
      </c>
      <c r="F191" s="2">
        <v>151.19999999999999</v>
      </c>
    </row>
    <row r="192" spans="1:6" x14ac:dyDescent="0.2">
      <c r="A192" s="2" t="s">
        <v>100</v>
      </c>
      <c r="B192" s="2">
        <v>1</v>
      </c>
      <c r="C192" s="2">
        <v>10</v>
      </c>
      <c r="D192" s="2">
        <v>2020</v>
      </c>
      <c r="E192" s="1" t="s">
        <v>94</v>
      </c>
      <c r="F192" s="2">
        <v>150.66</v>
      </c>
    </row>
    <row r="193" spans="1:6" x14ac:dyDescent="0.2">
      <c r="A193" s="2" t="s">
        <v>21</v>
      </c>
      <c r="B193" s="2">
        <v>15</v>
      </c>
      <c r="C193" s="2">
        <v>2</v>
      </c>
      <c r="D193" s="2">
        <v>2020</v>
      </c>
      <c r="E193" s="2">
        <v>0</v>
      </c>
      <c r="F193" s="2">
        <v>150.63999999999999</v>
      </c>
    </row>
    <row r="194" spans="1:6" x14ac:dyDescent="0.2">
      <c r="A194" s="2" t="s">
        <v>20</v>
      </c>
      <c r="B194" s="2">
        <v>12</v>
      </c>
      <c r="C194" s="2">
        <v>4</v>
      </c>
      <c r="D194" s="2">
        <v>2020</v>
      </c>
      <c r="E194" s="2">
        <v>0</v>
      </c>
      <c r="F194" s="2">
        <v>150.6</v>
      </c>
    </row>
    <row r="195" spans="1:6" x14ac:dyDescent="0.2">
      <c r="A195" s="2" t="s">
        <v>2</v>
      </c>
      <c r="B195" s="2">
        <v>18</v>
      </c>
      <c r="C195" s="2">
        <v>1</v>
      </c>
      <c r="D195" s="2">
        <v>2020</v>
      </c>
      <c r="E195" s="2">
        <v>0</v>
      </c>
      <c r="F195" s="2">
        <v>150.35</v>
      </c>
    </row>
    <row r="196" spans="1:6" x14ac:dyDescent="0.2">
      <c r="A196" s="2" t="s">
        <v>23</v>
      </c>
      <c r="B196" s="2">
        <v>5</v>
      </c>
      <c r="C196" s="2">
        <v>10</v>
      </c>
      <c r="D196" s="2">
        <v>2020</v>
      </c>
      <c r="E196" s="2">
        <v>0</v>
      </c>
      <c r="F196" s="2">
        <v>150.35</v>
      </c>
    </row>
    <row r="197" spans="1:6" x14ac:dyDescent="0.2">
      <c r="A197" s="2" t="s">
        <v>29</v>
      </c>
      <c r="B197" s="2">
        <v>20</v>
      </c>
      <c r="C197" s="2">
        <v>9</v>
      </c>
      <c r="D197" s="2">
        <v>2020</v>
      </c>
      <c r="E197" s="2">
        <v>0</v>
      </c>
      <c r="F197" s="2">
        <v>150</v>
      </c>
    </row>
    <row r="198" spans="1:6" x14ac:dyDescent="0.2">
      <c r="A198" s="2" t="s">
        <v>6</v>
      </c>
      <c r="B198" s="2">
        <v>7</v>
      </c>
      <c r="C198" s="2">
        <v>11</v>
      </c>
      <c r="D198" s="2">
        <v>2020</v>
      </c>
      <c r="E198" s="2">
        <v>0</v>
      </c>
      <c r="F198" s="2">
        <v>150</v>
      </c>
    </row>
    <row r="199" spans="1:6" x14ac:dyDescent="0.2">
      <c r="A199" s="2" t="s">
        <v>30</v>
      </c>
      <c r="B199" s="2">
        <v>2</v>
      </c>
      <c r="C199" s="2">
        <v>8</v>
      </c>
      <c r="D199" s="2">
        <v>2020</v>
      </c>
      <c r="E199" s="2">
        <v>0</v>
      </c>
      <c r="F199" s="2">
        <v>149.41999999999999</v>
      </c>
    </row>
    <row r="200" spans="1:6" x14ac:dyDescent="0.2">
      <c r="A200" s="2" t="s">
        <v>4</v>
      </c>
      <c r="B200" s="2">
        <v>1</v>
      </c>
      <c r="C200" s="2">
        <v>10</v>
      </c>
      <c r="D200" s="2">
        <v>2020</v>
      </c>
      <c r="E200" s="2">
        <v>0</v>
      </c>
      <c r="F200" s="2">
        <v>149.41999999999999</v>
      </c>
    </row>
    <row r="201" spans="1:6" x14ac:dyDescent="0.2">
      <c r="A201" s="2" t="s">
        <v>15</v>
      </c>
      <c r="B201" s="2">
        <v>5</v>
      </c>
      <c r="C201" s="2">
        <v>2</v>
      </c>
      <c r="D201" s="2">
        <v>2020</v>
      </c>
      <c r="E201" s="2">
        <v>0</v>
      </c>
      <c r="F201" s="2">
        <v>148.96</v>
      </c>
    </row>
    <row r="202" spans="1:6" x14ac:dyDescent="0.2">
      <c r="A202" s="2" t="s">
        <v>3</v>
      </c>
      <c r="B202" s="2">
        <v>25</v>
      </c>
      <c r="C202" s="2">
        <v>2</v>
      </c>
      <c r="D202" s="2">
        <v>2020</v>
      </c>
      <c r="E202" s="2">
        <v>0</v>
      </c>
      <c r="F202" s="2">
        <v>148.96</v>
      </c>
    </row>
    <row r="203" spans="1:6" x14ac:dyDescent="0.2">
      <c r="A203" s="2" t="s">
        <v>28</v>
      </c>
      <c r="B203" s="2">
        <v>5</v>
      </c>
      <c r="C203" s="2">
        <v>7</v>
      </c>
      <c r="D203" s="2">
        <v>2020</v>
      </c>
      <c r="E203" s="1" t="s">
        <v>94</v>
      </c>
      <c r="F203" s="2">
        <v>148.80000000000001</v>
      </c>
    </row>
    <row r="204" spans="1:6" x14ac:dyDescent="0.2">
      <c r="A204" s="2" t="s">
        <v>1</v>
      </c>
      <c r="B204" s="2">
        <v>21</v>
      </c>
      <c r="C204" s="2">
        <v>12</v>
      </c>
      <c r="D204" s="2">
        <v>2020</v>
      </c>
      <c r="E204" s="1" t="s">
        <v>94</v>
      </c>
      <c r="F204" s="2">
        <v>148.80000000000001</v>
      </c>
    </row>
    <row r="205" spans="1:6" x14ac:dyDescent="0.2">
      <c r="A205" s="2" t="s">
        <v>28</v>
      </c>
      <c r="B205" s="2">
        <v>5</v>
      </c>
      <c r="C205" s="2">
        <v>8</v>
      </c>
      <c r="D205" s="2">
        <v>2020</v>
      </c>
      <c r="E205" s="2">
        <v>0</v>
      </c>
      <c r="F205" s="2">
        <v>148.80000000000001</v>
      </c>
    </row>
    <row r="206" spans="1:6" x14ac:dyDescent="0.2">
      <c r="A206" s="2" t="s">
        <v>3</v>
      </c>
      <c r="B206" s="2">
        <v>25</v>
      </c>
      <c r="C206" s="2">
        <v>11</v>
      </c>
      <c r="D206" s="2">
        <v>2020</v>
      </c>
      <c r="E206" s="2">
        <v>0</v>
      </c>
      <c r="F206" s="2">
        <v>148.5</v>
      </c>
    </row>
    <row r="207" spans="1:6" x14ac:dyDescent="0.2">
      <c r="A207" s="2" t="s">
        <v>17</v>
      </c>
      <c r="B207" s="2">
        <v>8</v>
      </c>
      <c r="C207" s="2">
        <v>3</v>
      </c>
      <c r="D207" s="2">
        <v>2020</v>
      </c>
      <c r="E207" s="2">
        <v>0</v>
      </c>
      <c r="F207" s="2">
        <v>148.49</v>
      </c>
    </row>
    <row r="208" spans="1:6" x14ac:dyDescent="0.2">
      <c r="A208" s="2" t="s">
        <v>16</v>
      </c>
      <c r="B208" s="2">
        <v>14</v>
      </c>
      <c r="C208" s="2">
        <v>2</v>
      </c>
      <c r="D208" s="2">
        <v>2020</v>
      </c>
      <c r="E208" s="2">
        <v>0</v>
      </c>
      <c r="F208" s="2">
        <v>148.4</v>
      </c>
    </row>
    <row r="209" spans="1:6" x14ac:dyDescent="0.2">
      <c r="A209" s="2" t="s">
        <v>26</v>
      </c>
      <c r="B209" s="2">
        <v>22</v>
      </c>
      <c r="C209" s="2">
        <v>10</v>
      </c>
      <c r="D209" s="2">
        <v>2020</v>
      </c>
      <c r="E209" s="2">
        <v>0</v>
      </c>
      <c r="F209" s="2">
        <v>147.87</v>
      </c>
    </row>
    <row r="210" spans="1:6" x14ac:dyDescent="0.2">
      <c r="A210" s="2" t="s">
        <v>15</v>
      </c>
      <c r="B210" s="2">
        <v>5</v>
      </c>
      <c r="C210" s="2">
        <v>10</v>
      </c>
      <c r="D210" s="2">
        <v>2020</v>
      </c>
      <c r="E210" s="2">
        <v>0</v>
      </c>
      <c r="F210" s="2">
        <v>147.25</v>
      </c>
    </row>
    <row r="211" spans="1:6" x14ac:dyDescent="0.2">
      <c r="A211" s="2" t="s">
        <v>5</v>
      </c>
      <c r="B211" s="2">
        <v>7</v>
      </c>
      <c r="C211" s="2">
        <v>12</v>
      </c>
      <c r="D211" s="2">
        <v>2020</v>
      </c>
      <c r="E211" s="2">
        <v>0</v>
      </c>
      <c r="F211" s="2">
        <v>146.94</v>
      </c>
    </row>
    <row r="212" spans="1:6" x14ac:dyDescent="0.2">
      <c r="A212" s="2" t="s">
        <v>25</v>
      </c>
      <c r="B212" s="2">
        <v>8</v>
      </c>
      <c r="C212" s="2">
        <v>6</v>
      </c>
      <c r="D212" s="2">
        <v>2020</v>
      </c>
      <c r="E212" s="2">
        <v>0</v>
      </c>
      <c r="F212" s="2">
        <v>146.69999999999999</v>
      </c>
    </row>
    <row r="213" spans="1:6" x14ac:dyDescent="0.2">
      <c r="A213" s="2" t="s">
        <v>29</v>
      </c>
      <c r="B213" s="2">
        <v>20</v>
      </c>
      <c r="C213" s="2">
        <v>5</v>
      </c>
      <c r="D213" s="2">
        <v>2020</v>
      </c>
      <c r="E213" s="1" t="s">
        <v>94</v>
      </c>
      <c r="F213" s="2">
        <v>146.63</v>
      </c>
    </row>
    <row r="214" spans="1:6" x14ac:dyDescent="0.2">
      <c r="A214" s="2" t="s">
        <v>6</v>
      </c>
      <c r="B214" s="2">
        <v>7</v>
      </c>
      <c r="C214" s="2">
        <v>1</v>
      </c>
      <c r="D214" s="2">
        <v>2020</v>
      </c>
      <c r="E214" s="2">
        <v>0</v>
      </c>
      <c r="F214" s="2">
        <v>146.63</v>
      </c>
    </row>
    <row r="215" spans="1:6" x14ac:dyDescent="0.2">
      <c r="A215" s="2" t="s">
        <v>19</v>
      </c>
      <c r="B215" s="2">
        <v>24</v>
      </c>
      <c r="C215" s="2">
        <v>10</v>
      </c>
      <c r="D215" s="2">
        <v>2020</v>
      </c>
      <c r="E215" s="2">
        <v>0</v>
      </c>
      <c r="F215" s="2">
        <v>146.32</v>
      </c>
    </row>
    <row r="216" spans="1:6" x14ac:dyDescent="0.2">
      <c r="A216" s="2" t="s">
        <v>98</v>
      </c>
      <c r="B216" s="2">
        <v>21</v>
      </c>
      <c r="C216" s="2">
        <v>2</v>
      </c>
      <c r="D216" s="2">
        <v>2020</v>
      </c>
      <c r="E216" s="1" t="s">
        <v>94</v>
      </c>
      <c r="F216" s="2">
        <v>145.88</v>
      </c>
    </row>
    <row r="217" spans="1:6" x14ac:dyDescent="0.2">
      <c r="A217" s="2" t="s">
        <v>8</v>
      </c>
      <c r="B217" s="2">
        <v>5</v>
      </c>
      <c r="C217" s="2">
        <v>2</v>
      </c>
      <c r="D217" s="2">
        <v>2020</v>
      </c>
      <c r="E217" s="2">
        <v>0</v>
      </c>
      <c r="F217" s="2">
        <v>145.88</v>
      </c>
    </row>
    <row r="218" spans="1:6" x14ac:dyDescent="0.2">
      <c r="A218" s="2" t="s">
        <v>97</v>
      </c>
      <c r="B218" s="2">
        <v>12</v>
      </c>
      <c r="C218" s="2">
        <v>11</v>
      </c>
      <c r="D218" s="2">
        <v>2020</v>
      </c>
      <c r="E218" s="1" t="s">
        <v>94</v>
      </c>
      <c r="F218" s="2">
        <v>145.80000000000001</v>
      </c>
    </row>
    <row r="219" spans="1:6" x14ac:dyDescent="0.2">
      <c r="A219" s="2" t="s">
        <v>24</v>
      </c>
      <c r="B219" s="2">
        <v>22</v>
      </c>
      <c r="C219" s="2">
        <v>5</v>
      </c>
      <c r="D219" s="2">
        <v>2020</v>
      </c>
      <c r="E219" s="2">
        <v>0</v>
      </c>
      <c r="F219" s="2">
        <v>145.38999999999999</v>
      </c>
    </row>
    <row r="220" spans="1:6" x14ac:dyDescent="0.2">
      <c r="A220" s="2" t="s">
        <v>20</v>
      </c>
      <c r="B220" s="2">
        <v>12</v>
      </c>
      <c r="C220" s="2">
        <v>10</v>
      </c>
      <c r="D220" s="2">
        <v>2020</v>
      </c>
      <c r="E220" s="2">
        <v>0</v>
      </c>
      <c r="F220" s="2">
        <v>144.77000000000001</v>
      </c>
    </row>
    <row r="221" spans="1:6" x14ac:dyDescent="0.2">
      <c r="A221" s="2" t="s">
        <v>8</v>
      </c>
      <c r="B221" s="2">
        <v>5</v>
      </c>
      <c r="C221" s="2">
        <v>10</v>
      </c>
      <c r="D221" s="2">
        <v>2020</v>
      </c>
      <c r="E221" s="1" t="s">
        <v>94</v>
      </c>
      <c r="F221" s="2">
        <v>144.46</v>
      </c>
    </row>
    <row r="222" spans="1:6" x14ac:dyDescent="0.2">
      <c r="A222" s="2" t="s">
        <v>30</v>
      </c>
      <c r="B222" s="2">
        <v>2</v>
      </c>
      <c r="C222" s="2">
        <v>9</v>
      </c>
      <c r="D222" s="2">
        <v>2020</v>
      </c>
      <c r="E222" s="2">
        <v>0</v>
      </c>
      <c r="F222" s="2">
        <v>144.30000000000001</v>
      </c>
    </row>
    <row r="223" spans="1:6" x14ac:dyDescent="0.2">
      <c r="A223" s="2" t="s">
        <v>25</v>
      </c>
      <c r="B223" s="2">
        <v>8</v>
      </c>
      <c r="C223" s="2">
        <v>9</v>
      </c>
      <c r="D223" s="2">
        <v>2020</v>
      </c>
      <c r="E223" s="2">
        <v>0</v>
      </c>
      <c r="F223" s="2">
        <v>144.30000000000001</v>
      </c>
    </row>
    <row r="224" spans="1:6" x14ac:dyDescent="0.2">
      <c r="A224" s="2" t="s">
        <v>10</v>
      </c>
      <c r="B224" s="2">
        <v>18</v>
      </c>
      <c r="C224" s="2">
        <v>10</v>
      </c>
      <c r="D224" s="2">
        <v>2020</v>
      </c>
      <c r="E224" s="2">
        <v>0</v>
      </c>
      <c r="F224" s="2">
        <v>143.84</v>
      </c>
    </row>
    <row r="225" spans="1:6" x14ac:dyDescent="0.2">
      <c r="A225" s="2" t="s">
        <v>28</v>
      </c>
      <c r="B225" s="2">
        <v>5</v>
      </c>
      <c r="C225" s="2">
        <v>4</v>
      </c>
      <c r="D225" s="2">
        <v>2020</v>
      </c>
      <c r="E225" s="2">
        <v>0</v>
      </c>
      <c r="F225" s="2">
        <v>143.69999999999999</v>
      </c>
    </row>
    <row r="226" spans="1:6" x14ac:dyDescent="0.2">
      <c r="A226" s="2" t="s">
        <v>9</v>
      </c>
      <c r="B226" s="2">
        <v>22</v>
      </c>
      <c r="C226" s="2">
        <v>2</v>
      </c>
      <c r="D226" s="2">
        <v>2020</v>
      </c>
      <c r="E226" s="2">
        <v>0</v>
      </c>
      <c r="F226" s="2">
        <v>143.08000000000001</v>
      </c>
    </row>
    <row r="227" spans="1:6" x14ac:dyDescent="0.2">
      <c r="A227" s="2" t="s">
        <v>30</v>
      </c>
      <c r="B227" s="2">
        <v>2</v>
      </c>
      <c r="C227" s="2">
        <v>7</v>
      </c>
      <c r="D227" s="2">
        <v>2020</v>
      </c>
      <c r="E227" s="1" t="s">
        <v>94</v>
      </c>
      <c r="F227" s="2">
        <v>142.91</v>
      </c>
    </row>
    <row r="228" spans="1:6" x14ac:dyDescent="0.2">
      <c r="A228" s="2" t="s">
        <v>16</v>
      </c>
      <c r="B228" s="2">
        <v>14</v>
      </c>
      <c r="C228" s="2">
        <v>10</v>
      </c>
      <c r="D228" s="2">
        <v>2020</v>
      </c>
      <c r="E228" s="2">
        <v>0</v>
      </c>
      <c r="F228" s="2">
        <v>142.91</v>
      </c>
    </row>
    <row r="229" spans="1:6" x14ac:dyDescent="0.2">
      <c r="A229" s="2" t="s">
        <v>11</v>
      </c>
      <c r="B229" s="2">
        <v>15</v>
      </c>
      <c r="C229" s="2">
        <v>5</v>
      </c>
      <c r="D229" s="2">
        <v>2020</v>
      </c>
      <c r="E229" s="2">
        <v>0</v>
      </c>
      <c r="F229" s="2">
        <v>142.6</v>
      </c>
    </row>
    <row r="230" spans="1:6" x14ac:dyDescent="0.2">
      <c r="A230" s="2" t="s">
        <v>26</v>
      </c>
      <c r="B230" s="2">
        <v>22</v>
      </c>
      <c r="C230" s="2">
        <v>5</v>
      </c>
      <c r="D230" s="2">
        <v>2020</v>
      </c>
      <c r="E230" s="2">
        <v>0</v>
      </c>
      <c r="F230" s="2">
        <v>142.6</v>
      </c>
    </row>
    <row r="231" spans="1:6" x14ac:dyDescent="0.2">
      <c r="A231" s="2" t="s">
        <v>18</v>
      </c>
      <c r="B231" s="2">
        <v>5</v>
      </c>
      <c r="C231" s="2">
        <v>10</v>
      </c>
      <c r="D231" s="2">
        <v>2020</v>
      </c>
      <c r="E231" s="2">
        <v>0</v>
      </c>
      <c r="F231" s="2">
        <v>142.6</v>
      </c>
    </row>
    <row r="232" spans="1:6" x14ac:dyDescent="0.2">
      <c r="A232" s="2" t="s">
        <v>11</v>
      </c>
      <c r="B232" s="2">
        <v>15</v>
      </c>
      <c r="C232" s="2">
        <v>4</v>
      </c>
      <c r="D232" s="2">
        <v>2020</v>
      </c>
      <c r="E232" s="2">
        <v>0</v>
      </c>
      <c r="F232" s="2">
        <v>142.5</v>
      </c>
    </row>
    <row r="233" spans="1:6" x14ac:dyDescent="0.2">
      <c r="A233" s="2" t="s">
        <v>98</v>
      </c>
      <c r="B233" s="2">
        <v>21</v>
      </c>
      <c r="C233" s="2">
        <v>3</v>
      </c>
      <c r="D233" s="2">
        <v>2020</v>
      </c>
      <c r="E233" s="1" t="s">
        <v>94</v>
      </c>
      <c r="F233" s="2">
        <v>141.97999999999999</v>
      </c>
    </row>
    <row r="234" spans="1:6" x14ac:dyDescent="0.2">
      <c r="A234" s="2" t="s">
        <v>7</v>
      </c>
      <c r="B234" s="2">
        <v>20</v>
      </c>
      <c r="C234" s="2">
        <v>3</v>
      </c>
      <c r="D234" s="2">
        <v>2020</v>
      </c>
      <c r="E234" s="2">
        <v>0</v>
      </c>
      <c r="F234" s="2">
        <v>141.36000000000001</v>
      </c>
    </row>
    <row r="235" spans="1:6" x14ac:dyDescent="0.2">
      <c r="A235" s="2" t="s">
        <v>25</v>
      </c>
      <c r="B235" s="2">
        <v>8</v>
      </c>
      <c r="C235" s="2">
        <v>5</v>
      </c>
      <c r="D235" s="2">
        <v>2020</v>
      </c>
      <c r="E235" s="2">
        <v>0</v>
      </c>
      <c r="F235" s="2">
        <v>141.05000000000001</v>
      </c>
    </row>
    <row r="236" spans="1:6" x14ac:dyDescent="0.2">
      <c r="A236" s="2" t="s">
        <v>11</v>
      </c>
      <c r="B236" s="2">
        <v>15</v>
      </c>
      <c r="C236" s="2">
        <v>9</v>
      </c>
      <c r="D236" s="2">
        <v>2020</v>
      </c>
      <c r="E236" s="2">
        <v>0</v>
      </c>
      <c r="F236" s="2">
        <v>140.4</v>
      </c>
    </row>
    <row r="237" spans="1:6" x14ac:dyDescent="0.2">
      <c r="A237" s="2" t="s">
        <v>18</v>
      </c>
      <c r="B237" s="2">
        <v>5</v>
      </c>
      <c r="C237" s="2">
        <v>4</v>
      </c>
      <c r="D237" s="2">
        <v>2020</v>
      </c>
      <c r="E237" s="2">
        <v>0</v>
      </c>
      <c r="F237" s="2">
        <v>140.1</v>
      </c>
    </row>
    <row r="238" spans="1:6" x14ac:dyDescent="0.2">
      <c r="A238" s="2" t="s">
        <v>4</v>
      </c>
      <c r="B238" s="2">
        <v>1</v>
      </c>
      <c r="C238" s="2">
        <v>3</v>
      </c>
      <c r="D238" s="2">
        <v>2020</v>
      </c>
      <c r="E238" s="2">
        <v>0</v>
      </c>
      <c r="F238" s="2">
        <v>139.81</v>
      </c>
    </row>
    <row r="239" spans="1:6" x14ac:dyDescent="0.2">
      <c r="A239" s="2" t="s">
        <v>19</v>
      </c>
      <c r="B239" s="2">
        <v>24</v>
      </c>
      <c r="C239" s="2">
        <v>4</v>
      </c>
      <c r="D239" s="2">
        <v>2020</v>
      </c>
      <c r="E239" s="2">
        <v>0</v>
      </c>
      <c r="F239" s="2">
        <v>139.80000000000001</v>
      </c>
    </row>
    <row r="240" spans="1:6" x14ac:dyDescent="0.2">
      <c r="A240" s="2" t="s">
        <v>99</v>
      </c>
      <c r="B240" s="2">
        <v>10</v>
      </c>
      <c r="C240" s="2">
        <v>4</v>
      </c>
      <c r="D240" s="2">
        <v>2020</v>
      </c>
      <c r="E240" s="1" t="s">
        <v>94</v>
      </c>
      <c r="F240" s="2">
        <v>139.5</v>
      </c>
    </row>
    <row r="241" spans="1:6" x14ac:dyDescent="0.2">
      <c r="A241" s="2" t="s">
        <v>30</v>
      </c>
      <c r="B241" s="2">
        <v>2</v>
      </c>
      <c r="C241" s="2">
        <v>6</v>
      </c>
      <c r="D241" s="2">
        <v>2020</v>
      </c>
      <c r="E241" s="1" t="s">
        <v>94</v>
      </c>
      <c r="F241" s="2">
        <v>139.19999999999999</v>
      </c>
    </row>
    <row r="242" spans="1:6" x14ac:dyDescent="0.2">
      <c r="A242" s="2" t="s">
        <v>12</v>
      </c>
      <c r="B242" s="2">
        <v>2</v>
      </c>
      <c r="C242" s="2">
        <v>3</v>
      </c>
      <c r="D242" s="2">
        <v>2020</v>
      </c>
      <c r="E242" s="2">
        <v>0</v>
      </c>
      <c r="F242" s="2">
        <v>139.19</v>
      </c>
    </row>
    <row r="243" spans="1:6" x14ac:dyDescent="0.2">
      <c r="A243" s="2" t="s">
        <v>4</v>
      </c>
      <c r="B243" s="2">
        <v>1</v>
      </c>
      <c r="C243" s="2">
        <v>4</v>
      </c>
      <c r="D243" s="2">
        <v>2020</v>
      </c>
      <c r="E243" s="2">
        <v>0</v>
      </c>
      <c r="F243" s="2">
        <v>138.6</v>
      </c>
    </row>
    <row r="244" spans="1:6" x14ac:dyDescent="0.2">
      <c r="A244" s="2" t="s">
        <v>3</v>
      </c>
      <c r="B244" s="2">
        <v>25</v>
      </c>
      <c r="C244" s="2">
        <v>1</v>
      </c>
      <c r="D244" s="2">
        <v>2020</v>
      </c>
      <c r="E244" s="2">
        <v>0</v>
      </c>
      <c r="F244" s="2">
        <v>138.26</v>
      </c>
    </row>
    <row r="245" spans="1:6" x14ac:dyDescent="0.2">
      <c r="A245" s="2" t="s">
        <v>21</v>
      </c>
      <c r="B245" s="2">
        <v>15</v>
      </c>
      <c r="C245" s="2">
        <v>4</v>
      </c>
      <c r="D245" s="2">
        <v>2020</v>
      </c>
      <c r="E245" s="2">
        <v>0</v>
      </c>
      <c r="F245" s="2">
        <v>138</v>
      </c>
    </row>
    <row r="246" spans="1:6" x14ac:dyDescent="0.2">
      <c r="A246" s="2" t="s">
        <v>6</v>
      </c>
      <c r="B246" s="2">
        <v>7</v>
      </c>
      <c r="C246" s="2">
        <v>3</v>
      </c>
      <c r="D246" s="2">
        <v>2020</v>
      </c>
      <c r="E246" s="2">
        <v>0</v>
      </c>
      <c r="F246" s="2">
        <v>137.94999999999999</v>
      </c>
    </row>
    <row r="247" spans="1:6" x14ac:dyDescent="0.2">
      <c r="A247" s="2" t="s">
        <v>98</v>
      </c>
      <c r="B247" s="2">
        <v>21</v>
      </c>
      <c r="C247" s="2">
        <v>4</v>
      </c>
      <c r="D247" s="2">
        <v>2020</v>
      </c>
      <c r="E247" s="1" t="s">
        <v>94</v>
      </c>
      <c r="F247" s="2">
        <v>137.4</v>
      </c>
    </row>
    <row r="248" spans="1:6" x14ac:dyDescent="0.2">
      <c r="A248" s="2" t="s">
        <v>27</v>
      </c>
      <c r="B248" s="2">
        <v>1</v>
      </c>
      <c r="C248" s="2">
        <v>7</v>
      </c>
      <c r="D248" s="2">
        <v>2020</v>
      </c>
      <c r="E248" s="2">
        <v>0</v>
      </c>
      <c r="F248" s="2">
        <v>137.33000000000001</v>
      </c>
    </row>
    <row r="249" spans="1:6" x14ac:dyDescent="0.2">
      <c r="A249" s="2" t="s">
        <v>27</v>
      </c>
      <c r="B249" s="2">
        <v>1</v>
      </c>
      <c r="C249" s="2">
        <v>8</v>
      </c>
      <c r="D249" s="2">
        <v>2020</v>
      </c>
      <c r="E249" s="2">
        <v>0</v>
      </c>
      <c r="F249" s="2">
        <v>137.33000000000001</v>
      </c>
    </row>
    <row r="250" spans="1:6" x14ac:dyDescent="0.2">
      <c r="A250" s="2" t="s">
        <v>17</v>
      </c>
      <c r="B250" s="2">
        <v>8</v>
      </c>
      <c r="C250" s="2">
        <v>10</v>
      </c>
      <c r="D250" s="2">
        <v>2020</v>
      </c>
      <c r="E250" s="2">
        <v>0</v>
      </c>
      <c r="F250" s="2">
        <v>137.33000000000001</v>
      </c>
    </row>
    <row r="251" spans="1:6" x14ac:dyDescent="0.2">
      <c r="A251" s="2" t="s">
        <v>23</v>
      </c>
      <c r="B251" s="2">
        <v>5</v>
      </c>
      <c r="C251" s="2">
        <v>5</v>
      </c>
      <c r="D251" s="2">
        <v>2020</v>
      </c>
      <c r="E251" s="2">
        <v>0</v>
      </c>
      <c r="F251" s="2">
        <v>137.02000000000001</v>
      </c>
    </row>
    <row r="252" spans="1:6" x14ac:dyDescent="0.2">
      <c r="A252" s="2" t="s">
        <v>3</v>
      </c>
      <c r="B252" s="2">
        <v>25</v>
      </c>
      <c r="C252" s="2">
        <v>10</v>
      </c>
      <c r="D252" s="2">
        <v>2020</v>
      </c>
      <c r="E252" s="2">
        <v>0</v>
      </c>
      <c r="F252" s="2">
        <v>137.02000000000001</v>
      </c>
    </row>
    <row r="253" spans="1:6" x14ac:dyDescent="0.2">
      <c r="A253" s="2" t="s">
        <v>97</v>
      </c>
      <c r="B253" s="2">
        <v>12</v>
      </c>
      <c r="C253" s="2">
        <v>3</v>
      </c>
      <c r="D253" s="2">
        <v>2020</v>
      </c>
      <c r="E253" s="1" t="s">
        <v>94</v>
      </c>
      <c r="F253" s="2">
        <v>136.09</v>
      </c>
    </row>
    <row r="254" spans="1:6" x14ac:dyDescent="0.2">
      <c r="A254" s="2" t="s">
        <v>29</v>
      </c>
      <c r="B254" s="2">
        <v>20</v>
      </c>
      <c r="C254" s="2">
        <v>8</v>
      </c>
      <c r="D254" s="2">
        <v>2020</v>
      </c>
      <c r="E254" s="1" t="s">
        <v>94</v>
      </c>
      <c r="F254" s="2">
        <v>136.09</v>
      </c>
    </row>
    <row r="255" spans="1:6" x14ac:dyDescent="0.2">
      <c r="A255" s="2" t="s">
        <v>3</v>
      </c>
      <c r="B255" s="2">
        <v>25</v>
      </c>
      <c r="C255" s="2">
        <v>3</v>
      </c>
      <c r="D255" s="2">
        <v>2020</v>
      </c>
      <c r="E255" s="2">
        <v>0</v>
      </c>
      <c r="F255" s="2">
        <v>136.09</v>
      </c>
    </row>
    <row r="256" spans="1:6" x14ac:dyDescent="0.2">
      <c r="A256" s="2" t="s">
        <v>2</v>
      </c>
      <c r="B256" s="2">
        <v>18</v>
      </c>
      <c r="C256" s="2">
        <v>10</v>
      </c>
      <c r="D256" s="2">
        <v>2020</v>
      </c>
      <c r="E256" s="2">
        <v>0</v>
      </c>
      <c r="F256" s="2">
        <v>136.09</v>
      </c>
    </row>
    <row r="257" spans="1:6" x14ac:dyDescent="0.2">
      <c r="A257" s="2" t="s">
        <v>1</v>
      </c>
      <c r="B257" s="2">
        <v>21</v>
      </c>
      <c r="C257" s="2">
        <v>10</v>
      </c>
      <c r="D257" s="2">
        <v>2020</v>
      </c>
      <c r="E257" s="2">
        <v>0</v>
      </c>
      <c r="F257" s="2">
        <v>135.78</v>
      </c>
    </row>
    <row r="258" spans="1:6" x14ac:dyDescent="0.2">
      <c r="A258" s="2" t="s">
        <v>24</v>
      </c>
      <c r="B258" s="2">
        <v>22</v>
      </c>
      <c r="C258" s="2">
        <v>9</v>
      </c>
      <c r="D258" s="2">
        <v>2020</v>
      </c>
      <c r="E258" s="1" t="s">
        <v>94</v>
      </c>
      <c r="F258" s="2">
        <v>135.6</v>
      </c>
    </row>
    <row r="259" spans="1:6" x14ac:dyDescent="0.2">
      <c r="A259" s="2" t="s">
        <v>29</v>
      </c>
      <c r="B259" s="2">
        <v>20</v>
      </c>
      <c r="C259" s="2">
        <v>6</v>
      </c>
      <c r="D259" s="2">
        <v>2020</v>
      </c>
      <c r="E259" s="2">
        <v>0</v>
      </c>
      <c r="F259" s="2">
        <v>135.6</v>
      </c>
    </row>
    <row r="260" spans="1:6" x14ac:dyDescent="0.2">
      <c r="A260" s="2" t="s">
        <v>6</v>
      </c>
      <c r="B260" s="2">
        <v>7</v>
      </c>
      <c r="C260" s="2">
        <v>2</v>
      </c>
      <c r="D260" s="2">
        <v>2020</v>
      </c>
      <c r="E260" s="2">
        <v>0</v>
      </c>
      <c r="F260" s="2">
        <v>135.52000000000001</v>
      </c>
    </row>
    <row r="261" spans="1:6" x14ac:dyDescent="0.2">
      <c r="A261" s="2" t="s">
        <v>2</v>
      </c>
      <c r="B261" s="2">
        <v>18</v>
      </c>
      <c r="C261" s="2">
        <v>12</v>
      </c>
      <c r="D261" s="2">
        <v>2020</v>
      </c>
      <c r="E261" s="2">
        <v>0</v>
      </c>
      <c r="F261" s="2">
        <v>135.47</v>
      </c>
    </row>
    <row r="262" spans="1:6" x14ac:dyDescent="0.2">
      <c r="A262" s="2" t="s">
        <v>29</v>
      </c>
      <c r="B262" s="2">
        <v>20</v>
      </c>
      <c r="C262" s="2">
        <v>7</v>
      </c>
      <c r="D262" s="2">
        <v>2020</v>
      </c>
      <c r="E262" s="1" t="s">
        <v>94</v>
      </c>
      <c r="F262" s="2">
        <v>135.16</v>
      </c>
    </row>
    <row r="263" spans="1:6" x14ac:dyDescent="0.2">
      <c r="A263" s="2" t="s">
        <v>25</v>
      </c>
      <c r="B263" s="2">
        <v>8</v>
      </c>
      <c r="C263" s="2">
        <v>8</v>
      </c>
      <c r="D263" s="2">
        <v>2020</v>
      </c>
      <c r="E263" s="2">
        <v>0</v>
      </c>
      <c r="F263" s="2">
        <v>135.16</v>
      </c>
    </row>
    <row r="264" spans="1:6" x14ac:dyDescent="0.2">
      <c r="A264" s="2" t="s">
        <v>10</v>
      </c>
      <c r="B264" s="2">
        <v>18</v>
      </c>
      <c r="C264" s="2">
        <v>4</v>
      </c>
      <c r="D264" s="2">
        <v>2020</v>
      </c>
      <c r="E264" s="1" t="s">
        <v>94</v>
      </c>
      <c r="F264" s="2">
        <v>135</v>
      </c>
    </row>
    <row r="265" spans="1:6" x14ac:dyDescent="0.2">
      <c r="A265" s="2" t="s">
        <v>22</v>
      </c>
      <c r="B265" s="2">
        <v>22</v>
      </c>
      <c r="C265" s="2">
        <v>5</v>
      </c>
      <c r="D265" s="2">
        <v>2020</v>
      </c>
      <c r="E265" s="1" t="s">
        <v>94</v>
      </c>
      <c r="F265" s="2">
        <v>134.85</v>
      </c>
    </row>
    <row r="266" spans="1:6" x14ac:dyDescent="0.2">
      <c r="A266" s="2" t="s">
        <v>21</v>
      </c>
      <c r="B266" s="2">
        <v>15</v>
      </c>
      <c r="C266" s="2">
        <v>3</v>
      </c>
      <c r="D266" s="2">
        <v>2020</v>
      </c>
      <c r="E266" s="2">
        <v>0</v>
      </c>
      <c r="F266" s="2">
        <v>134.85</v>
      </c>
    </row>
    <row r="267" spans="1:6" x14ac:dyDescent="0.2">
      <c r="A267" s="2" t="s">
        <v>13</v>
      </c>
      <c r="B267" s="2">
        <v>7</v>
      </c>
      <c r="C267" s="2">
        <v>8</v>
      </c>
      <c r="D267" s="2">
        <v>2020</v>
      </c>
      <c r="E267" s="2">
        <v>0</v>
      </c>
      <c r="F267" s="2">
        <v>134.85</v>
      </c>
    </row>
    <row r="268" spans="1:6" x14ac:dyDescent="0.2">
      <c r="A268" s="2" t="s">
        <v>1</v>
      </c>
      <c r="B268" s="2">
        <v>21</v>
      </c>
      <c r="C268" s="2">
        <v>4</v>
      </c>
      <c r="D268" s="2">
        <v>2020</v>
      </c>
      <c r="E268" s="1" t="s">
        <v>94</v>
      </c>
      <c r="F268" s="2">
        <v>134.4</v>
      </c>
    </row>
    <row r="269" spans="1:6" x14ac:dyDescent="0.2">
      <c r="A269" s="2" t="s">
        <v>24</v>
      </c>
      <c r="B269" s="2">
        <v>22</v>
      </c>
      <c r="C269" s="2">
        <v>6</v>
      </c>
      <c r="D269" s="2">
        <v>2020</v>
      </c>
      <c r="E269" s="2">
        <v>0</v>
      </c>
      <c r="F269" s="2">
        <v>134.4</v>
      </c>
    </row>
    <row r="270" spans="1:6" x14ac:dyDescent="0.2">
      <c r="A270" s="2" t="s">
        <v>13</v>
      </c>
      <c r="B270" s="2">
        <v>7</v>
      </c>
      <c r="C270" s="2">
        <v>9</v>
      </c>
      <c r="D270" s="2">
        <v>2020</v>
      </c>
      <c r="E270" s="2">
        <v>0</v>
      </c>
      <c r="F270" s="2">
        <v>133.5</v>
      </c>
    </row>
    <row r="271" spans="1:6" x14ac:dyDescent="0.2">
      <c r="A271" s="2" t="s">
        <v>14</v>
      </c>
      <c r="B271" s="2">
        <v>10</v>
      </c>
      <c r="C271" s="2">
        <v>6</v>
      </c>
      <c r="D271" s="2">
        <v>2020</v>
      </c>
      <c r="E271" s="2">
        <v>0</v>
      </c>
      <c r="F271" s="2">
        <v>133.19999999999999</v>
      </c>
    </row>
    <row r="272" spans="1:6" x14ac:dyDescent="0.2">
      <c r="A272" s="2" t="s">
        <v>13</v>
      </c>
      <c r="B272" s="2">
        <v>7</v>
      </c>
      <c r="C272" s="2">
        <v>5</v>
      </c>
      <c r="D272" s="2">
        <v>2020</v>
      </c>
      <c r="E272" s="2">
        <v>0</v>
      </c>
      <c r="F272" s="2">
        <v>132.99</v>
      </c>
    </row>
    <row r="273" spans="1:6" x14ac:dyDescent="0.2">
      <c r="A273" s="2" t="s">
        <v>12</v>
      </c>
      <c r="B273" s="2">
        <v>2</v>
      </c>
      <c r="C273" s="2">
        <v>10</v>
      </c>
      <c r="D273" s="2">
        <v>2020</v>
      </c>
      <c r="E273" s="2">
        <v>0</v>
      </c>
      <c r="F273" s="2">
        <v>132.99</v>
      </c>
    </row>
    <row r="274" spans="1:6" x14ac:dyDescent="0.2">
      <c r="A274" s="2" t="s">
        <v>8</v>
      </c>
      <c r="B274" s="2">
        <v>5</v>
      </c>
      <c r="C274" s="2">
        <v>4</v>
      </c>
      <c r="D274" s="2">
        <v>2020</v>
      </c>
      <c r="E274" s="2">
        <v>0</v>
      </c>
      <c r="F274" s="2">
        <v>132.9</v>
      </c>
    </row>
    <row r="275" spans="1:6" x14ac:dyDescent="0.2">
      <c r="A275" s="2" t="s">
        <v>28</v>
      </c>
      <c r="B275" s="2">
        <v>5</v>
      </c>
      <c r="C275" s="2">
        <v>9</v>
      </c>
      <c r="D275" s="2">
        <v>2020</v>
      </c>
      <c r="E275" s="2">
        <v>0</v>
      </c>
      <c r="F275" s="2">
        <v>132.6</v>
      </c>
    </row>
    <row r="276" spans="1:6" x14ac:dyDescent="0.2">
      <c r="A276" s="2" t="s">
        <v>25</v>
      </c>
      <c r="B276" s="2">
        <v>8</v>
      </c>
      <c r="C276" s="2">
        <v>7</v>
      </c>
      <c r="D276" s="2">
        <v>2020</v>
      </c>
      <c r="E276" s="2">
        <v>0</v>
      </c>
      <c r="F276" s="2">
        <v>132.37</v>
      </c>
    </row>
    <row r="277" spans="1:6" x14ac:dyDescent="0.2">
      <c r="A277" s="2" t="s">
        <v>9</v>
      </c>
      <c r="B277" s="2">
        <v>22</v>
      </c>
      <c r="C277" s="2">
        <v>10</v>
      </c>
      <c r="D277" s="2">
        <v>2020</v>
      </c>
      <c r="E277" s="2">
        <v>0</v>
      </c>
      <c r="F277" s="2">
        <v>132.37</v>
      </c>
    </row>
    <row r="278" spans="1:6" x14ac:dyDescent="0.2">
      <c r="A278" s="2" t="s">
        <v>5</v>
      </c>
      <c r="B278" s="2">
        <v>7</v>
      </c>
      <c r="C278" s="2">
        <v>11</v>
      </c>
      <c r="D278" s="2">
        <v>2020</v>
      </c>
      <c r="E278" s="1" t="s">
        <v>94</v>
      </c>
      <c r="F278" s="2">
        <v>132.30000000000001</v>
      </c>
    </row>
    <row r="279" spans="1:6" x14ac:dyDescent="0.2">
      <c r="A279" s="2" t="s">
        <v>26</v>
      </c>
      <c r="B279" s="2">
        <v>22</v>
      </c>
      <c r="C279" s="2">
        <v>8</v>
      </c>
      <c r="D279" s="2">
        <v>2020</v>
      </c>
      <c r="E279" s="2">
        <v>0</v>
      </c>
      <c r="F279" s="2">
        <v>131.75</v>
      </c>
    </row>
    <row r="280" spans="1:6" x14ac:dyDescent="0.2">
      <c r="A280" s="2" t="s">
        <v>7</v>
      </c>
      <c r="B280" s="2">
        <v>20</v>
      </c>
      <c r="C280" s="2">
        <v>9</v>
      </c>
      <c r="D280" s="2">
        <v>2020</v>
      </c>
      <c r="E280" s="2">
        <v>0</v>
      </c>
      <c r="F280" s="2">
        <v>131.69999999999999</v>
      </c>
    </row>
    <row r="281" spans="1:6" x14ac:dyDescent="0.2">
      <c r="A281" s="2" t="s">
        <v>24</v>
      </c>
      <c r="B281" s="2">
        <v>22</v>
      </c>
      <c r="C281" s="2">
        <v>7</v>
      </c>
      <c r="D281" s="2">
        <v>2020</v>
      </c>
      <c r="E281" s="2">
        <v>0</v>
      </c>
      <c r="F281" s="2">
        <v>131.44</v>
      </c>
    </row>
    <row r="282" spans="1:6" x14ac:dyDescent="0.2">
      <c r="A282" s="2" t="s">
        <v>19</v>
      </c>
      <c r="B282" s="2">
        <v>24</v>
      </c>
      <c r="C282" s="2">
        <v>8</v>
      </c>
      <c r="D282" s="2">
        <v>2020</v>
      </c>
      <c r="E282" s="1" t="s">
        <v>94</v>
      </c>
      <c r="F282" s="2">
        <v>131.13</v>
      </c>
    </row>
    <row r="283" spans="1:6" x14ac:dyDescent="0.2">
      <c r="A283" s="2" t="s">
        <v>97</v>
      </c>
      <c r="B283" s="2">
        <v>12</v>
      </c>
      <c r="C283" s="2">
        <v>10</v>
      </c>
      <c r="D283" s="2">
        <v>2020</v>
      </c>
      <c r="E283" s="1" t="s">
        <v>94</v>
      </c>
      <c r="F283" s="2">
        <v>130.82</v>
      </c>
    </row>
    <row r="284" spans="1:6" x14ac:dyDescent="0.2">
      <c r="A284" s="2" t="s">
        <v>5</v>
      </c>
      <c r="B284" s="2">
        <v>7</v>
      </c>
      <c r="C284" s="2">
        <v>3</v>
      </c>
      <c r="D284" s="2">
        <v>2020</v>
      </c>
      <c r="E284" s="2">
        <v>0</v>
      </c>
      <c r="F284" s="2">
        <v>130.82</v>
      </c>
    </row>
    <row r="285" spans="1:6" x14ac:dyDescent="0.2">
      <c r="A285" s="2" t="s">
        <v>100</v>
      </c>
      <c r="B285" s="2">
        <v>1</v>
      </c>
      <c r="C285" s="2">
        <v>9</v>
      </c>
      <c r="D285" s="2">
        <v>2020</v>
      </c>
      <c r="E285" s="1" t="s">
        <v>94</v>
      </c>
      <c r="F285" s="2">
        <v>130.80000000000001</v>
      </c>
    </row>
    <row r="286" spans="1:6" x14ac:dyDescent="0.2">
      <c r="A286" s="2" t="s">
        <v>97</v>
      </c>
      <c r="B286" s="2">
        <v>12</v>
      </c>
      <c r="C286" s="2">
        <v>2</v>
      </c>
      <c r="D286" s="2">
        <v>2020</v>
      </c>
      <c r="E286" s="1" t="s">
        <v>94</v>
      </c>
      <c r="F286" s="2">
        <v>130.19999999999999</v>
      </c>
    </row>
    <row r="287" spans="1:6" x14ac:dyDescent="0.2">
      <c r="A287" s="2" t="s">
        <v>15</v>
      </c>
      <c r="B287" s="2">
        <v>5</v>
      </c>
      <c r="C287" s="2">
        <v>5</v>
      </c>
      <c r="D287" s="2">
        <v>2020</v>
      </c>
      <c r="E287" s="2">
        <v>0</v>
      </c>
      <c r="F287" s="2">
        <v>129.58000000000001</v>
      </c>
    </row>
    <row r="288" spans="1:6" x14ac:dyDescent="0.2">
      <c r="A288" s="2" t="s">
        <v>28</v>
      </c>
      <c r="B288" s="2">
        <v>5</v>
      </c>
      <c r="C288" s="2">
        <v>6</v>
      </c>
      <c r="D288" s="2">
        <v>2020</v>
      </c>
      <c r="E288" s="2">
        <v>0</v>
      </c>
      <c r="F288" s="2">
        <v>129.30000000000001</v>
      </c>
    </row>
    <row r="289" spans="1:6" x14ac:dyDescent="0.2">
      <c r="A289" s="2" t="s">
        <v>10</v>
      </c>
      <c r="B289" s="2">
        <v>18</v>
      </c>
      <c r="C289" s="2">
        <v>3</v>
      </c>
      <c r="D289" s="2">
        <v>2020</v>
      </c>
      <c r="E289" s="2">
        <v>0</v>
      </c>
      <c r="F289" s="2">
        <v>129.27000000000001</v>
      </c>
    </row>
    <row r="290" spans="1:6" x14ac:dyDescent="0.2">
      <c r="A290" s="2" t="s">
        <v>100</v>
      </c>
      <c r="B290" s="2">
        <v>1</v>
      </c>
      <c r="C290" s="2">
        <v>7</v>
      </c>
      <c r="D290" s="2">
        <v>2020</v>
      </c>
      <c r="E290" s="1" t="s">
        <v>94</v>
      </c>
      <c r="F290" s="2">
        <v>128.34</v>
      </c>
    </row>
    <row r="291" spans="1:6" x14ac:dyDescent="0.2">
      <c r="A291" s="2" t="s">
        <v>24</v>
      </c>
      <c r="B291" s="2">
        <v>22</v>
      </c>
      <c r="C291" s="2">
        <v>8</v>
      </c>
      <c r="D291" s="2">
        <v>2020</v>
      </c>
      <c r="E291" s="2">
        <v>0</v>
      </c>
      <c r="F291" s="2">
        <v>128.34</v>
      </c>
    </row>
    <row r="292" spans="1:6" x14ac:dyDescent="0.2">
      <c r="A292" s="2" t="s">
        <v>26</v>
      </c>
      <c r="B292" s="2">
        <v>22</v>
      </c>
      <c r="C292" s="2">
        <v>6</v>
      </c>
      <c r="D292" s="2">
        <v>2020</v>
      </c>
      <c r="E292" s="2">
        <v>0</v>
      </c>
      <c r="F292" s="2">
        <v>127.8</v>
      </c>
    </row>
    <row r="293" spans="1:6" x14ac:dyDescent="0.2">
      <c r="A293" s="2" t="s">
        <v>27</v>
      </c>
      <c r="B293" s="2">
        <v>1</v>
      </c>
      <c r="C293" s="2">
        <v>5</v>
      </c>
      <c r="D293" s="2">
        <v>2020</v>
      </c>
      <c r="E293" s="2">
        <v>0</v>
      </c>
      <c r="F293" s="2">
        <v>127.72</v>
      </c>
    </row>
    <row r="294" spans="1:6" x14ac:dyDescent="0.2">
      <c r="A294" s="2" t="s">
        <v>15</v>
      </c>
      <c r="B294" s="2">
        <v>5</v>
      </c>
      <c r="C294" s="2">
        <v>7</v>
      </c>
      <c r="D294" s="2">
        <v>2020</v>
      </c>
      <c r="E294" s="2">
        <v>0</v>
      </c>
      <c r="F294" s="2">
        <v>127.72</v>
      </c>
    </row>
    <row r="295" spans="1:6" x14ac:dyDescent="0.2">
      <c r="A295" s="2" t="s">
        <v>83</v>
      </c>
      <c r="B295" s="2">
        <v>25</v>
      </c>
      <c r="C295" s="2">
        <v>7</v>
      </c>
      <c r="D295" s="2">
        <v>2020</v>
      </c>
      <c r="E295" s="2">
        <v>46.5</v>
      </c>
      <c r="F295" s="2">
        <v>127.41</v>
      </c>
    </row>
    <row r="296" spans="1:6" x14ac:dyDescent="0.2">
      <c r="A296" s="2" t="s">
        <v>14</v>
      </c>
      <c r="B296" s="2">
        <v>10</v>
      </c>
      <c r="C296" s="2">
        <v>8</v>
      </c>
      <c r="D296" s="2">
        <v>2020</v>
      </c>
      <c r="E296" s="2">
        <v>0</v>
      </c>
      <c r="F296" s="2">
        <v>127.41</v>
      </c>
    </row>
    <row r="297" spans="1:6" x14ac:dyDescent="0.2">
      <c r="A297" s="2" t="s">
        <v>5</v>
      </c>
      <c r="B297" s="2">
        <v>7</v>
      </c>
      <c r="C297" s="2">
        <v>2</v>
      </c>
      <c r="D297" s="2">
        <v>2020</v>
      </c>
      <c r="E297" s="2">
        <v>0</v>
      </c>
      <c r="F297" s="2">
        <v>127.12</v>
      </c>
    </row>
    <row r="298" spans="1:6" x14ac:dyDescent="0.2">
      <c r="A298" s="2" t="s">
        <v>22</v>
      </c>
      <c r="B298" s="2">
        <v>22</v>
      </c>
      <c r="C298" s="2">
        <v>7</v>
      </c>
      <c r="D298" s="2">
        <v>2020</v>
      </c>
      <c r="E298" s="2">
        <v>0</v>
      </c>
      <c r="F298" s="2">
        <v>127.1</v>
      </c>
    </row>
    <row r="299" spans="1:6" x14ac:dyDescent="0.2">
      <c r="A299" s="2" t="s">
        <v>9</v>
      </c>
      <c r="B299" s="2">
        <v>22</v>
      </c>
      <c r="C299" s="2">
        <v>4</v>
      </c>
      <c r="D299" s="2">
        <v>2020</v>
      </c>
      <c r="E299" s="2">
        <v>0</v>
      </c>
      <c r="F299" s="2">
        <v>126.9</v>
      </c>
    </row>
    <row r="300" spans="1:6" x14ac:dyDescent="0.2">
      <c r="A300" s="2" t="s">
        <v>7</v>
      </c>
      <c r="B300" s="2">
        <v>20</v>
      </c>
      <c r="C300" s="2">
        <v>8</v>
      </c>
      <c r="D300" s="2">
        <v>2020</v>
      </c>
      <c r="E300" s="2">
        <v>0</v>
      </c>
      <c r="F300" s="2">
        <v>126.79</v>
      </c>
    </row>
    <row r="301" spans="1:6" x14ac:dyDescent="0.2">
      <c r="A301" s="2" t="s">
        <v>27</v>
      </c>
      <c r="B301" s="2">
        <v>1</v>
      </c>
      <c r="C301" s="2">
        <v>6</v>
      </c>
      <c r="D301" s="2">
        <v>2020</v>
      </c>
      <c r="E301" s="2">
        <v>0</v>
      </c>
      <c r="F301" s="2">
        <v>126.6</v>
      </c>
    </row>
    <row r="302" spans="1:6" x14ac:dyDescent="0.2">
      <c r="A302" s="2" t="s">
        <v>83</v>
      </c>
      <c r="B302" s="2">
        <v>25</v>
      </c>
      <c r="C302" s="2">
        <v>1</v>
      </c>
      <c r="D302" s="2">
        <v>2020</v>
      </c>
      <c r="E302" s="2">
        <v>117.18</v>
      </c>
      <c r="F302" s="2">
        <v>126.48</v>
      </c>
    </row>
    <row r="303" spans="1:6" x14ac:dyDescent="0.2">
      <c r="A303" s="2" t="s">
        <v>71</v>
      </c>
      <c r="B303" s="2">
        <v>21</v>
      </c>
      <c r="C303" s="2">
        <v>1</v>
      </c>
      <c r="D303" s="2">
        <v>2020</v>
      </c>
      <c r="E303" s="2">
        <v>110.36</v>
      </c>
      <c r="F303" s="2">
        <v>126.48</v>
      </c>
    </row>
    <row r="304" spans="1:6" x14ac:dyDescent="0.2">
      <c r="A304" s="2" t="s">
        <v>13</v>
      </c>
      <c r="B304" s="2">
        <v>7</v>
      </c>
      <c r="C304" s="2">
        <v>7</v>
      </c>
      <c r="D304" s="2">
        <v>2020</v>
      </c>
      <c r="E304" s="2">
        <v>0</v>
      </c>
      <c r="F304" s="2">
        <v>126.17</v>
      </c>
    </row>
    <row r="305" spans="1:6" x14ac:dyDescent="0.2">
      <c r="A305" s="2" t="s">
        <v>22</v>
      </c>
      <c r="B305" s="2">
        <v>22</v>
      </c>
      <c r="C305" s="2">
        <v>9</v>
      </c>
      <c r="D305" s="2">
        <v>2020</v>
      </c>
      <c r="E305" s="2">
        <v>0</v>
      </c>
      <c r="F305" s="2">
        <v>126</v>
      </c>
    </row>
    <row r="306" spans="1:6" x14ac:dyDescent="0.2">
      <c r="A306" s="2" t="s">
        <v>18</v>
      </c>
      <c r="B306" s="2">
        <v>5</v>
      </c>
      <c r="C306" s="2">
        <v>7</v>
      </c>
      <c r="D306" s="2">
        <v>2020</v>
      </c>
      <c r="E306" s="2">
        <v>0</v>
      </c>
      <c r="F306" s="2">
        <v>125.86</v>
      </c>
    </row>
    <row r="307" spans="1:6" x14ac:dyDescent="0.2">
      <c r="A307" s="2" t="s">
        <v>6</v>
      </c>
      <c r="B307" s="2">
        <v>7</v>
      </c>
      <c r="C307" s="2">
        <v>4</v>
      </c>
      <c r="D307" s="2">
        <v>2020</v>
      </c>
      <c r="E307" s="1" t="s">
        <v>94</v>
      </c>
      <c r="F307" s="2">
        <v>125.7</v>
      </c>
    </row>
    <row r="308" spans="1:6" x14ac:dyDescent="0.2">
      <c r="A308" s="2" t="s">
        <v>98</v>
      </c>
      <c r="B308" s="2">
        <v>21</v>
      </c>
      <c r="C308" s="2">
        <v>10</v>
      </c>
      <c r="D308" s="2">
        <v>2020</v>
      </c>
      <c r="E308" s="1" t="s">
        <v>94</v>
      </c>
      <c r="F308" s="2">
        <v>125.55</v>
      </c>
    </row>
    <row r="309" spans="1:6" x14ac:dyDescent="0.2">
      <c r="A309" s="2" t="s">
        <v>71</v>
      </c>
      <c r="B309" s="2">
        <v>21</v>
      </c>
      <c r="C309" s="2">
        <v>12</v>
      </c>
      <c r="D309" s="2">
        <v>2020</v>
      </c>
      <c r="E309" s="2">
        <v>102.61</v>
      </c>
      <c r="F309" s="2">
        <v>125.55</v>
      </c>
    </row>
    <row r="310" spans="1:6" x14ac:dyDescent="0.2">
      <c r="A310" s="2" t="s">
        <v>9</v>
      </c>
      <c r="B310" s="2">
        <v>22</v>
      </c>
      <c r="C310" s="2">
        <v>3</v>
      </c>
      <c r="D310" s="2">
        <v>2020</v>
      </c>
      <c r="E310" s="2">
        <v>0</v>
      </c>
      <c r="F310" s="2">
        <v>125.55</v>
      </c>
    </row>
    <row r="311" spans="1:6" x14ac:dyDescent="0.2">
      <c r="A311" s="2" t="s">
        <v>26</v>
      </c>
      <c r="B311" s="2">
        <v>22</v>
      </c>
      <c r="C311" s="2">
        <v>7</v>
      </c>
      <c r="D311" s="2">
        <v>2020</v>
      </c>
      <c r="E311" s="2">
        <v>0</v>
      </c>
      <c r="F311" s="2">
        <v>125.55</v>
      </c>
    </row>
    <row r="312" spans="1:6" x14ac:dyDescent="0.2">
      <c r="A312" s="2" t="s">
        <v>16</v>
      </c>
      <c r="B312" s="2">
        <v>14</v>
      </c>
      <c r="C312" s="2">
        <v>4</v>
      </c>
      <c r="D312" s="2">
        <v>2020</v>
      </c>
      <c r="E312" s="2">
        <v>0</v>
      </c>
      <c r="F312" s="2">
        <v>125.1</v>
      </c>
    </row>
    <row r="313" spans="1:6" x14ac:dyDescent="0.2">
      <c r="A313" s="2" t="s">
        <v>27</v>
      </c>
      <c r="B313" s="2">
        <v>1</v>
      </c>
      <c r="C313" s="2">
        <v>9</v>
      </c>
      <c r="D313" s="2">
        <v>2020</v>
      </c>
      <c r="E313" s="2">
        <v>0</v>
      </c>
      <c r="F313" s="2">
        <v>125.1</v>
      </c>
    </row>
    <row r="314" spans="1:6" x14ac:dyDescent="0.2">
      <c r="A314" s="2" t="s">
        <v>15</v>
      </c>
      <c r="B314" s="2">
        <v>5</v>
      </c>
      <c r="C314" s="2">
        <v>8</v>
      </c>
      <c r="D314" s="2">
        <v>2020</v>
      </c>
      <c r="E314" s="1" t="s">
        <v>94</v>
      </c>
      <c r="F314" s="2">
        <v>124.93</v>
      </c>
    </row>
    <row r="315" spans="1:6" x14ac:dyDescent="0.2">
      <c r="A315" s="2" t="s">
        <v>14</v>
      </c>
      <c r="B315" s="2">
        <v>10</v>
      </c>
      <c r="C315" s="2">
        <v>5</v>
      </c>
      <c r="D315" s="2">
        <v>2020</v>
      </c>
      <c r="E315" s="2">
        <v>0</v>
      </c>
      <c r="F315" s="2">
        <v>124.93</v>
      </c>
    </row>
    <row r="316" spans="1:6" x14ac:dyDescent="0.2">
      <c r="A316" s="2" t="s">
        <v>99</v>
      </c>
      <c r="B316" s="2">
        <v>10</v>
      </c>
      <c r="C316" s="2">
        <v>5</v>
      </c>
      <c r="D316" s="2">
        <v>2020</v>
      </c>
      <c r="E316" s="1" t="s">
        <v>94</v>
      </c>
      <c r="F316" s="2">
        <v>124.62</v>
      </c>
    </row>
    <row r="317" spans="1:6" x14ac:dyDescent="0.2">
      <c r="A317" s="2" t="s">
        <v>6</v>
      </c>
      <c r="B317" s="2">
        <v>7</v>
      </c>
      <c r="C317" s="2">
        <v>10</v>
      </c>
      <c r="D317" s="2">
        <v>2020</v>
      </c>
      <c r="E317" s="2">
        <v>0</v>
      </c>
      <c r="F317" s="2">
        <v>124.62</v>
      </c>
    </row>
    <row r="318" spans="1:6" x14ac:dyDescent="0.2">
      <c r="A318" s="2" t="s">
        <v>7</v>
      </c>
      <c r="B318" s="2">
        <v>20</v>
      </c>
      <c r="C318" s="2">
        <v>5</v>
      </c>
      <c r="D318" s="2">
        <v>2020</v>
      </c>
      <c r="E318" s="2">
        <v>0</v>
      </c>
      <c r="F318" s="2">
        <v>124.31</v>
      </c>
    </row>
    <row r="319" spans="1:6" x14ac:dyDescent="0.2">
      <c r="A319" s="2" t="s">
        <v>8</v>
      </c>
      <c r="B319" s="2">
        <v>5</v>
      </c>
      <c r="C319" s="2">
        <v>8</v>
      </c>
      <c r="D319" s="2">
        <v>2020</v>
      </c>
      <c r="E319" s="2">
        <v>0</v>
      </c>
      <c r="F319" s="2">
        <v>124.31</v>
      </c>
    </row>
    <row r="320" spans="1:6" x14ac:dyDescent="0.2">
      <c r="A320" s="2" t="s">
        <v>12</v>
      </c>
      <c r="B320" s="2">
        <v>2</v>
      </c>
      <c r="C320" s="2">
        <v>4</v>
      </c>
      <c r="D320" s="2">
        <v>2020</v>
      </c>
      <c r="E320" s="2">
        <v>0</v>
      </c>
      <c r="F320" s="2">
        <v>124.2</v>
      </c>
    </row>
    <row r="321" spans="1:6" x14ac:dyDescent="0.2">
      <c r="A321" s="2" t="s">
        <v>3</v>
      </c>
      <c r="B321" s="2">
        <v>25</v>
      </c>
      <c r="C321" s="2">
        <v>4</v>
      </c>
      <c r="D321" s="2">
        <v>2020</v>
      </c>
      <c r="E321" s="2">
        <v>0</v>
      </c>
      <c r="F321" s="2">
        <v>123.9</v>
      </c>
    </row>
    <row r="322" spans="1:6" x14ac:dyDescent="0.2">
      <c r="A322" s="2" t="s">
        <v>18</v>
      </c>
      <c r="B322" s="2">
        <v>5</v>
      </c>
      <c r="C322" s="2">
        <v>9</v>
      </c>
      <c r="D322" s="2">
        <v>2020</v>
      </c>
      <c r="E322" s="2">
        <v>0</v>
      </c>
      <c r="F322" s="2">
        <v>123.6</v>
      </c>
    </row>
    <row r="323" spans="1:6" x14ac:dyDescent="0.2">
      <c r="A323" s="2" t="s">
        <v>20</v>
      </c>
      <c r="B323" s="2">
        <v>12</v>
      </c>
      <c r="C323" s="2">
        <v>5</v>
      </c>
      <c r="D323" s="2">
        <v>2020</v>
      </c>
      <c r="E323" s="2">
        <v>0</v>
      </c>
      <c r="F323" s="2">
        <v>123.38</v>
      </c>
    </row>
    <row r="324" spans="1:6" x14ac:dyDescent="0.2">
      <c r="A324" s="2" t="s">
        <v>7</v>
      </c>
      <c r="B324" s="2">
        <v>20</v>
      </c>
      <c r="C324" s="2">
        <v>7</v>
      </c>
      <c r="D324" s="2">
        <v>2020</v>
      </c>
      <c r="E324" s="2">
        <v>0</v>
      </c>
      <c r="F324" s="2">
        <v>123.38</v>
      </c>
    </row>
    <row r="325" spans="1:6" x14ac:dyDescent="0.2">
      <c r="A325" s="2" t="s">
        <v>23</v>
      </c>
      <c r="B325" s="2">
        <v>5</v>
      </c>
      <c r="C325" s="2">
        <v>8</v>
      </c>
      <c r="D325" s="2">
        <v>2020</v>
      </c>
      <c r="E325" s="2">
        <v>0</v>
      </c>
      <c r="F325" s="2">
        <v>123.38</v>
      </c>
    </row>
    <row r="326" spans="1:6" x14ac:dyDescent="0.2">
      <c r="A326" s="2" t="s">
        <v>71</v>
      </c>
      <c r="B326" s="2">
        <v>21</v>
      </c>
      <c r="C326" s="2">
        <v>9</v>
      </c>
      <c r="D326" s="2">
        <v>2020</v>
      </c>
      <c r="E326" s="2">
        <v>54</v>
      </c>
      <c r="F326" s="2">
        <v>123</v>
      </c>
    </row>
    <row r="327" spans="1:6" x14ac:dyDescent="0.2">
      <c r="A327" s="2" t="s">
        <v>98</v>
      </c>
      <c r="B327" s="2">
        <v>21</v>
      </c>
      <c r="C327" s="2">
        <v>9</v>
      </c>
      <c r="D327" s="2">
        <v>2020</v>
      </c>
      <c r="E327" s="1" t="s">
        <v>94</v>
      </c>
      <c r="F327" s="2">
        <v>122.7</v>
      </c>
    </row>
    <row r="328" spans="1:6" x14ac:dyDescent="0.2">
      <c r="A328" s="2" t="s">
        <v>2</v>
      </c>
      <c r="B328" s="2">
        <v>18</v>
      </c>
      <c r="C328" s="2">
        <v>3</v>
      </c>
      <c r="D328" s="2">
        <v>2020</v>
      </c>
      <c r="E328" s="2">
        <v>0</v>
      </c>
      <c r="F328" s="2">
        <v>122.45</v>
      </c>
    </row>
    <row r="329" spans="1:6" x14ac:dyDescent="0.2">
      <c r="A329" s="2" t="s">
        <v>17</v>
      </c>
      <c r="B329" s="2">
        <v>8</v>
      </c>
      <c r="C329" s="2">
        <v>5</v>
      </c>
      <c r="D329" s="2">
        <v>2020</v>
      </c>
      <c r="E329" s="2">
        <v>0</v>
      </c>
      <c r="F329" s="2">
        <v>122.45</v>
      </c>
    </row>
    <row r="330" spans="1:6" x14ac:dyDescent="0.2">
      <c r="A330" s="2" t="s">
        <v>21</v>
      </c>
      <c r="B330" s="2">
        <v>15</v>
      </c>
      <c r="C330" s="2">
        <v>5</v>
      </c>
      <c r="D330" s="2">
        <v>2020</v>
      </c>
      <c r="E330" s="1" t="s">
        <v>94</v>
      </c>
      <c r="F330" s="2">
        <v>122.14</v>
      </c>
    </row>
    <row r="331" spans="1:6" x14ac:dyDescent="0.2">
      <c r="A331" s="2" t="s">
        <v>23</v>
      </c>
      <c r="B331" s="2">
        <v>5</v>
      </c>
      <c r="C331" s="2">
        <v>6</v>
      </c>
      <c r="D331" s="2">
        <v>2020</v>
      </c>
      <c r="E331" s="2">
        <v>0</v>
      </c>
      <c r="F331" s="2">
        <v>122.1</v>
      </c>
    </row>
    <row r="332" spans="1:6" x14ac:dyDescent="0.2">
      <c r="A332" s="2" t="s">
        <v>100</v>
      </c>
      <c r="B332" s="2">
        <v>1</v>
      </c>
      <c r="C332" s="2">
        <v>5</v>
      </c>
      <c r="D332" s="2">
        <v>2020</v>
      </c>
      <c r="E332" s="1" t="s">
        <v>94</v>
      </c>
      <c r="F332" s="2">
        <v>121.83</v>
      </c>
    </row>
    <row r="333" spans="1:6" x14ac:dyDescent="0.2">
      <c r="A333" s="2" t="s">
        <v>18</v>
      </c>
      <c r="B333" s="2">
        <v>5</v>
      </c>
      <c r="C333" s="2">
        <v>8</v>
      </c>
      <c r="D333" s="2">
        <v>2020</v>
      </c>
      <c r="E333" s="1" t="s">
        <v>94</v>
      </c>
      <c r="F333" s="2">
        <v>121.83</v>
      </c>
    </row>
    <row r="334" spans="1:6" x14ac:dyDescent="0.2">
      <c r="A334" s="2" t="s">
        <v>77</v>
      </c>
      <c r="B334" s="2">
        <v>16</v>
      </c>
      <c r="C334" s="2">
        <v>10</v>
      </c>
      <c r="D334" s="2">
        <v>2020</v>
      </c>
      <c r="E334" s="2">
        <v>78.12</v>
      </c>
      <c r="F334" s="2">
        <v>121.83</v>
      </c>
    </row>
    <row r="335" spans="1:6" x14ac:dyDescent="0.2">
      <c r="A335" s="2" t="s">
        <v>2</v>
      </c>
      <c r="B335" s="2">
        <v>18</v>
      </c>
      <c r="C335" s="2">
        <v>4</v>
      </c>
      <c r="D335" s="2">
        <v>2020</v>
      </c>
      <c r="E335" s="2">
        <v>0</v>
      </c>
      <c r="F335" s="2">
        <v>121.8</v>
      </c>
    </row>
    <row r="336" spans="1:6" x14ac:dyDescent="0.2">
      <c r="A336" s="2" t="s">
        <v>9</v>
      </c>
      <c r="B336" s="2">
        <v>22</v>
      </c>
      <c r="C336" s="2">
        <v>5</v>
      </c>
      <c r="D336" s="2">
        <v>2020</v>
      </c>
      <c r="E336" s="2">
        <v>0</v>
      </c>
      <c r="F336" s="2">
        <v>121.52</v>
      </c>
    </row>
    <row r="337" spans="1:6" x14ac:dyDescent="0.2">
      <c r="A337" s="2" t="s">
        <v>17</v>
      </c>
      <c r="B337" s="2">
        <v>8</v>
      </c>
      <c r="C337" s="2">
        <v>9</v>
      </c>
      <c r="D337" s="2">
        <v>2020</v>
      </c>
      <c r="E337" s="2">
        <v>0</v>
      </c>
      <c r="F337" s="2">
        <v>121.2</v>
      </c>
    </row>
    <row r="338" spans="1:6" x14ac:dyDescent="0.2">
      <c r="A338" s="2" t="s">
        <v>5</v>
      </c>
      <c r="B338" s="2">
        <v>7</v>
      </c>
      <c r="C338" s="2">
        <v>4</v>
      </c>
      <c r="D338" s="2">
        <v>2020</v>
      </c>
      <c r="E338" s="2">
        <v>0</v>
      </c>
      <c r="F338" s="2">
        <v>120.9</v>
      </c>
    </row>
    <row r="339" spans="1:6" x14ac:dyDescent="0.2">
      <c r="A339" s="2" t="s">
        <v>19</v>
      </c>
      <c r="B339" s="2">
        <v>24</v>
      </c>
      <c r="C339" s="2">
        <v>7</v>
      </c>
      <c r="D339" s="2">
        <v>2020</v>
      </c>
      <c r="E339" s="2">
        <v>0</v>
      </c>
      <c r="F339" s="2">
        <v>120.59</v>
      </c>
    </row>
    <row r="340" spans="1:6" x14ac:dyDescent="0.2">
      <c r="A340" s="2" t="s">
        <v>97</v>
      </c>
      <c r="B340" s="2">
        <v>12</v>
      </c>
      <c r="C340" s="2">
        <v>4</v>
      </c>
      <c r="D340" s="2">
        <v>2020</v>
      </c>
      <c r="E340" s="1" t="s">
        <v>94</v>
      </c>
      <c r="F340" s="2">
        <v>120</v>
      </c>
    </row>
    <row r="341" spans="1:6" x14ac:dyDescent="0.2">
      <c r="A341" s="2" t="s">
        <v>21</v>
      </c>
      <c r="B341" s="2">
        <v>15</v>
      </c>
      <c r="C341" s="2">
        <v>9</v>
      </c>
      <c r="D341" s="2">
        <v>2020</v>
      </c>
      <c r="E341" s="2">
        <v>0</v>
      </c>
      <c r="F341" s="2">
        <v>120</v>
      </c>
    </row>
    <row r="342" spans="1:6" x14ac:dyDescent="0.2">
      <c r="A342" s="2" t="s">
        <v>79</v>
      </c>
      <c r="B342" s="2">
        <v>3</v>
      </c>
      <c r="C342" s="2">
        <v>8</v>
      </c>
      <c r="D342" s="2">
        <v>2020</v>
      </c>
      <c r="E342" s="2">
        <v>43.4</v>
      </c>
      <c r="F342" s="2">
        <v>119.97</v>
      </c>
    </row>
    <row r="343" spans="1:6" x14ac:dyDescent="0.2">
      <c r="A343" s="2" t="s">
        <v>99</v>
      </c>
      <c r="B343" s="2">
        <v>10</v>
      </c>
      <c r="C343" s="2">
        <v>9</v>
      </c>
      <c r="D343" s="2">
        <v>2020</v>
      </c>
      <c r="E343" s="1" t="s">
        <v>94</v>
      </c>
      <c r="F343" s="2">
        <v>119.7</v>
      </c>
    </row>
    <row r="344" spans="1:6" x14ac:dyDescent="0.2">
      <c r="A344" s="2" t="s">
        <v>99</v>
      </c>
      <c r="B344" s="2">
        <v>10</v>
      </c>
      <c r="C344" s="2">
        <v>7</v>
      </c>
      <c r="D344" s="2">
        <v>2020</v>
      </c>
      <c r="E344" s="1" t="s">
        <v>94</v>
      </c>
      <c r="F344" s="2">
        <v>119.66</v>
      </c>
    </row>
    <row r="345" spans="1:6" x14ac:dyDescent="0.2">
      <c r="A345" s="2" t="s">
        <v>23</v>
      </c>
      <c r="B345" s="2">
        <v>5</v>
      </c>
      <c r="C345" s="2">
        <v>7</v>
      </c>
      <c r="D345" s="2">
        <v>2020</v>
      </c>
      <c r="E345" s="2">
        <v>0</v>
      </c>
      <c r="F345" s="2">
        <v>119.66</v>
      </c>
    </row>
    <row r="346" spans="1:6" x14ac:dyDescent="0.2">
      <c r="A346" s="2" t="s">
        <v>10</v>
      </c>
      <c r="B346" s="2">
        <v>18</v>
      </c>
      <c r="C346" s="2">
        <v>8</v>
      </c>
      <c r="D346" s="2">
        <v>2020</v>
      </c>
      <c r="E346" s="2">
        <v>0</v>
      </c>
      <c r="F346" s="2">
        <v>119.66</v>
      </c>
    </row>
    <row r="347" spans="1:6" x14ac:dyDescent="0.2">
      <c r="A347" s="2" t="s">
        <v>99</v>
      </c>
      <c r="B347" s="2">
        <v>10</v>
      </c>
      <c r="C347" s="2">
        <v>6</v>
      </c>
      <c r="D347" s="2">
        <v>2020</v>
      </c>
      <c r="E347" s="1" t="s">
        <v>94</v>
      </c>
      <c r="F347" s="2">
        <v>118.8</v>
      </c>
    </row>
    <row r="348" spans="1:6" x14ac:dyDescent="0.2">
      <c r="A348" s="2" t="s">
        <v>19</v>
      </c>
      <c r="B348" s="2">
        <v>24</v>
      </c>
      <c r="C348" s="2">
        <v>6</v>
      </c>
      <c r="D348" s="2">
        <v>2020</v>
      </c>
      <c r="E348" s="2">
        <v>0</v>
      </c>
      <c r="F348" s="2">
        <v>118.8</v>
      </c>
    </row>
    <row r="349" spans="1:6" x14ac:dyDescent="0.2">
      <c r="A349" s="2" t="s">
        <v>10</v>
      </c>
      <c r="B349" s="2">
        <v>18</v>
      </c>
      <c r="C349" s="2">
        <v>7</v>
      </c>
      <c r="D349" s="2">
        <v>2020</v>
      </c>
      <c r="E349" s="2">
        <v>0</v>
      </c>
      <c r="F349" s="2">
        <v>118.73</v>
      </c>
    </row>
    <row r="350" spans="1:6" x14ac:dyDescent="0.2">
      <c r="A350" s="2" t="s">
        <v>99</v>
      </c>
      <c r="B350" s="2">
        <v>10</v>
      </c>
      <c r="C350" s="2">
        <v>8</v>
      </c>
      <c r="D350" s="2">
        <v>2020</v>
      </c>
      <c r="E350" s="1" t="s">
        <v>94</v>
      </c>
      <c r="F350" s="2">
        <v>118.11</v>
      </c>
    </row>
    <row r="351" spans="1:6" x14ac:dyDescent="0.2">
      <c r="A351" s="2" t="s">
        <v>72</v>
      </c>
      <c r="B351" s="2">
        <v>22</v>
      </c>
      <c r="C351" s="2">
        <v>7</v>
      </c>
      <c r="D351" s="2">
        <v>2020</v>
      </c>
      <c r="E351" s="2">
        <v>38.130000000000003</v>
      </c>
      <c r="F351" s="2">
        <v>117.8</v>
      </c>
    </row>
    <row r="352" spans="1:6" x14ac:dyDescent="0.2">
      <c r="A352" s="2" t="s">
        <v>1</v>
      </c>
      <c r="B352" s="2">
        <v>21</v>
      </c>
      <c r="C352" s="2">
        <v>3</v>
      </c>
      <c r="D352" s="2">
        <v>2020</v>
      </c>
      <c r="E352" s="2">
        <v>0</v>
      </c>
      <c r="F352" s="2">
        <v>117.8</v>
      </c>
    </row>
    <row r="353" spans="1:6" x14ac:dyDescent="0.2">
      <c r="A353" s="2" t="s">
        <v>21</v>
      </c>
      <c r="B353" s="2">
        <v>15</v>
      </c>
      <c r="C353" s="2">
        <v>6</v>
      </c>
      <c r="D353" s="2">
        <v>2020</v>
      </c>
      <c r="E353" s="2">
        <v>0</v>
      </c>
      <c r="F353" s="2">
        <v>117.3</v>
      </c>
    </row>
    <row r="354" spans="1:6" x14ac:dyDescent="0.2">
      <c r="A354" s="2" t="s">
        <v>19</v>
      </c>
      <c r="B354" s="2">
        <v>24</v>
      </c>
      <c r="C354" s="2">
        <v>5</v>
      </c>
      <c r="D354" s="2">
        <v>2020</v>
      </c>
      <c r="E354" s="2">
        <v>0</v>
      </c>
      <c r="F354" s="2">
        <v>117.18</v>
      </c>
    </row>
    <row r="355" spans="1:6" x14ac:dyDescent="0.2">
      <c r="A355" s="2" t="s">
        <v>16</v>
      </c>
      <c r="B355" s="2">
        <v>14</v>
      </c>
      <c r="C355" s="2">
        <v>7</v>
      </c>
      <c r="D355" s="2">
        <v>2020</v>
      </c>
      <c r="E355" s="2">
        <v>0</v>
      </c>
      <c r="F355" s="2">
        <v>116.87</v>
      </c>
    </row>
    <row r="356" spans="1:6" x14ac:dyDescent="0.2">
      <c r="A356" s="2" t="s">
        <v>14</v>
      </c>
      <c r="B356" s="2">
        <v>10</v>
      </c>
      <c r="C356" s="2">
        <v>9</v>
      </c>
      <c r="D356" s="2">
        <v>2020</v>
      </c>
      <c r="E356" s="2">
        <v>0</v>
      </c>
      <c r="F356" s="2">
        <v>116.7</v>
      </c>
    </row>
    <row r="357" spans="1:6" x14ac:dyDescent="0.2">
      <c r="A357" s="2" t="s">
        <v>11</v>
      </c>
      <c r="B357" s="2">
        <v>15</v>
      </c>
      <c r="C357" s="2">
        <v>8</v>
      </c>
      <c r="D357" s="2">
        <v>2020</v>
      </c>
      <c r="E357" s="2">
        <v>0</v>
      </c>
      <c r="F357" s="2">
        <v>116.56</v>
      </c>
    </row>
    <row r="358" spans="1:6" x14ac:dyDescent="0.2">
      <c r="A358" s="2" t="s">
        <v>83</v>
      </c>
      <c r="B358" s="2">
        <v>25</v>
      </c>
      <c r="C358" s="2">
        <v>9</v>
      </c>
      <c r="D358" s="2">
        <v>2020</v>
      </c>
      <c r="E358" s="2">
        <v>69.3</v>
      </c>
      <c r="F358" s="2">
        <v>116.4</v>
      </c>
    </row>
    <row r="359" spans="1:6" x14ac:dyDescent="0.2">
      <c r="A359" s="2" t="s">
        <v>20</v>
      </c>
      <c r="B359" s="2">
        <v>12</v>
      </c>
      <c r="C359" s="2">
        <v>9</v>
      </c>
      <c r="D359" s="2">
        <v>2020</v>
      </c>
      <c r="E359" s="2">
        <v>0</v>
      </c>
      <c r="F359" s="2">
        <v>116.4</v>
      </c>
    </row>
    <row r="360" spans="1:6" x14ac:dyDescent="0.2">
      <c r="A360" s="2" t="s">
        <v>88</v>
      </c>
      <c r="B360" s="2">
        <v>23</v>
      </c>
      <c r="C360" s="2">
        <v>1</v>
      </c>
      <c r="D360" s="2">
        <v>2020</v>
      </c>
      <c r="E360" s="2">
        <v>117.18</v>
      </c>
      <c r="F360" s="2">
        <v>116.25</v>
      </c>
    </row>
    <row r="361" spans="1:6" x14ac:dyDescent="0.2">
      <c r="A361" s="2" t="s">
        <v>79</v>
      </c>
      <c r="B361" s="2">
        <v>3</v>
      </c>
      <c r="C361" s="2">
        <v>3</v>
      </c>
      <c r="D361" s="2">
        <v>2020</v>
      </c>
      <c r="E361" s="2">
        <v>85.25</v>
      </c>
      <c r="F361" s="2">
        <v>115.94</v>
      </c>
    </row>
    <row r="362" spans="1:6" x14ac:dyDescent="0.2">
      <c r="A362" s="2" t="s">
        <v>17</v>
      </c>
      <c r="B362" s="2">
        <v>8</v>
      </c>
      <c r="C362" s="2">
        <v>8</v>
      </c>
      <c r="D362" s="2">
        <v>2020</v>
      </c>
      <c r="E362" s="2">
        <v>0</v>
      </c>
      <c r="F362" s="2">
        <v>115.94</v>
      </c>
    </row>
    <row r="363" spans="1:6" x14ac:dyDescent="0.2">
      <c r="A363" s="2" t="s">
        <v>71</v>
      </c>
      <c r="B363" s="2">
        <v>21</v>
      </c>
      <c r="C363" s="2">
        <v>10</v>
      </c>
      <c r="D363" s="2">
        <v>2020</v>
      </c>
      <c r="E363" s="2">
        <v>75.95</v>
      </c>
      <c r="F363" s="2">
        <v>115.63</v>
      </c>
    </row>
    <row r="364" spans="1:6" x14ac:dyDescent="0.2">
      <c r="A364" s="2" t="s">
        <v>23</v>
      </c>
      <c r="B364" s="2">
        <v>5</v>
      </c>
      <c r="C364" s="2">
        <v>9</v>
      </c>
      <c r="D364" s="2">
        <v>2020</v>
      </c>
      <c r="E364" s="1" t="s">
        <v>94</v>
      </c>
      <c r="F364" s="2">
        <v>115.5</v>
      </c>
    </row>
    <row r="365" spans="1:6" x14ac:dyDescent="0.2">
      <c r="A365" s="2" t="s">
        <v>6</v>
      </c>
      <c r="B365" s="2">
        <v>7</v>
      </c>
      <c r="C365" s="2">
        <v>9</v>
      </c>
      <c r="D365" s="2">
        <v>2020</v>
      </c>
      <c r="E365" s="2">
        <v>0</v>
      </c>
      <c r="F365" s="2">
        <v>114.6</v>
      </c>
    </row>
    <row r="366" spans="1:6" x14ac:dyDescent="0.2">
      <c r="A366" s="2" t="s">
        <v>8</v>
      </c>
      <c r="B366" s="2">
        <v>5</v>
      </c>
      <c r="C366" s="2">
        <v>5</v>
      </c>
      <c r="D366" s="2">
        <v>2020</v>
      </c>
      <c r="E366" s="1" t="s">
        <v>94</v>
      </c>
      <c r="F366" s="2">
        <v>114.39</v>
      </c>
    </row>
    <row r="367" spans="1:6" x14ac:dyDescent="0.2">
      <c r="A367" s="2" t="s">
        <v>86</v>
      </c>
      <c r="B367" s="2">
        <v>6</v>
      </c>
      <c r="C367" s="2">
        <v>5</v>
      </c>
      <c r="D367" s="2">
        <v>2020</v>
      </c>
      <c r="E367" s="2">
        <v>61.38</v>
      </c>
      <c r="F367" s="2">
        <v>114.39</v>
      </c>
    </row>
    <row r="368" spans="1:6" x14ac:dyDescent="0.2">
      <c r="A368" s="2" t="s">
        <v>98</v>
      </c>
      <c r="B368" s="2">
        <v>21</v>
      </c>
      <c r="C368" s="2">
        <v>6</v>
      </c>
      <c r="D368" s="2">
        <v>2020</v>
      </c>
      <c r="E368" s="1" t="s">
        <v>94</v>
      </c>
      <c r="F368" s="2">
        <v>114.3</v>
      </c>
    </row>
    <row r="369" spans="1:6" x14ac:dyDescent="0.2">
      <c r="A369" s="2" t="s">
        <v>9</v>
      </c>
      <c r="B369" s="2">
        <v>22</v>
      </c>
      <c r="C369" s="2">
        <v>9</v>
      </c>
      <c r="D369" s="2">
        <v>2020</v>
      </c>
      <c r="E369" s="2">
        <v>0</v>
      </c>
      <c r="F369" s="2">
        <v>114.3</v>
      </c>
    </row>
    <row r="370" spans="1:6" x14ac:dyDescent="0.2">
      <c r="A370" s="2" t="s">
        <v>21</v>
      </c>
      <c r="B370" s="2">
        <v>15</v>
      </c>
      <c r="C370" s="2">
        <v>7</v>
      </c>
      <c r="D370" s="2">
        <v>2020</v>
      </c>
      <c r="E370" s="1" t="s">
        <v>94</v>
      </c>
      <c r="F370" s="2">
        <v>114.08</v>
      </c>
    </row>
    <row r="371" spans="1:6" x14ac:dyDescent="0.2">
      <c r="A371" s="2" t="s">
        <v>79</v>
      </c>
      <c r="B371" s="2">
        <v>3</v>
      </c>
      <c r="C371" s="2">
        <v>1</v>
      </c>
      <c r="D371" s="2">
        <v>2020</v>
      </c>
      <c r="E371" s="2">
        <v>111.6</v>
      </c>
      <c r="F371" s="2">
        <v>114.08</v>
      </c>
    </row>
    <row r="372" spans="1:6" x14ac:dyDescent="0.2">
      <c r="A372" s="2" t="s">
        <v>88</v>
      </c>
      <c r="B372" s="2">
        <v>23</v>
      </c>
      <c r="C372" s="2">
        <v>3</v>
      </c>
      <c r="D372" s="2">
        <v>2020</v>
      </c>
      <c r="E372" s="2">
        <v>100.44</v>
      </c>
      <c r="F372" s="2">
        <v>114.08</v>
      </c>
    </row>
    <row r="373" spans="1:6" x14ac:dyDescent="0.2">
      <c r="A373" s="2" t="s">
        <v>10</v>
      </c>
      <c r="B373" s="2">
        <v>18</v>
      </c>
      <c r="C373" s="2">
        <v>5</v>
      </c>
      <c r="D373" s="2">
        <v>2020</v>
      </c>
      <c r="E373" s="2">
        <v>0</v>
      </c>
      <c r="F373" s="2">
        <v>114.08</v>
      </c>
    </row>
    <row r="374" spans="1:6" x14ac:dyDescent="0.2">
      <c r="A374" s="2" t="s">
        <v>11</v>
      </c>
      <c r="B374" s="2">
        <v>15</v>
      </c>
      <c r="C374" s="2">
        <v>7</v>
      </c>
      <c r="D374" s="2">
        <v>2020</v>
      </c>
      <c r="E374" s="2">
        <v>0</v>
      </c>
      <c r="F374" s="2">
        <v>114.08</v>
      </c>
    </row>
    <row r="375" spans="1:6" x14ac:dyDescent="0.2">
      <c r="A375" s="2" t="s">
        <v>21</v>
      </c>
      <c r="B375" s="2">
        <v>15</v>
      </c>
      <c r="C375" s="2">
        <v>8</v>
      </c>
      <c r="D375" s="2">
        <v>2020</v>
      </c>
      <c r="E375" s="2">
        <v>0</v>
      </c>
      <c r="F375" s="2">
        <v>114.08</v>
      </c>
    </row>
    <row r="376" spans="1:6" x14ac:dyDescent="0.2">
      <c r="A376" s="2" t="s">
        <v>17</v>
      </c>
      <c r="B376" s="2">
        <v>8</v>
      </c>
      <c r="C376" s="2">
        <v>6</v>
      </c>
      <c r="D376" s="2">
        <v>2020</v>
      </c>
      <c r="E376" s="2">
        <v>0</v>
      </c>
      <c r="F376" s="2">
        <v>114</v>
      </c>
    </row>
    <row r="377" spans="1:6" x14ac:dyDescent="0.2">
      <c r="A377" s="2" t="s">
        <v>20</v>
      </c>
      <c r="B377" s="2">
        <v>12</v>
      </c>
      <c r="C377" s="2">
        <v>7</v>
      </c>
      <c r="D377" s="2">
        <v>2020</v>
      </c>
      <c r="E377" s="1" t="s">
        <v>94</v>
      </c>
      <c r="F377" s="2">
        <v>113.77</v>
      </c>
    </row>
    <row r="378" spans="1:6" x14ac:dyDescent="0.2">
      <c r="A378" s="2" t="s">
        <v>71</v>
      </c>
      <c r="B378" s="2">
        <v>21</v>
      </c>
      <c r="C378" s="2">
        <v>3</v>
      </c>
      <c r="D378" s="2">
        <v>2020</v>
      </c>
      <c r="E378" s="2">
        <v>88.66</v>
      </c>
      <c r="F378" s="2">
        <v>113.77</v>
      </c>
    </row>
    <row r="379" spans="1:6" x14ac:dyDescent="0.2">
      <c r="A379" s="2" t="s">
        <v>12</v>
      </c>
      <c r="B379" s="2">
        <v>2</v>
      </c>
      <c r="C379" s="2">
        <v>5</v>
      </c>
      <c r="D379" s="2">
        <v>2020</v>
      </c>
      <c r="E379" s="2">
        <v>0</v>
      </c>
      <c r="F379" s="2">
        <v>113.77</v>
      </c>
    </row>
    <row r="380" spans="1:6" x14ac:dyDescent="0.2">
      <c r="A380" s="2" t="s">
        <v>77</v>
      </c>
      <c r="B380" s="2">
        <v>16</v>
      </c>
      <c r="C380" s="2">
        <v>9</v>
      </c>
      <c r="D380" s="2">
        <v>2020</v>
      </c>
      <c r="E380" s="2">
        <v>55.2</v>
      </c>
      <c r="F380" s="2">
        <v>113.7</v>
      </c>
    </row>
    <row r="381" spans="1:6" x14ac:dyDescent="0.2">
      <c r="A381" s="2" t="s">
        <v>83</v>
      </c>
      <c r="B381" s="2">
        <v>25</v>
      </c>
      <c r="C381" s="2">
        <v>10</v>
      </c>
      <c r="D381" s="2">
        <v>2020</v>
      </c>
      <c r="E381" s="2">
        <v>98.89</v>
      </c>
      <c r="F381" s="2">
        <v>113.46</v>
      </c>
    </row>
    <row r="382" spans="1:6" x14ac:dyDescent="0.2">
      <c r="A382" s="2" t="s">
        <v>77</v>
      </c>
      <c r="B382" s="2">
        <v>16</v>
      </c>
      <c r="C382" s="2">
        <v>11</v>
      </c>
      <c r="D382" s="2">
        <v>2020</v>
      </c>
      <c r="E382" s="2">
        <v>99.3</v>
      </c>
      <c r="F382" s="2">
        <v>113.4</v>
      </c>
    </row>
    <row r="383" spans="1:6" x14ac:dyDescent="0.2">
      <c r="A383" s="2" t="s">
        <v>22</v>
      </c>
      <c r="B383" s="2">
        <v>22</v>
      </c>
      <c r="C383" s="2">
        <v>8</v>
      </c>
      <c r="D383" s="2">
        <v>2020</v>
      </c>
      <c r="E383" s="2">
        <v>0</v>
      </c>
      <c r="F383" s="2">
        <v>113.15</v>
      </c>
    </row>
    <row r="384" spans="1:6" x14ac:dyDescent="0.2">
      <c r="A384" s="2" t="s">
        <v>4</v>
      </c>
      <c r="B384" s="2">
        <v>1</v>
      </c>
      <c r="C384" s="2">
        <v>6</v>
      </c>
      <c r="D384" s="2">
        <v>2020</v>
      </c>
      <c r="E384" s="2">
        <v>0</v>
      </c>
      <c r="F384" s="2">
        <v>113.1</v>
      </c>
    </row>
    <row r="385" spans="1:6" x14ac:dyDescent="0.2">
      <c r="A385" s="2" t="s">
        <v>97</v>
      </c>
      <c r="B385" s="2">
        <v>12</v>
      </c>
      <c r="C385" s="2">
        <v>5</v>
      </c>
      <c r="D385" s="2">
        <v>2020</v>
      </c>
      <c r="E385" s="1" t="s">
        <v>94</v>
      </c>
      <c r="F385" s="2">
        <v>112.84</v>
      </c>
    </row>
    <row r="386" spans="1:6" x14ac:dyDescent="0.2">
      <c r="A386" s="2" t="s">
        <v>7</v>
      </c>
      <c r="B386" s="2">
        <v>20</v>
      </c>
      <c r="C386" s="2">
        <v>6</v>
      </c>
      <c r="D386" s="2">
        <v>2020</v>
      </c>
      <c r="E386" s="2">
        <v>0</v>
      </c>
      <c r="F386" s="2">
        <v>112.5</v>
      </c>
    </row>
    <row r="387" spans="1:6" x14ac:dyDescent="0.2">
      <c r="A387" s="2" t="s">
        <v>4</v>
      </c>
      <c r="B387" s="2">
        <v>1</v>
      </c>
      <c r="C387" s="2">
        <v>8</v>
      </c>
      <c r="D387" s="2">
        <v>2020</v>
      </c>
      <c r="E387" s="2">
        <v>0</v>
      </c>
      <c r="F387" s="2">
        <v>112.22</v>
      </c>
    </row>
    <row r="388" spans="1:6" x14ac:dyDescent="0.2">
      <c r="A388" s="2" t="s">
        <v>97</v>
      </c>
      <c r="B388" s="2">
        <v>12</v>
      </c>
      <c r="C388" s="2">
        <v>9</v>
      </c>
      <c r="D388" s="2">
        <v>2020</v>
      </c>
      <c r="E388" s="1" t="s">
        <v>94</v>
      </c>
      <c r="F388" s="2">
        <v>112.2</v>
      </c>
    </row>
    <row r="389" spans="1:6" x14ac:dyDescent="0.2">
      <c r="A389" s="2" t="s">
        <v>5</v>
      </c>
      <c r="B389" s="2">
        <v>7</v>
      </c>
      <c r="C389" s="2">
        <v>10</v>
      </c>
      <c r="D389" s="2">
        <v>2020</v>
      </c>
      <c r="E389" s="2">
        <v>0</v>
      </c>
      <c r="F389" s="2">
        <v>111.91</v>
      </c>
    </row>
    <row r="390" spans="1:6" x14ac:dyDescent="0.2">
      <c r="A390" s="2" t="s">
        <v>15</v>
      </c>
      <c r="B390" s="2">
        <v>5</v>
      </c>
      <c r="C390" s="2">
        <v>9</v>
      </c>
      <c r="D390" s="2">
        <v>2020</v>
      </c>
      <c r="E390" s="2">
        <v>0</v>
      </c>
      <c r="F390" s="2">
        <v>111.9</v>
      </c>
    </row>
    <row r="391" spans="1:6" x14ac:dyDescent="0.2">
      <c r="A391" s="2" t="s">
        <v>2</v>
      </c>
      <c r="B391" s="2">
        <v>18</v>
      </c>
      <c r="C391" s="2">
        <v>5</v>
      </c>
      <c r="D391" s="2">
        <v>2020</v>
      </c>
      <c r="E391" s="1" t="s">
        <v>94</v>
      </c>
      <c r="F391" s="2">
        <v>111.6</v>
      </c>
    </row>
    <row r="392" spans="1:6" x14ac:dyDescent="0.2">
      <c r="A392" s="2" t="s">
        <v>77</v>
      </c>
      <c r="B392" s="2">
        <v>16</v>
      </c>
      <c r="C392" s="2">
        <v>12</v>
      </c>
      <c r="D392" s="2">
        <v>2020</v>
      </c>
      <c r="E392" s="2">
        <v>136.09</v>
      </c>
      <c r="F392" s="2">
        <v>111.6</v>
      </c>
    </row>
    <row r="393" spans="1:6" x14ac:dyDescent="0.2">
      <c r="A393" s="2" t="s">
        <v>22</v>
      </c>
      <c r="B393" s="2">
        <v>22</v>
      </c>
      <c r="C393" s="2">
        <v>6</v>
      </c>
      <c r="D393" s="2">
        <v>2020</v>
      </c>
      <c r="E393" s="2">
        <v>0</v>
      </c>
      <c r="F393" s="2">
        <v>111.6</v>
      </c>
    </row>
    <row r="394" spans="1:6" x14ac:dyDescent="0.2">
      <c r="A394" s="2" t="s">
        <v>19</v>
      </c>
      <c r="B394" s="2">
        <v>24</v>
      </c>
      <c r="C394" s="2">
        <v>9</v>
      </c>
      <c r="D394" s="2">
        <v>2020</v>
      </c>
      <c r="E394" s="2">
        <v>0</v>
      </c>
      <c r="F394" s="2">
        <v>111.6</v>
      </c>
    </row>
    <row r="395" spans="1:6" x14ac:dyDescent="0.2">
      <c r="A395" s="2" t="s">
        <v>5</v>
      </c>
      <c r="B395" s="2">
        <v>7</v>
      </c>
      <c r="C395" s="2">
        <v>7</v>
      </c>
      <c r="D395" s="2">
        <v>2020</v>
      </c>
      <c r="E395" s="1" t="s">
        <v>94</v>
      </c>
      <c r="F395" s="2">
        <v>111.29</v>
      </c>
    </row>
    <row r="396" spans="1:6" x14ac:dyDescent="0.2">
      <c r="A396" s="2" t="s">
        <v>3</v>
      </c>
      <c r="B396" s="2">
        <v>25</v>
      </c>
      <c r="C396" s="2">
        <v>9</v>
      </c>
      <c r="D396" s="2">
        <v>2020</v>
      </c>
      <c r="E396" s="2">
        <v>0</v>
      </c>
      <c r="F396" s="2">
        <v>111</v>
      </c>
    </row>
    <row r="397" spans="1:6" x14ac:dyDescent="0.2">
      <c r="A397" s="2" t="s">
        <v>71</v>
      </c>
      <c r="B397" s="2">
        <v>21</v>
      </c>
      <c r="C397" s="2">
        <v>8</v>
      </c>
      <c r="D397" s="2">
        <v>2020</v>
      </c>
      <c r="E397" s="2">
        <v>44.95</v>
      </c>
      <c r="F397" s="2">
        <v>110.98</v>
      </c>
    </row>
    <row r="398" spans="1:6" x14ac:dyDescent="0.2">
      <c r="A398" s="2" t="s">
        <v>9</v>
      </c>
      <c r="B398" s="2">
        <v>22</v>
      </c>
      <c r="C398" s="2">
        <v>7</v>
      </c>
      <c r="D398" s="2">
        <v>2020</v>
      </c>
      <c r="E398" s="2">
        <v>0</v>
      </c>
      <c r="F398" s="2">
        <v>110.98</v>
      </c>
    </row>
    <row r="399" spans="1:6" x14ac:dyDescent="0.2">
      <c r="A399" s="2" t="s">
        <v>9</v>
      </c>
      <c r="B399" s="2">
        <v>22</v>
      </c>
      <c r="C399" s="2">
        <v>6</v>
      </c>
      <c r="D399" s="2">
        <v>2020</v>
      </c>
      <c r="E399" s="2">
        <v>0</v>
      </c>
      <c r="F399" s="2">
        <v>110.7</v>
      </c>
    </row>
    <row r="400" spans="1:6" x14ac:dyDescent="0.2">
      <c r="A400" s="2" t="s">
        <v>72</v>
      </c>
      <c r="B400" s="2">
        <v>22</v>
      </c>
      <c r="C400" s="2">
        <v>11</v>
      </c>
      <c r="D400" s="2">
        <v>2020</v>
      </c>
      <c r="E400" s="2">
        <v>110.7</v>
      </c>
      <c r="F400" s="2">
        <v>110.1</v>
      </c>
    </row>
    <row r="401" spans="1:6" x14ac:dyDescent="0.2">
      <c r="A401" s="2" t="s">
        <v>97</v>
      </c>
      <c r="B401" s="2">
        <v>12</v>
      </c>
      <c r="C401" s="2">
        <v>7</v>
      </c>
      <c r="D401" s="2">
        <v>2020</v>
      </c>
      <c r="E401" s="1" t="s">
        <v>94</v>
      </c>
      <c r="F401" s="2">
        <v>110.05</v>
      </c>
    </row>
    <row r="402" spans="1:6" x14ac:dyDescent="0.2">
      <c r="A402" s="2" t="s">
        <v>14</v>
      </c>
      <c r="B402" s="2">
        <v>10</v>
      </c>
      <c r="C402" s="2">
        <v>7</v>
      </c>
      <c r="D402" s="2">
        <v>2020</v>
      </c>
      <c r="E402" s="2">
        <v>0</v>
      </c>
      <c r="F402" s="2">
        <v>110.05</v>
      </c>
    </row>
    <row r="403" spans="1:6" x14ac:dyDescent="0.2">
      <c r="A403" s="2" t="s">
        <v>1</v>
      </c>
      <c r="B403" s="2">
        <v>21</v>
      </c>
      <c r="C403" s="2">
        <v>7</v>
      </c>
      <c r="D403" s="2">
        <v>2020</v>
      </c>
      <c r="E403" s="2">
        <v>0</v>
      </c>
      <c r="F403" s="2">
        <v>110.05</v>
      </c>
    </row>
    <row r="404" spans="1:6" x14ac:dyDescent="0.2">
      <c r="A404" s="2" t="s">
        <v>100</v>
      </c>
      <c r="B404" s="2">
        <v>1</v>
      </c>
      <c r="C404" s="2">
        <v>8</v>
      </c>
      <c r="D404" s="2">
        <v>2020</v>
      </c>
      <c r="E404" s="1" t="s">
        <v>94</v>
      </c>
      <c r="F404" s="2">
        <v>109.74</v>
      </c>
    </row>
    <row r="405" spans="1:6" x14ac:dyDescent="0.2">
      <c r="A405" s="2" t="s">
        <v>72</v>
      </c>
      <c r="B405" s="2">
        <v>22</v>
      </c>
      <c r="C405" s="2">
        <v>3</v>
      </c>
      <c r="D405" s="2">
        <v>2020</v>
      </c>
      <c r="E405" s="2">
        <v>78.739999999999995</v>
      </c>
      <c r="F405" s="2">
        <v>109.74</v>
      </c>
    </row>
    <row r="406" spans="1:6" x14ac:dyDescent="0.2">
      <c r="A406" s="2" t="s">
        <v>4</v>
      </c>
      <c r="B406" s="2">
        <v>1</v>
      </c>
      <c r="C406" s="2">
        <v>5</v>
      </c>
      <c r="D406" s="2">
        <v>2020</v>
      </c>
      <c r="E406" s="2">
        <v>0</v>
      </c>
      <c r="F406" s="2">
        <v>109.74</v>
      </c>
    </row>
    <row r="407" spans="1:6" x14ac:dyDescent="0.2">
      <c r="A407" s="2" t="s">
        <v>18</v>
      </c>
      <c r="B407" s="2">
        <v>5</v>
      </c>
      <c r="C407" s="2">
        <v>6</v>
      </c>
      <c r="D407" s="2">
        <v>2020</v>
      </c>
      <c r="E407" s="2">
        <v>0</v>
      </c>
      <c r="F407" s="2">
        <v>109.5</v>
      </c>
    </row>
    <row r="408" spans="1:6" x14ac:dyDescent="0.2">
      <c r="A408" s="2" t="s">
        <v>88</v>
      </c>
      <c r="B408" s="2">
        <v>23</v>
      </c>
      <c r="C408" s="2">
        <v>10</v>
      </c>
      <c r="D408" s="2">
        <v>2020</v>
      </c>
      <c r="E408" s="2">
        <v>99.82</v>
      </c>
      <c r="F408" s="2">
        <v>109.43</v>
      </c>
    </row>
    <row r="409" spans="1:6" x14ac:dyDescent="0.2">
      <c r="A409" s="2" t="s">
        <v>6</v>
      </c>
      <c r="B409" s="2">
        <v>7</v>
      </c>
      <c r="C409" s="2">
        <v>5</v>
      </c>
      <c r="D409" s="2">
        <v>2020</v>
      </c>
      <c r="E409" s="2">
        <v>0</v>
      </c>
      <c r="F409" s="2">
        <v>109.43</v>
      </c>
    </row>
    <row r="410" spans="1:6" x14ac:dyDescent="0.2">
      <c r="A410" s="2" t="s">
        <v>41</v>
      </c>
      <c r="B410" s="2">
        <v>15</v>
      </c>
      <c r="C410" s="2">
        <v>3</v>
      </c>
      <c r="D410" s="2">
        <v>2020</v>
      </c>
      <c r="E410" s="2">
        <v>69.44</v>
      </c>
      <c r="F410" s="2">
        <v>109.12</v>
      </c>
    </row>
    <row r="411" spans="1:6" x14ac:dyDescent="0.2">
      <c r="A411" s="2" t="s">
        <v>77</v>
      </c>
      <c r="B411" s="2">
        <v>16</v>
      </c>
      <c r="C411" s="2">
        <v>7</v>
      </c>
      <c r="D411" s="2">
        <v>2020</v>
      </c>
      <c r="E411" s="2">
        <v>42.78</v>
      </c>
      <c r="F411" s="2">
        <v>109.12</v>
      </c>
    </row>
    <row r="412" spans="1:6" x14ac:dyDescent="0.2">
      <c r="A412" s="2" t="s">
        <v>16</v>
      </c>
      <c r="B412" s="2">
        <v>14</v>
      </c>
      <c r="C412" s="2">
        <v>6</v>
      </c>
      <c r="D412" s="2">
        <v>2020</v>
      </c>
      <c r="E412" s="2">
        <v>0</v>
      </c>
      <c r="F412" s="2">
        <v>108.9</v>
      </c>
    </row>
    <row r="413" spans="1:6" x14ac:dyDescent="0.2">
      <c r="A413" s="2" t="s">
        <v>97</v>
      </c>
      <c r="B413" s="2">
        <v>12</v>
      </c>
      <c r="C413" s="2">
        <v>8</v>
      </c>
      <c r="D413" s="2">
        <v>2020</v>
      </c>
      <c r="E413" s="1" t="s">
        <v>94</v>
      </c>
      <c r="F413" s="2">
        <v>108.81</v>
      </c>
    </row>
    <row r="414" spans="1:6" x14ac:dyDescent="0.2">
      <c r="A414" s="2" t="s">
        <v>71</v>
      </c>
      <c r="B414" s="2">
        <v>21</v>
      </c>
      <c r="C414" s="2">
        <v>7</v>
      </c>
      <c r="D414" s="2">
        <v>2020</v>
      </c>
      <c r="E414" s="2">
        <v>48.36</v>
      </c>
      <c r="F414" s="2">
        <v>108.81</v>
      </c>
    </row>
    <row r="415" spans="1:6" x14ac:dyDescent="0.2">
      <c r="A415" s="2" t="s">
        <v>98</v>
      </c>
      <c r="B415" s="2">
        <v>21</v>
      </c>
      <c r="C415" s="2">
        <v>5</v>
      </c>
      <c r="D415" s="2">
        <v>2020</v>
      </c>
      <c r="E415" s="1" t="s">
        <v>94</v>
      </c>
      <c r="F415" s="2">
        <v>108.5</v>
      </c>
    </row>
    <row r="416" spans="1:6" x14ac:dyDescent="0.2">
      <c r="A416" s="2" t="s">
        <v>86</v>
      </c>
      <c r="B416" s="2">
        <v>6</v>
      </c>
      <c r="C416" s="2">
        <v>12</v>
      </c>
      <c r="D416" s="2">
        <v>2020</v>
      </c>
      <c r="E416" s="2">
        <v>142.6</v>
      </c>
      <c r="F416" s="2">
        <v>108.5</v>
      </c>
    </row>
    <row r="417" spans="1:6" x14ac:dyDescent="0.2">
      <c r="A417" s="2" t="s">
        <v>20</v>
      </c>
      <c r="B417" s="2">
        <v>12</v>
      </c>
      <c r="C417" s="2">
        <v>8</v>
      </c>
      <c r="D417" s="2">
        <v>2020</v>
      </c>
      <c r="E417" s="2">
        <v>0</v>
      </c>
      <c r="F417" s="2">
        <v>108.5</v>
      </c>
    </row>
    <row r="418" spans="1:6" x14ac:dyDescent="0.2">
      <c r="A418" s="2" t="s">
        <v>41</v>
      </c>
      <c r="B418" s="2">
        <v>15</v>
      </c>
      <c r="C418" s="2">
        <v>1</v>
      </c>
      <c r="D418" s="2">
        <v>2020</v>
      </c>
      <c r="E418" s="2">
        <v>122.14</v>
      </c>
      <c r="F418" s="2">
        <v>108.19</v>
      </c>
    </row>
    <row r="419" spans="1:6" x14ac:dyDescent="0.2">
      <c r="A419" s="2" t="s">
        <v>88</v>
      </c>
      <c r="B419" s="2">
        <v>23</v>
      </c>
      <c r="C419" s="2">
        <v>7</v>
      </c>
      <c r="D419" s="2">
        <v>2020</v>
      </c>
      <c r="E419" s="2">
        <v>61.69</v>
      </c>
      <c r="F419" s="2">
        <v>108.19</v>
      </c>
    </row>
    <row r="420" spans="1:6" x14ac:dyDescent="0.2">
      <c r="A420" s="2" t="s">
        <v>18</v>
      </c>
      <c r="B420" s="2">
        <v>5</v>
      </c>
      <c r="C420" s="2">
        <v>5</v>
      </c>
      <c r="D420" s="2">
        <v>2020</v>
      </c>
      <c r="E420" s="2">
        <v>0</v>
      </c>
      <c r="F420" s="2">
        <v>108.19</v>
      </c>
    </row>
    <row r="421" spans="1:6" x14ac:dyDescent="0.2">
      <c r="A421" s="2" t="s">
        <v>17</v>
      </c>
      <c r="B421" s="2">
        <v>8</v>
      </c>
      <c r="C421" s="2">
        <v>7</v>
      </c>
      <c r="D421" s="2">
        <v>2020</v>
      </c>
      <c r="E421" s="2">
        <v>0</v>
      </c>
      <c r="F421" s="2">
        <v>108.19</v>
      </c>
    </row>
    <row r="422" spans="1:6" x14ac:dyDescent="0.2">
      <c r="A422" s="2" t="s">
        <v>2</v>
      </c>
      <c r="B422" s="2">
        <v>18</v>
      </c>
      <c r="C422" s="2">
        <v>7</v>
      </c>
      <c r="D422" s="2">
        <v>2020</v>
      </c>
      <c r="E422" s="2">
        <v>0</v>
      </c>
      <c r="F422" s="2">
        <v>108.19</v>
      </c>
    </row>
    <row r="423" spans="1:6" x14ac:dyDescent="0.2">
      <c r="A423" s="2" t="s">
        <v>83</v>
      </c>
      <c r="B423" s="2">
        <v>25</v>
      </c>
      <c r="C423" s="2">
        <v>2</v>
      </c>
      <c r="D423" s="2">
        <v>2020</v>
      </c>
      <c r="E423" s="2">
        <v>125.72</v>
      </c>
      <c r="F423" s="2">
        <v>108.08</v>
      </c>
    </row>
    <row r="424" spans="1:6" x14ac:dyDescent="0.2">
      <c r="A424" s="2" t="s">
        <v>11</v>
      </c>
      <c r="B424" s="2">
        <v>15</v>
      </c>
      <c r="C424" s="2">
        <v>6</v>
      </c>
      <c r="D424" s="2">
        <v>2020</v>
      </c>
      <c r="E424" s="2">
        <v>0</v>
      </c>
      <c r="F424" s="2">
        <v>108</v>
      </c>
    </row>
    <row r="425" spans="1:6" x14ac:dyDescent="0.2">
      <c r="A425" s="2" t="s">
        <v>83</v>
      </c>
      <c r="B425" s="2">
        <v>25</v>
      </c>
      <c r="C425" s="2">
        <v>5</v>
      </c>
      <c r="D425" s="2">
        <v>2020</v>
      </c>
      <c r="E425" s="2">
        <v>70.989999999999995</v>
      </c>
      <c r="F425" s="2">
        <v>107.88</v>
      </c>
    </row>
    <row r="426" spans="1:6" x14ac:dyDescent="0.2">
      <c r="A426" s="2" t="s">
        <v>61</v>
      </c>
      <c r="B426" s="2">
        <v>23</v>
      </c>
      <c r="C426" s="2">
        <v>10</v>
      </c>
      <c r="D426" s="2">
        <v>2020</v>
      </c>
      <c r="E426" s="2">
        <v>79.98</v>
      </c>
      <c r="F426" s="2">
        <v>107.57</v>
      </c>
    </row>
    <row r="427" spans="1:6" x14ac:dyDescent="0.2">
      <c r="A427" s="2" t="s">
        <v>86</v>
      </c>
      <c r="B427" s="2">
        <v>6</v>
      </c>
      <c r="C427" s="2">
        <v>4</v>
      </c>
      <c r="D427" s="2">
        <v>2020</v>
      </c>
      <c r="E427" s="2">
        <v>85.5</v>
      </c>
      <c r="F427" s="2">
        <v>107.4</v>
      </c>
    </row>
    <row r="428" spans="1:6" x14ac:dyDescent="0.2">
      <c r="A428" s="2" t="s">
        <v>16</v>
      </c>
      <c r="B428" s="2">
        <v>14</v>
      </c>
      <c r="C428" s="2">
        <v>9</v>
      </c>
      <c r="D428" s="2">
        <v>2020</v>
      </c>
      <c r="E428" s="2">
        <v>0</v>
      </c>
      <c r="F428" s="2">
        <v>107.4</v>
      </c>
    </row>
    <row r="429" spans="1:6" x14ac:dyDescent="0.2">
      <c r="A429" s="2" t="s">
        <v>72</v>
      </c>
      <c r="B429" s="2">
        <v>22</v>
      </c>
      <c r="C429" s="2">
        <v>10</v>
      </c>
      <c r="D429" s="2">
        <v>2020</v>
      </c>
      <c r="E429" s="2">
        <v>79.98</v>
      </c>
      <c r="F429" s="2">
        <v>107.26</v>
      </c>
    </row>
    <row r="430" spans="1:6" x14ac:dyDescent="0.2">
      <c r="A430" s="2" t="s">
        <v>79</v>
      </c>
      <c r="B430" s="2">
        <v>3</v>
      </c>
      <c r="C430" s="2">
        <v>7</v>
      </c>
      <c r="D430" s="2">
        <v>2020</v>
      </c>
      <c r="E430" s="2">
        <v>48.67</v>
      </c>
      <c r="F430" s="2">
        <v>107.26</v>
      </c>
    </row>
    <row r="431" spans="1:6" x14ac:dyDescent="0.2">
      <c r="A431" s="2" t="s">
        <v>71</v>
      </c>
      <c r="B431" s="2">
        <v>21</v>
      </c>
      <c r="C431" s="2">
        <v>5</v>
      </c>
      <c r="D431" s="2">
        <v>2020</v>
      </c>
      <c r="E431" s="2">
        <v>45.26</v>
      </c>
      <c r="F431" s="2">
        <v>106.95</v>
      </c>
    </row>
    <row r="432" spans="1:6" x14ac:dyDescent="0.2">
      <c r="A432" s="2" t="s">
        <v>12</v>
      </c>
      <c r="B432" s="2">
        <v>2</v>
      </c>
      <c r="C432" s="2">
        <v>8</v>
      </c>
      <c r="D432" s="2">
        <v>2020</v>
      </c>
      <c r="E432" s="2">
        <v>0</v>
      </c>
      <c r="F432" s="2">
        <v>106.95</v>
      </c>
    </row>
    <row r="433" spans="1:6" x14ac:dyDescent="0.2">
      <c r="A433" s="2" t="s">
        <v>12</v>
      </c>
      <c r="B433" s="2">
        <v>2</v>
      </c>
      <c r="C433" s="2">
        <v>6</v>
      </c>
      <c r="D433" s="2">
        <v>2020</v>
      </c>
      <c r="E433" s="2">
        <v>0</v>
      </c>
      <c r="F433" s="2">
        <v>106.5</v>
      </c>
    </row>
    <row r="434" spans="1:6" x14ac:dyDescent="0.2">
      <c r="A434" s="2" t="s">
        <v>79</v>
      </c>
      <c r="B434" s="2">
        <v>3</v>
      </c>
      <c r="C434" s="2">
        <v>11</v>
      </c>
      <c r="D434" s="2">
        <v>2020</v>
      </c>
      <c r="E434" s="2">
        <v>111.9</v>
      </c>
      <c r="F434" s="2">
        <v>105.9</v>
      </c>
    </row>
    <row r="435" spans="1:6" x14ac:dyDescent="0.2">
      <c r="A435" s="2" t="s">
        <v>83</v>
      </c>
      <c r="B435" s="2">
        <v>25</v>
      </c>
      <c r="C435" s="2">
        <v>6</v>
      </c>
      <c r="D435" s="2">
        <v>2020</v>
      </c>
      <c r="E435" s="2">
        <v>52.2</v>
      </c>
      <c r="F435" s="2">
        <v>105.9</v>
      </c>
    </row>
    <row r="436" spans="1:6" x14ac:dyDescent="0.2">
      <c r="A436" s="2" t="s">
        <v>77</v>
      </c>
      <c r="B436" s="2">
        <v>16</v>
      </c>
      <c r="C436" s="2">
        <v>2</v>
      </c>
      <c r="D436" s="2">
        <v>2020</v>
      </c>
      <c r="E436" s="2">
        <v>116.48</v>
      </c>
      <c r="F436" s="2">
        <v>105.84</v>
      </c>
    </row>
    <row r="437" spans="1:6" x14ac:dyDescent="0.2">
      <c r="A437" s="2" t="s">
        <v>54</v>
      </c>
      <c r="B437" s="2">
        <v>5</v>
      </c>
      <c r="C437" s="2">
        <v>8</v>
      </c>
      <c r="D437" s="2">
        <v>2020</v>
      </c>
      <c r="E437" s="2">
        <v>39.369999999999997</v>
      </c>
      <c r="F437" s="2">
        <v>105.71</v>
      </c>
    </row>
    <row r="438" spans="1:6" x14ac:dyDescent="0.2">
      <c r="A438" s="2" t="s">
        <v>88</v>
      </c>
      <c r="B438" s="2">
        <v>23</v>
      </c>
      <c r="C438" s="2">
        <v>12</v>
      </c>
      <c r="D438" s="2">
        <v>2020</v>
      </c>
      <c r="E438" s="2">
        <v>149.72999999999999</v>
      </c>
      <c r="F438" s="2">
        <v>105.4</v>
      </c>
    </row>
    <row r="439" spans="1:6" x14ac:dyDescent="0.2">
      <c r="A439" s="2" t="s">
        <v>83</v>
      </c>
      <c r="B439" s="2">
        <v>25</v>
      </c>
      <c r="C439" s="2">
        <v>3</v>
      </c>
      <c r="D439" s="2">
        <v>2020</v>
      </c>
      <c r="E439" s="2">
        <v>88.04</v>
      </c>
      <c r="F439" s="2">
        <v>105.4</v>
      </c>
    </row>
    <row r="440" spans="1:6" x14ac:dyDescent="0.2">
      <c r="A440" s="2" t="s">
        <v>77</v>
      </c>
      <c r="B440" s="2">
        <v>16</v>
      </c>
      <c r="C440" s="2">
        <v>3</v>
      </c>
      <c r="D440" s="2">
        <v>2020</v>
      </c>
      <c r="E440" s="2">
        <v>74.400000000000006</v>
      </c>
      <c r="F440" s="2">
        <v>105.4</v>
      </c>
    </row>
    <row r="441" spans="1:6" x14ac:dyDescent="0.2">
      <c r="A441" s="2" t="s">
        <v>86</v>
      </c>
      <c r="B441" s="2">
        <v>6</v>
      </c>
      <c r="C441" s="2">
        <v>7</v>
      </c>
      <c r="D441" s="2">
        <v>2020</v>
      </c>
      <c r="E441" s="2">
        <v>51.77</v>
      </c>
      <c r="F441" s="2">
        <v>105.4</v>
      </c>
    </row>
    <row r="442" spans="1:6" x14ac:dyDescent="0.2">
      <c r="A442" s="2" t="s">
        <v>16</v>
      </c>
      <c r="B442" s="2">
        <v>14</v>
      </c>
      <c r="C442" s="2">
        <v>5</v>
      </c>
      <c r="D442" s="2">
        <v>2020</v>
      </c>
      <c r="E442" s="2">
        <v>0</v>
      </c>
      <c r="F442" s="2">
        <v>105.4</v>
      </c>
    </row>
    <row r="443" spans="1:6" x14ac:dyDescent="0.2">
      <c r="A443" s="2" t="s">
        <v>6</v>
      </c>
      <c r="B443" s="2">
        <v>7</v>
      </c>
      <c r="C443" s="2">
        <v>8</v>
      </c>
      <c r="D443" s="2">
        <v>2020</v>
      </c>
      <c r="E443" s="2">
        <v>0</v>
      </c>
      <c r="F443" s="2">
        <v>105.4</v>
      </c>
    </row>
    <row r="444" spans="1:6" x14ac:dyDescent="0.2">
      <c r="A444" s="2" t="s">
        <v>15</v>
      </c>
      <c r="B444" s="2">
        <v>5</v>
      </c>
      <c r="C444" s="2">
        <v>6</v>
      </c>
      <c r="D444" s="2">
        <v>2020</v>
      </c>
      <c r="E444" s="2">
        <v>0</v>
      </c>
      <c r="F444" s="2">
        <v>105.3</v>
      </c>
    </row>
    <row r="445" spans="1:6" x14ac:dyDescent="0.2">
      <c r="A445" s="2" t="s">
        <v>41</v>
      </c>
      <c r="B445" s="2">
        <v>15</v>
      </c>
      <c r="C445" s="2">
        <v>5</v>
      </c>
      <c r="D445" s="2">
        <v>2020</v>
      </c>
      <c r="E445" s="2">
        <v>30.38</v>
      </c>
      <c r="F445" s="2">
        <v>105.09</v>
      </c>
    </row>
    <row r="446" spans="1:6" x14ac:dyDescent="0.2">
      <c r="A446" s="2" t="s">
        <v>3</v>
      </c>
      <c r="B446" s="2">
        <v>25</v>
      </c>
      <c r="C446" s="2">
        <v>8</v>
      </c>
      <c r="D446" s="2">
        <v>2020</v>
      </c>
      <c r="E446" s="2">
        <v>0</v>
      </c>
      <c r="F446" s="2">
        <v>105.09</v>
      </c>
    </row>
    <row r="447" spans="1:6" x14ac:dyDescent="0.2">
      <c r="A447" s="2" t="s">
        <v>10</v>
      </c>
      <c r="B447" s="2">
        <v>18</v>
      </c>
      <c r="C447" s="2">
        <v>9</v>
      </c>
      <c r="D447" s="2">
        <v>2020</v>
      </c>
      <c r="E447" s="1" t="s">
        <v>94</v>
      </c>
      <c r="F447" s="2">
        <v>105</v>
      </c>
    </row>
    <row r="448" spans="1:6" x14ac:dyDescent="0.2">
      <c r="A448" s="2" t="s">
        <v>4</v>
      </c>
      <c r="B448" s="2">
        <v>1</v>
      </c>
      <c r="C448" s="2">
        <v>7</v>
      </c>
      <c r="D448" s="2">
        <v>2020</v>
      </c>
      <c r="E448" s="1" t="s">
        <v>94</v>
      </c>
      <c r="F448" s="2">
        <v>104.78</v>
      </c>
    </row>
    <row r="449" spans="1:6" x14ac:dyDescent="0.2">
      <c r="A449" s="2" t="s">
        <v>61</v>
      </c>
      <c r="B449" s="2">
        <v>23</v>
      </c>
      <c r="C449" s="2">
        <v>5</v>
      </c>
      <c r="D449" s="2">
        <v>2020</v>
      </c>
      <c r="E449" s="2">
        <v>54.25</v>
      </c>
      <c r="F449" s="2">
        <v>104.78</v>
      </c>
    </row>
    <row r="450" spans="1:6" x14ac:dyDescent="0.2">
      <c r="A450" s="2" t="s">
        <v>1</v>
      </c>
      <c r="B450" s="2">
        <v>21</v>
      </c>
      <c r="C450" s="2">
        <v>9</v>
      </c>
      <c r="D450" s="2">
        <v>2020</v>
      </c>
      <c r="E450" s="2">
        <v>0</v>
      </c>
      <c r="F450" s="2">
        <v>104.7</v>
      </c>
    </row>
    <row r="451" spans="1:6" x14ac:dyDescent="0.2">
      <c r="A451" s="2" t="s">
        <v>72</v>
      </c>
      <c r="B451" s="2">
        <v>22</v>
      </c>
      <c r="C451" s="2">
        <v>12</v>
      </c>
      <c r="D451" s="2">
        <v>2020</v>
      </c>
      <c r="E451" s="2">
        <v>101.99</v>
      </c>
      <c r="F451" s="2">
        <v>104.47</v>
      </c>
    </row>
    <row r="452" spans="1:6" x14ac:dyDescent="0.2">
      <c r="A452" s="2" t="s">
        <v>1</v>
      </c>
      <c r="B452" s="2">
        <v>21</v>
      </c>
      <c r="C452" s="2">
        <v>5</v>
      </c>
      <c r="D452" s="2">
        <v>2020</v>
      </c>
      <c r="E452" s="2">
        <v>0</v>
      </c>
      <c r="F452" s="2">
        <v>104.47</v>
      </c>
    </row>
    <row r="453" spans="1:6" x14ac:dyDescent="0.2">
      <c r="A453" s="2" t="s">
        <v>3</v>
      </c>
      <c r="B453" s="2">
        <v>25</v>
      </c>
      <c r="C453" s="2">
        <v>5</v>
      </c>
      <c r="D453" s="2">
        <v>2020</v>
      </c>
      <c r="E453" s="2">
        <v>0</v>
      </c>
      <c r="F453" s="2">
        <v>104.47</v>
      </c>
    </row>
    <row r="454" spans="1:6" x14ac:dyDescent="0.2">
      <c r="A454" s="2" t="s">
        <v>54</v>
      </c>
      <c r="B454" s="2">
        <v>5</v>
      </c>
      <c r="C454" s="2">
        <v>4</v>
      </c>
      <c r="D454" s="2">
        <v>2020</v>
      </c>
      <c r="E454" s="2">
        <v>60.9</v>
      </c>
      <c r="F454" s="2">
        <v>104.4</v>
      </c>
    </row>
    <row r="455" spans="1:6" x14ac:dyDescent="0.2">
      <c r="A455" s="2" t="s">
        <v>83</v>
      </c>
      <c r="B455" s="2">
        <v>25</v>
      </c>
      <c r="C455" s="2">
        <v>8</v>
      </c>
      <c r="D455" s="2">
        <v>2020</v>
      </c>
      <c r="E455" s="2">
        <v>56.11</v>
      </c>
      <c r="F455" s="2">
        <v>104.16</v>
      </c>
    </row>
    <row r="456" spans="1:6" x14ac:dyDescent="0.2">
      <c r="A456" s="2" t="s">
        <v>8</v>
      </c>
      <c r="B456" s="2">
        <v>5</v>
      </c>
      <c r="C456" s="2">
        <v>9</v>
      </c>
      <c r="D456" s="2">
        <v>2020</v>
      </c>
      <c r="E456" s="2">
        <v>0</v>
      </c>
      <c r="F456" s="2">
        <v>104.1</v>
      </c>
    </row>
    <row r="457" spans="1:6" x14ac:dyDescent="0.2">
      <c r="A457" s="2" t="s">
        <v>13</v>
      </c>
      <c r="B457" s="2">
        <v>7</v>
      </c>
      <c r="C457" s="2">
        <v>6</v>
      </c>
      <c r="D457" s="2">
        <v>2020</v>
      </c>
      <c r="E457" s="2">
        <v>0</v>
      </c>
      <c r="F457" s="2">
        <v>103.8</v>
      </c>
    </row>
    <row r="458" spans="1:6" x14ac:dyDescent="0.2">
      <c r="A458" s="2" t="s">
        <v>61</v>
      </c>
      <c r="B458" s="2">
        <v>23</v>
      </c>
      <c r="C458" s="2">
        <v>9</v>
      </c>
      <c r="D458" s="2">
        <v>2020</v>
      </c>
      <c r="E458" s="2">
        <v>49.5</v>
      </c>
      <c r="F458" s="2">
        <v>103.5</v>
      </c>
    </row>
    <row r="459" spans="1:6" x14ac:dyDescent="0.2">
      <c r="A459" s="2" t="s">
        <v>8</v>
      </c>
      <c r="B459" s="2">
        <v>5</v>
      </c>
      <c r="C459" s="2">
        <v>6</v>
      </c>
      <c r="D459" s="2">
        <v>2020</v>
      </c>
      <c r="E459" s="2">
        <v>0</v>
      </c>
      <c r="F459" s="2">
        <v>103.5</v>
      </c>
    </row>
    <row r="460" spans="1:6" x14ac:dyDescent="0.2">
      <c r="A460" s="2" t="s">
        <v>44</v>
      </c>
      <c r="B460" s="2">
        <v>1</v>
      </c>
      <c r="C460" s="2">
        <v>7</v>
      </c>
      <c r="D460" s="2">
        <v>2020</v>
      </c>
      <c r="E460" s="2">
        <v>25.11</v>
      </c>
      <c r="F460" s="2">
        <v>103.23</v>
      </c>
    </row>
    <row r="461" spans="1:6" x14ac:dyDescent="0.2">
      <c r="A461" s="2" t="s">
        <v>6</v>
      </c>
      <c r="B461" s="2">
        <v>7</v>
      </c>
      <c r="C461" s="2">
        <v>7</v>
      </c>
      <c r="D461" s="2">
        <v>2020</v>
      </c>
      <c r="E461" s="2">
        <v>0</v>
      </c>
      <c r="F461" s="2">
        <v>103.23</v>
      </c>
    </row>
    <row r="462" spans="1:6" x14ac:dyDescent="0.2">
      <c r="A462" s="2" t="s">
        <v>6</v>
      </c>
      <c r="B462" s="2">
        <v>7</v>
      </c>
      <c r="C462" s="2">
        <v>6</v>
      </c>
      <c r="D462" s="2">
        <v>2020</v>
      </c>
      <c r="E462" s="2">
        <v>0</v>
      </c>
      <c r="F462" s="2">
        <v>103.2</v>
      </c>
    </row>
    <row r="463" spans="1:6" x14ac:dyDescent="0.2">
      <c r="A463" s="2" t="s">
        <v>54</v>
      </c>
      <c r="B463" s="2">
        <v>5</v>
      </c>
      <c r="C463" s="2">
        <v>1</v>
      </c>
      <c r="D463" s="2">
        <v>2020</v>
      </c>
      <c r="E463" s="2">
        <v>105.09</v>
      </c>
      <c r="F463" s="2">
        <v>102.92</v>
      </c>
    </row>
    <row r="464" spans="1:6" x14ac:dyDescent="0.2">
      <c r="A464" s="2" t="s">
        <v>72</v>
      </c>
      <c r="B464" s="2">
        <v>22</v>
      </c>
      <c r="C464" s="2">
        <v>4</v>
      </c>
      <c r="D464" s="2">
        <v>2020</v>
      </c>
      <c r="E464" s="2">
        <v>71.400000000000006</v>
      </c>
      <c r="F464" s="2">
        <v>102.9</v>
      </c>
    </row>
    <row r="465" spans="1:6" x14ac:dyDescent="0.2">
      <c r="A465" s="2" t="s">
        <v>44</v>
      </c>
      <c r="B465" s="2">
        <v>1</v>
      </c>
      <c r="C465" s="2">
        <v>8</v>
      </c>
      <c r="D465" s="2">
        <v>2020</v>
      </c>
      <c r="E465" s="2">
        <v>23.56</v>
      </c>
      <c r="F465" s="2">
        <v>102.61</v>
      </c>
    </row>
    <row r="466" spans="1:6" x14ac:dyDescent="0.2">
      <c r="A466" s="2" t="s">
        <v>2</v>
      </c>
      <c r="B466" s="2">
        <v>18</v>
      </c>
      <c r="C466" s="2">
        <v>8</v>
      </c>
      <c r="D466" s="2">
        <v>2020</v>
      </c>
      <c r="E466" s="2">
        <v>0</v>
      </c>
      <c r="F466" s="2">
        <v>102.61</v>
      </c>
    </row>
    <row r="467" spans="1:6" x14ac:dyDescent="0.2">
      <c r="A467" s="2" t="s">
        <v>88</v>
      </c>
      <c r="B467" s="2">
        <v>23</v>
      </c>
      <c r="C467" s="2">
        <v>4</v>
      </c>
      <c r="D467" s="2">
        <v>2020</v>
      </c>
      <c r="E467" s="2">
        <v>100.2</v>
      </c>
      <c r="F467" s="2">
        <v>102.6</v>
      </c>
    </row>
    <row r="468" spans="1:6" x14ac:dyDescent="0.2">
      <c r="A468" s="2" t="s">
        <v>12</v>
      </c>
      <c r="B468" s="2">
        <v>2</v>
      </c>
      <c r="C468" s="2">
        <v>9</v>
      </c>
      <c r="D468" s="2">
        <v>2020</v>
      </c>
      <c r="E468" s="2">
        <v>0</v>
      </c>
      <c r="F468" s="2">
        <v>102.6</v>
      </c>
    </row>
    <row r="469" spans="1:6" x14ac:dyDescent="0.2">
      <c r="A469" s="2" t="s">
        <v>5</v>
      </c>
      <c r="B469" s="2">
        <v>7</v>
      </c>
      <c r="C469" s="2">
        <v>9</v>
      </c>
      <c r="D469" s="2">
        <v>2020</v>
      </c>
      <c r="E469" s="2">
        <v>0</v>
      </c>
      <c r="F469" s="2">
        <v>102.6</v>
      </c>
    </row>
    <row r="470" spans="1:6" x14ac:dyDescent="0.2">
      <c r="A470" s="2" t="s">
        <v>71</v>
      </c>
      <c r="B470" s="2">
        <v>21</v>
      </c>
      <c r="C470" s="2">
        <v>4</v>
      </c>
      <c r="D470" s="2">
        <v>2020</v>
      </c>
      <c r="E470" s="2">
        <v>72.3</v>
      </c>
      <c r="F470" s="2">
        <v>102.3</v>
      </c>
    </row>
    <row r="471" spans="1:6" x14ac:dyDescent="0.2">
      <c r="A471" s="2" t="s">
        <v>10</v>
      </c>
      <c r="B471" s="2">
        <v>18</v>
      </c>
      <c r="C471" s="2">
        <v>6</v>
      </c>
      <c r="D471" s="2">
        <v>2020</v>
      </c>
      <c r="E471" s="2">
        <v>0</v>
      </c>
      <c r="F471" s="2">
        <v>102.3</v>
      </c>
    </row>
    <row r="472" spans="1:6" x14ac:dyDescent="0.2">
      <c r="A472" s="2" t="s">
        <v>1</v>
      </c>
      <c r="B472" s="2">
        <v>21</v>
      </c>
      <c r="C472" s="2">
        <v>8</v>
      </c>
      <c r="D472" s="2">
        <v>2020</v>
      </c>
      <c r="E472" s="2">
        <v>0</v>
      </c>
      <c r="F472" s="2">
        <v>101.99</v>
      </c>
    </row>
    <row r="473" spans="1:6" x14ac:dyDescent="0.2">
      <c r="A473" s="2" t="s">
        <v>9</v>
      </c>
      <c r="B473" s="2">
        <v>22</v>
      </c>
      <c r="C473" s="2">
        <v>8</v>
      </c>
      <c r="D473" s="2">
        <v>2020</v>
      </c>
      <c r="E473" s="2">
        <v>0</v>
      </c>
      <c r="F473" s="2">
        <v>101.99</v>
      </c>
    </row>
    <row r="474" spans="1:6" x14ac:dyDescent="0.2">
      <c r="A474" s="2" t="s">
        <v>88</v>
      </c>
      <c r="B474" s="2">
        <v>23</v>
      </c>
      <c r="C474" s="2">
        <v>8</v>
      </c>
      <c r="D474" s="2">
        <v>2020</v>
      </c>
      <c r="E474" s="2">
        <v>52.08</v>
      </c>
      <c r="F474" s="2">
        <v>101.68</v>
      </c>
    </row>
    <row r="475" spans="1:6" x14ac:dyDescent="0.2">
      <c r="A475" s="2" t="s">
        <v>5</v>
      </c>
      <c r="B475" s="2">
        <v>7</v>
      </c>
      <c r="C475" s="2">
        <v>8</v>
      </c>
      <c r="D475" s="2">
        <v>2020</v>
      </c>
      <c r="E475" s="2">
        <v>0</v>
      </c>
      <c r="F475" s="2">
        <v>101.68</v>
      </c>
    </row>
    <row r="476" spans="1:6" x14ac:dyDescent="0.2">
      <c r="A476" s="2" t="s">
        <v>4</v>
      </c>
      <c r="B476" s="2">
        <v>1</v>
      </c>
      <c r="C476" s="2">
        <v>9</v>
      </c>
      <c r="D476" s="2">
        <v>2020</v>
      </c>
      <c r="E476" s="2">
        <v>0</v>
      </c>
      <c r="F476" s="2">
        <v>101.4</v>
      </c>
    </row>
    <row r="477" spans="1:6" x14ac:dyDescent="0.2">
      <c r="A477" s="2" t="s">
        <v>8</v>
      </c>
      <c r="B477" s="2">
        <v>5</v>
      </c>
      <c r="C477" s="2">
        <v>7</v>
      </c>
      <c r="D477" s="2">
        <v>2020</v>
      </c>
      <c r="E477" s="2">
        <v>0</v>
      </c>
      <c r="F477" s="2">
        <v>101.37</v>
      </c>
    </row>
    <row r="478" spans="1:6" x14ac:dyDescent="0.2">
      <c r="A478" s="2" t="s">
        <v>77</v>
      </c>
      <c r="B478" s="2">
        <v>16</v>
      </c>
      <c r="C478" s="2">
        <v>4</v>
      </c>
      <c r="D478" s="2">
        <v>2020</v>
      </c>
      <c r="E478" s="2">
        <v>71.7</v>
      </c>
      <c r="F478" s="2">
        <v>101.1</v>
      </c>
    </row>
    <row r="479" spans="1:6" x14ac:dyDescent="0.2">
      <c r="A479" s="2" t="s">
        <v>20</v>
      </c>
      <c r="B479" s="2">
        <v>12</v>
      </c>
      <c r="C479" s="2">
        <v>6</v>
      </c>
      <c r="D479" s="2">
        <v>2020</v>
      </c>
      <c r="E479" s="1" t="s">
        <v>94</v>
      </c>
      <c r="F479" s="2">
        <v>100.8</v>
      </c>
    </row>
    <row r="480" spans="1:6" x14ac:dyDescent="0.2">
      <c r="A480" s="2" t="s">
        <v>72</v>
      </c>
      <c r="B480" s="2">
        <v>22</v>
      </c>
      <c r="C480" s="2">
        <v>6</v>
      </c>
      <c r="D480" s="2">
        <v>2020</v>
      </c>
      <c r="E480" s="2">
        <v>44.1</v>
      </c>
      <c r="F480" s="2">
        <v>100.8</v>
      </c>
    </row>
    <row r="481" spans="1:6" x14ac:dyDescent="0.2">
      <c r="A481" s="2" t="s">
        <v>41</v>
      </c>
      <c r="B481" s="2">
        <v>15</v>
      </c>
      <c r="C481" s="2">
        <v>12</v>
      </c>
      <c r="D481" s="2">
        <v>2020</v>
      </c>
      <c r="E481" s="2">
        <v>99.82</v>
      </c>
      <c r="F481" s="2">
        <v>100.75</v>
      </c>
    </row>
    <row r="482" spans="1:6" x14ac:dyDescent="0.2">
      <c r="A482" s="2" t="s">
        <v>100</v>
      </c>
      <c r="B482" s="2">
        <v>1</v>
      </c>
      <c r="C482" s="2">
        <v>6</v>
      </c>
      <c r="D482" s="2">
        <v>2020</v>
      </c>
      <c r="E482" s="1" t="s">
        <v>94</v>
      </c>
      <c r="F482" s="2">
        <v>100.5</v>
      </c>
    </row>
    <row r="483" spans="1:6" x14ac:dyDescent="0.2">
      <c r="A483" s="2" t="s">
        <v>70</v>
      </c>
      <c r="B483" s="2">
        <v>16</v>
      </c>
      <c r="C483" s="2">
        <v>10</v>
      </c>
      <c r="D483" s="2">
        <v>2020</v>
      </c>
      <c r="E483" s="2">
        <v>73.47</v>
      </c>
      <c r="F483" s="2">
        <v>100.13</v>
      </c>
    </row>
    <row r="484" spans="1:6" x14ac:dyDescent="0.2">
      <c r="A484" s="2" t="s">
        <v>54</v>
      </c>
      <c r="B484" s="2">
        <v>5</v>
      </c>
      <c r="C484" s="2">
        <v>5</v>
      </c>
      <c r="D484" s="2">
        <v>2020</v>
      </c>
      <c r="E484" s="2">
        <v>39.99</v>
      </c>
      <c r="F484" s="2">
        <v>100.13</v>
      </c>
    </row>
    <row r="485" spans="1:6" x14ac:dyDescent="0.2">
      <c r="A485" s="2" t="s">
        <v>54</v>
      </c>
      <c r="B485" s="2">
        <v>5</v>
      </c>
      <c r="C485" s="2">
        <v>11</v>
      </c>
      <c r="D485" s="2">
        <v>2020</v>
      </c>
      <c r="E485" s="2">
        <v>114.3</v>
      </c>
      <c r="F485" s="2">
        <v>99.9</v>
      </c>
    </row>
    <row r="486" spans="1:6" x14ac:dyDescent="0.2">
      <c r="A486" s="2" t="s">
        <v>88</v>
      </c>
      <c r="B486" s="2">
        <v>23</v>
      </c>
      <c r="C486" s="2">
        <v>9</v>
      </c>
      <c r="D486" s="2">
        <v>2020</v>
      </c>
      <c r="E486" s="2">
        <v>58.2</v>
      </c>
      <c r="F486" s="2">
        <v>99.9</v>
      </c>
    </row>
    <row r="487" spans="1:6" x14ac:dyDescent="0.2">
      <c r="A487" s="2" t="s">
        <v>88</v>
      </c>
      <c r="B487" s="2">
        <v>23</v>
      </c>
      <c r="C487" s="2">
        <v>6</v>
      </c>
      <c r="D487" s="2">
        <v>2020</v>
      </c>
      <c r="E487" s="2">
        <v>62.7</v>
      </c>
      <c r="F487" s="2">
        <v>99.3</v>
      </c>
    </row>
    <row r="488" spans="1:6" x14ac:dyDescent="0.2">
      <c r="A488" s="2" t="s">
        <v>90</v>
      </c>
      <c r="B488" s="2">
        <v>18</v>
      </c>
      <c r="C488" s="2">
        <v>12</v>
      </c>
      <c r="D488" s="2">
        <v>2020</v>
      </c>
      <c r="E488" s="2">
        <v>138.88</v>
      </c>
      <c r="F488" s="2">
        <v>98.89</v>
      </c>
    </row>
    <row r="489" spans="1:6" x14ac:dyDescent="0.2">
      <c r="A489" s="2" t="s">
        <v>69</v>
      </c>
      <c r="B489" s="2">
        <v>12</v>
      </c>
      <c r="C489" s="2">
        <v>12</v>
      </c>
      <c r="D489" s="2">
        <v>2020</v>
      </c>
      <c r="E489" s="2">
        <v>103.85</v>
      </c>
      <c r="F489" s="2">
        <v>98.89</v>
      </c>
    </row>
    <row r="490" spans="1:6" x14ac:dyDescent="0.2">
      <c r="A490" s="2" t="s">
        <v>54</v>
      </c>
      <c r="B490" s="2">
        <v>5</v>
      </c>
      <c r="C490" s="2">
        <v>10</v>
      </c>
      <c r="D490" s="2">
        <v>2020</v>
      </c>
      <c r="E490" s="2">
        <v>75.95</v>
      </c>
      <c r="F490" s="2">
        <v>98.89</v>
      </c>
    </row>
    <row r="491" spans="1:6" x14ac:dyDescent="0.2">
      <c r="A491" s="2" t="s">
        <v>72</v>
      </c>
      <c r="B491" s="2">
        <v>22</v>
      </c>
      <c r="C491" s="2">
        <v>5</v>
      </c>
      <c r="D491" s="2">
        <v>2020</v>
      </c>
      <c r="E491" s="2">
        <v>57.66</v>
      </c>
      <c r="F491" s="2">
        <v>98.89</v>
      </c>
    </row>
    <row r="492" spans="1:6" x14ac:dyDescent="0.2">
      <c r="A492" s="2" t="s">
        <v>61</v>
      </c>
      <c r="B492" s="2">
        <v>23</v>
      </c>
      <c r="C492" s="2">
        <v>7</v>
      </c>
      <c r="D492" s="2">
        <v>2020</v>
      </c>
      <c r="E492" s="2">
        <v>40.92</v>
      </c>
      <c r="F492" s="2">
        <v>98.89</v>
      </c>
    </row>
    <row r="493" spans="1:6" x14ac:dyDescent="0.2">
      <c r="A493" s="2" t="s">
        <v>77</v>
      </c>
      <c r="B493" s="2">
        <v>16</v>
      </c>
      <c r="C493" s="2">
        <v>6</v>
      </c>
      <c r="D493" s="2">
        <v>2020</v>
      </c>
      <c r="E493" s="2">
        <v>40.799999999999997</v>
      </c>
      <c r="F493" s="2">
        <v>98.7</v>
      </c>
    </row>
    <row r="494" spans="1:6" x14ac:dyDescent="0.2">
      <c r="A494" s="2" t="s">
        <v>77</v>
      </c>
      <c r="B494" s="2">
        <v>16</v>
      </c>
      <c r="C494" s="2">
        <v>1</v>
      </c>
      <c r="D494" s="2">
        <v>2020</v>
      </c>
      <c r="E494" s="2">
        <v>123.38</v>
      </c>
      <c r="F494" s="2">
        <v>98.58</v>
      </c>
    </row>
    <row r="495" spans="1:6" x14ac:dyDescent="0.2">
      <c r="A495" s="2" t="s">
        <v>68</v>
      </c>
      <c r="B495" s="2">
        <v>11</v>
      </c>
      <c r="C495" s="2">
        <v>3</v>
      </c>
      <c r="D495" s="2">
        <v>2020</v>
      </c>
      <c r="E495" s="2">
        <v>73.78</v>
      </c>
      <c r="F495" s="2">
        <v>98.58</v>
      </c>
    </row>
    <row r="496" spans="1:6" x14ac:dyDescent="0.2">
      <c r="A496" s="2" t="s">
        <v>41</v>
      </c>
      <c r="B496" s="2">
        <v>15</v>
      </c>
      <c r="C496" s="2">
        <v>6</v>
      </c>
      <c r="D496" s="2">
        <v>2020</v>
      </c>
      <c r="E496" s="2">
        <v>27.3</v>
      </c>
      <c r="F496" s="2">
        <v>98.4</v>
      </c>
    </row>
    <row r="497" spans="1:6" x14ac:dyDescent="0.2">
      <c r="A497" s="2" t="s">
        <v>65</v>
      </c>
      <c r="B497" s="2">
        <v>11</v>
      </c>
      <c r="C497" s="2">
        <v>10</v>
      </c>
      <c r="D497" s="2">
        <v>2020</v>
      </c>
      <c r="E497" s="2">
        <v>76.569999999999993</v>
      </c>
      <c r="F497" s="2">
        <v>98.27</v>
      </c>
    </row>
    <row r="498" spans="1:6" x14ac:dyDescent="0.2">
      <c r="A498" s="2" t="s">
        <v>43</v>
      </c>
      <c r="B498" s="2">
        <v>15</v>
      </c>
      <c r="C498" s="2">
        <v>3</v>
      </c>
      <c r="D498" s="2">
        <v>2020</v>
      </c>
      <c r="E498" s="2">
        <v>64.17</v>
      </c>
      <c r="F498" s="2">
        <v>98.27</v>
      </c>
    </row>
    <row r="499" spans="1:6" x14ac:dyDescent="0.2">
      <c r="A499" s="2" t="s">
        <v>71</v>
      </c>
      <c r="B499" s="2">
        <v>21</v>
      </c>
      <c r="C499" s="2">
        <v>6</v>
      </c>
      <c r="D499" s="2">
        <v>2020</v>
      </c>
      <c r="E499" s="2">
        <v>37.200000000000003</v>
      </c>
      <c r="F499" s="2">
        <v>97.8</v>
      </c>
    </row>
    <row r="500" spans="1:6" x14ac:dyDescent="0.2">
      <c r="A500" s="2" t="s">
        <v>65</v>
      </c>
      <c r="B500" s="2">
        <v>11</v>
      </c>
      <c r="C500" s="2">
        <v>1</v>
      </c>
      <c r="D500" s="2">
        <v>2020</v>
      </c>
      <c r="E500" s="2">
        <v>115.94</v>
      </c>
      <c r="F500" s="2">
        <v>97.65</v>
      </c>
    </row>
    <row r="501" spans="1:6" x14ac:dyDescent="0.2">
      <c r="A501" s="2" t="s">
        <v>52</v>
      </c>
      <c r="B501" s="2">
        <v>1</v>
      </c>
      <c r="C501" s="2">
        <v>1</v>
      </c>
      <c r="D501" s="2">
        <v>2020</v>
      </c>
      <c r="E501" s="2">
        <v>85.56</v>
      </c>
      <c r="F501" s="2">
        <v>97.65</v>
      </c>
    </row>
    <row r="502" spans="1:6" x14ac:dyDescent="0.2">
      <c r="A502" s="2" t="s">
        <v>77</v>
      </c>
      <c r="B502" s="2">
        <v>16</v>
      </c>
      <c r="C502" s="2">
        <v>5</v>
      </c>
      <c r="D502" s="2">
        <v>2020</v>
      </c>
      <c r="E502" s="2">
        <v>59.21</v>
      </c>
      <c r="F502" s="2">
        <v>97.65</v>
      </c>
    </row>
    <row r="503" spans="1:6" x14ac:dyDescent="0.2">
      <c r="A503" s="2" t="s">
        <v>71</v>
      </c>
      <c r="B503" s="2">
        <v>21</v>
      </c>
      <c r="C503" s="2">
        <v>11</v>
      </c>
      <c r="D503" s="2">
        <v>2020</v>
      </c>
      <c r="E503" s="2">
        <v>119.1</v>
      </c>
      <c r="F503" s="2">
        <v>97.5</v>
      </c>
    </row>
    <row r="504" spans="1:6" x14ac:dyDescent="0.2">
      <c r="A504" s="2" t="s">
        <v>79</v>
      </c>
      <c r="B504" s="2">
        <v>3</v>
      </c>
      <c r="C504" s="2">
        <v>10</v>
      </c>
      <c r="D504" s="2">
        <v>2020</v>
      </c>
      <c r="E504" s="2">
        <v>84.01</v>
      </c>
      <c r="F504" s="2">
        <v>97.34</v>
      </c>
    </row>
    <row r="505" spans="1:6" x14ac:dyDescent="0.2">
      <c r="A505" s="2" t="s">
        <v>88</v>
      </c>
      <c r="B505" s="2">
        <v>23</v>
      </c>
      <c r="C505" s="2">
        <v>5</v>
      </c>
      <c r="D505" s="2">
        <v>2020</v>
      </c>
      <c r="E505" s="2">
        <v>68.2</v>
      </c>
      <c r="F505" s="2">
        <v>97.34</v>
      </c>
    </row>
    <row r="506" spans="1:6" x14ac:dyDescent="0.2">
      <c r="A506" s="2" t="s">
        <v>97</v>
      </c>
      <c r="B506" s="2">
        <v>12</v>
      </c>
      <c r="C506" s="2">
        <v>6</v>
      </c>
      <c r="D506" s="2">
        <v>2020</v>
      </c>
      <c r="E506" s="1" t="s">
        <v>94</v>
      </c>
      <c r="F506" s="2">
        <v>97.2</v>
      </c>
    </row>
    <row r="507" spans="1:6" x14ac:dyDescent="0.2">
      <c r="A507" s="2" t="s">
        <v>79</v>
      </c>
      <c r="B507" s="2">
        <v>3</v>
      </c>
      <c r="C507" s="2">
        <v>9</v>
      </c>
      <c r="D507" s="2">
        <v>2020</v>
      </c>
      <c r="E507" s="2">
        <v>54.9</v>
      </c>
      <c r="F507" s="2">
        <v>97.2</v>
      </c>
    </row>
    <row r="508" spans="1:6" x14ac:dyDescent="0.2">
      <c r="A508" s="2" t="s">
        <v>79</v>
      </c>
      <c r="B508" s="2">
        <v>3</v>
      </c>
      <c r="C508" s="2">
        <v>2</v>
      </c>
      <c r="D508" s="2">
        <v>2020</v>
      </c>
      <c r="E508" s="2">
        <v>114.52</v>
      </c>
      <c r="F508" s="2">
        <v>97.16</v>
      </c>
    </row>
    <row r="509" spans="1:6" x14ac:dyDescent="0.2">
      <c r="A509" s="2" t="s">
        <v>88</v>
      </c>
      <c r="B509" s="2">
        <v>23</v>
      </c>
      <c r="C509" s="2">
        <v>2</v>
      </c>
      <c r="D509" s="2">
        <v>2020</v>
      </c>
      <c r="E509" s="2">
        <v>108.08</v>
      </c>
      <c r="F509" s="2">
        <v>97.16</v>
      </c>
    </row>
    <row r="510" spans="1:6" x14ac:dyDescent="0.2">
      <c r="A510" s="2" t="s">
        <v>16</v>
      </c>
      <c r="B510" s="2">
        <v>14</v>
      </c>
      <c r="C510" s="2">
        <v>8</v>
      </c>
      <c r="D510" s="2">
        <v>2020</v>
      </c>
      <c r="E510" s="1" t="s">
        <v>94</v>
      </c>
      <c r="F510" s="2">
        <v>97.03</v>
      </c>
    </row>
    <row r="511" spans="1:6" x14ac:dyDescent="0.2">
      <c r="A511" s="2" t="s">
        <v>92</v>
      </c>
      <c r="B511" s="2">
        <v>7</v>
      </c>
      <c r="C511" s="2">
        <v>1</v>
      </c>
      <c r="D511" s="2">
        <v>2020</v>
      </c>
      <c r="E511" s="2">
        <v>145.38999999999999</v>
      </c>
      <c r="F511" s="2">
        <v>97.03</v>
      </c>
    </row>
    <row r="512" spans="1:6" x14ac:dyDescent="0.2">
      <c r="A512" s="2" t="s">
        <v>79</v>
      </c>
      <c r="B512" s="2">
        <v>3</v>
      </c>
      <c r="C512" s="2">
        <v>12</v>
      </c>
      <c r="D512" s="2">
        <v>2020</v>
      </c>
      <c r="E512" s="2">
        <v>130.19999999999999</v>
      </c>
      <c r="F512" s="2">
        <v>97.03</v>
      </c>
    </row>
    <row r="513" spans="1:6" x14ac:dyDescent="0.2">
      <c r="A513" s="2" t="s">
        <v>86</v>
      </c>
      <c r="B513" s="2">
        <v>6</v>
      </c>
      <c r="C513" s="2">
        <v>8</v>
      </c>
      <c r="D513" s="2">
        <v>2020</v>
      </c>
      <c r="E513" s="2">
        <v>53.94</v>
      </c>
      <c r="F513" s="2">
        <v>96.72</v>
      </c>
    </row>
    <row r="514" spans="1:6" x14ac:dyDescent="0.2">
      <c r="A514" s="2" t="s">
        <v>57</v>
      </c>
      <c r="B514" s="2">
        <v>17</v>
      </c>
      <c r="C514" s="2">
        <v>5</v>
      </c>
      <c r="D514" s="2">
        <v>2020</v>
      </c>
      <c r="E514" s="2">
        <v>38.44</v>
      </c>
      <c r="F514" s="2">
        <v>96.72</v>
      </c>
    </row>
    <row r="515" spans="1:6" x14ac:dyDescent="0.2">
      <c r="A515" s="2" t="s">
        <v>83</v>
      </c>
      <c r="B515" s="2">
        <v>25</v>
      </c>
      <c r="C515" s="2">
        <v>12</v>
      </c>
      <c r="D515" s="2">
        <v>2020</v>
      </c>
      <c r="E515" s="2">
        <v>126.79</v>
      </c>
      <c r="F515" s="2">
        <v>96.41</v>
      </c>
    </row>
    <row r="516" spans="1:6" x14ac:dyDescent="0.2">
      <c r="A516" s="2" t="s">
        <v>90</v>
      </c>
      <c r="B516" s="2">
        <v>18</v>
      </c>
      <c r="C516" s="2">
        <v>10</v>
      </c>
      <c r="D516" s="2">
        <v>2020</v>
      </c>
      <c r="E516" s="2">
        <v>96.72</v>
      </c>
      <c r="F516" s="2">
        <v>96.41</v>
      </c>
    </row>
    <row r="517" spans="1:6" x14ac:dyDescent="0.2">
      <c r="A517" s="2" t="s">
        <v>68</v>
      </c>
      <c r="B517" s="2">
        <v>11</v>
      </c>
      <c r="C517" s="2">
        <v>10</v>
      </c>
      <c r="D517" s="2">
        <v>2020</v>
      </c>
      <c r="E517" s="2">
        <v>67.89</v>
      </c>
      <c r="F517" s="2">
        <v>96.41</v>
      </c>
    </row>
    <row r="518" spans="1:6" x14ac:dyDescent="0.2">
      <c r="A518" s="2" t="s">
        <v>53</v>
      </c>
      <c r="B518" s="2">
        <v>18</v>
      </c>
      <c r="C518" s="2">
        <v>5</v>
      </c>
      <c r="D518" s="2">
        <v>2020</v>
      </c>
      <c r="E518" s="2">
        <v>36.58</v>
      </c>
      <c r="F518" s="2">
        <v>96.41</v>
      </c>
    </row>
    <row r="519" spans="1:6" x14ac:dyDescent="0.2">
      <c r="A519" s="2" t="s">
        <v>70</v>
      </c>
      <c r="B519" s="2">
        <v>16</v>
      </c>
      <c r="C519" s="2">
        <v>6</v>
      </c>
      <c r="D519" s="2">
        <v>2020</v>
      </c>
      <c r="E519" s="2">
        <v>41.7</v>
      </c>
      <c r="F519" s="2">
        <v>96.3</v>
      </c>
    </row>
    <row r="520" spans="1:6" x14ac:dyDescent="0.2">
      <c r="A520" s="2" t="s">
        <v>12</v>
      </c>
      <c r="B520" s="2">
        <v>2</v>
      </c>
      <c r="C520" s="2">
        <v>7</v>
      </c>
      <c r="D520" s="2">
        <v>2020</v>
      </c>
      <c r="E520" s="1" t="s">
        <v>94</v>
      </c>
      <c r="F520" s="2">
        <v>96.1</v>
      </c>
    </row>
    <row r="521" spans="1:6" x14ac:dyDescent="0.2">
      <c r="A521" s="2" t="s">
        <v>68</v>
      </c>
      <c r="B521" s="2">
        <v>11</v>
      </c>
      <c r="C521" s="2">
        <v>5</v>
      </c>
      <c r="D521" s="2">
        <v>2020</v>
      </c>
      <c r="E521" s="2">
        <v>43.71</v>
      </c>
      <c r="F521" s="2">
        <v>96.1</v>
      </c>
    </row>
    <row r="522" spans="1:6" x14ac:dyDescent="0.2">
      <c r="A522" s="2" t="s">
        <v>61</v>
      </c>
      <c r="B522" s="2">
        <v>23</v>
      </c>
      <c r="C522" s="2">
        <v>11</v>
      </c>
      <c r="D522" s="2">
        <v>2020</v>
      </c>
      <c r="E522" s="2">
        <v>101.1</v>
      </c>
      <c r="F522" s="2">
        <v>96</v>
      </c>
    </row>
    <row r="523" spans="1:6" x14ac:dyDescent="0.2">
      <c r="A523" s="2" t="s">
        <v>2</v>
      </c>
      <c r="B523" s="2">
        <v>18</v>
      </c>
      <c r="C523" s="2">
        <v>9</v>
      </c>
      <c r="D523" s="2">
        <v>2020</v>
      </c>
      <c r="E523" s="2">
        <v>0</v>
      </c>
      <c r="F523" s="2">
        <v>96</v>
      </c>
    </row>
    <row r="524" spans="1:6" x14ac:dyDescent="0.2">
      <c r="A524" s="2" t="s">
        <v>61</v>
      </c>
      <c r="B524" s="2">
        <v>23</v>
      </c>
      <c r="C524" s="2">
        <v>1</v>
      </c>
      <c r="D524" s="2">
        <v>2020</v>
      </c>
      <c r="E524" s="2">
        <v>123.38</v>
      </c>
      <c r="F524" s="2">
        <v>95.79</v>
      </c>
    </row>
    <row r="525" spans="1:6" x14ac:dyDescent="0.2">
      <c r="A525" s="2" t="s">
        <v>44</v>
      </c>
      <c r="B525" s="2">
        <v>1</v>
      </c>
      <c r="C525" s="2">
        <v>12</v>
      </c>
      <c r="D525" s="2">
        <v>2020</v>
      </c>
      <c r="E525" s="2">
        <v>99.51</v>
      </c>
      <c r="F525" s="2">
        <v>95.79</v>
      </c>
    </row>
    <row r="526" spans="1:6" x14ac:dyDescent="0.2">
      <c r="A526" s="2" t="s">
        <v>77</v>
      </c>
      <c r="B526" s="2">
        <v>16</v>
      </c>
      <c r="C526" s="2">
        <v>8</v>
      </c>
      <c r="D526" s="2">
        <v>2020</v>
      </c>
      <c r="E526" s="2">
        <v>44.33</v>
      </c>
      <c r="F526" s="2">
        <v>95.79</v>
      </c>
    </row>
    <row r="527" spans="1:6" x14ac:dyDescent="0.2">
      <c r="A527" s="2" t="s">
        <v>83</v>
      </c>
      <c r="B527" s="2">
        <v>25</v>
      </c>
      <c r="C527" s="2">
        <v>11</v>
      </c>
      <c r="D527" s="2">
        <v>2020</v>
      </c>
      <c r="E527" s="2">
        <v>133.19999999999999</v>
      </c>
      <c r="F527" s="2">
        <v>95.7</v>
      </c>
    </row>
    <row r="528" spans="1:6" x14ac:dyDescent="0.2">
      <c r="A528" s="2" t="s">
        <v>44</v>
      </c>
      <c r="B528" s="2">
        <v>1</v>
      </c>
      <c r="C528" s="2">
        <v>9</v>
      </c>
      <c r="D528" s="2">
        <v>2020</v>
      </c>
      <c r="E528" s="2">
        <v>45.6</v>
      </c>
      <c r="F528" s="2">
        <v>95.7</v>
      </c>
    </row>
    <row r="529" spans="1:6" x14ac:dyDescent="0.2">
      <c r="A529" s="2" t="s">
        <v>69</v>
      </c>
      <c r="B529" s="2">
        <v>12</v>
      </c>
      <c r="C529" s="2">
        <v>5</v>
      </c>
      <c r="D529" s="2">
        <v>2020</v>
      </c>
      <c r="E529" s="2">
        <v>37.51</v>
      </c>
      <c r="F529" s="2">
        <v>95.48</v>
      </c>
    </row>
    <row r="530" spans="1:6" x14ac:dyDescent="0.2">
      <c r="A530" s="2" t="s">
        <v>81</v>
      </c>
      <c r="B530" s="2">
        <v>19</v>
      </c>
      <c r="C530" s="2">
        <v>4</v>
      </c>
      <c r="D530" s="2">
        <v>2020</v>
      </c>
      <c r="E530" s="2">
        <v>75</v>
      </c>
      <c r="F530" s="2">
        <v>95.4</v>
      </c>
    </row>
    <row r="531" spans="1:6" x14ac:dyDescent="0.2">
      <c r="A531" s="2" t="s">
        <v>93</v>
      </c>
      <c r="B531" s="2">
        <v>3</v>
      </c>
      <c r="C531" s="2">
        <v>6</v>
      </c>
      <c r="D531" s="2">
        <v>2020</v>
      </c>
      <c r="E531" s="2">
        <v>68.099999999999994</v>
      </c>
      <c r="F531" s="2">
        <v>95.1</v>
      </c>
    </row>
    <row r="532" spans="1:6" x14ac:dyDescent="0.2">
      <c r="A532" s="2" t="s">
        <v>61</v>
      </c>
      <c r="B532" s="2">
        <v>23</v>
      </c>
      <c r="C532" s="2">
        <v>4</v>
      </c>
      <c r="D532" s="2">
        <v>2020</v>
      </c>
      <c r="E532" s="2">
        <v>65.7</v>
      </c>
      <c r="F532" s="2">
        <v>95.1</v>
      </c>
    </row>
    <row r="533" spans="1:6" x14ac:dyDescent="0.2">
      <c r="A533" s="2" t="s">
        <v>66</v>
      </c>
      <c r="B533" s="2">
        <v>23</v>
      </c>
      <c r="C533" s="2">
        <v>1</v>
      </c>
      <c r="D533" s="2">
        <v>2020</v>
      </c>
      <c r="E533" s="2">
        <v>94.86</v>
      </c>
      <c r="F533" s="2">
        <v>94.86</v>
      </c>
    </row>
    <row r="534" spans="1:6" x14ac:dyDescent="0.2">
      <c r="A534" s="2" t="s">
        <v>41</v>
      </c>
      <c r="B534" s="2">
        <v>15</v>
      </c>
      <c r="C534" s="2">
        <v>10</v>
      </c>
      <c r="D534" s="2">
        <v>2020</v>
      </c>
      <c r="E534" s="2">
        <v>71.61</v>
      </c>
      <c r="F534" s="2">
        <v>94.86</v>
      </c>
    </row>
    <row r="535" spans="1:6" x14ac:dyDescent="0.2">
      <c r="A535" s="2" t="s">
        <v>90</v>
      </c>
      <c r="B535" s="2">
        <v>18</v>
      </c>
      <c r="C535" s="2">
        <v>7</v>
      </c>
      <c r="D535" s="2">
        <v>2020</v>
      </c>
      <c r="E535" s="2">
        <v>63.86</v>
      </c>
      <c r="F535" s="2">
        <v>94.86</v>
      </c>
    </row>
    <row r="536" spans="1:6" x14ac:dyDescent="0.2">
      <c r="A536" s="2" t="s">
        <v>98</v>
      </c>
      <c r="B536" s="2">
        <v>21</v>
      </c>
      <c r="C536" s="2">
        <v>7</v>
      </c>
      <c r="D536" s="2">
        <v>2020</v>
      </c>
      <c r="E536" s="1" t="s">
        <v>94</v>
      </c>
      <c r="F536" s="2">
        <v>94.55</v>
      </c>
    </row>
    <row r="537" spans="1:6" x14ac:dyDescent="0.2">
      <c r="A537" s="2" t="s">
        <v>93</v>
      </c>
      <c r="B537" s="2">
        <v>3</v>
      </c>
      <c r="C537" s="2">
        <v>5</v>
      </c>
      <c r="D537" s="2">
        <v>2020</v>
      </c>
      <c r="E537" s="2">
        <v>90.83</v>
      </c>
      <c r="F537" s="2">
        <v>94.55</v>
      </c>
    </row>
    <row r="538" spans="1:6" x14ac:dyDescent="0.2">
      <c r="A538" s="2" t="s">
        <v>70</v>
      </c>
      <c r="B538" s="2">
        <v>16</v>
      </c>
      <c r="C538" s="2">
        <v>8</v>
      </c>
      <c r="D538" s="2">
        <v>2020</v>
      </c>
      <c r="E538" s="2">
        <v>37.200000000000003</v>
      </c>
      <c r="F538" s="2">
        <v>94.55</v>
      </c>
    </row>
    <row r="539" spans="1:6" x14ac:dyDescent="0.2">
      <c r="A539" s="2" t="s">
        <v>43</v>
      </c>
      <c r="B539" s="2">
        <v>15</v>
      </c>
      <c r="C539" s="2">
        <v>8</v>
      </c>
      <c r="D539" s="2">
        <v>2020</v>
      </c>
      <c r="E539" s="2">
        <v>24.18</v>
      </c>
      <c r="F539" s="2">
        <v>94.55</v>
      </c>
    </row>
    <row r="540" spans="1:6" x14ac:dyDescent="0.2">
      <c r="A540" s="2" t="s">
        <v>84</v>
      </c>
      <c r="B540" s="2">
        <v>20</v>
      </c>
      <c r="C540" s="2">
        <v>6</v>
      </c>
      <c r="D540" s="2">
        <v>2020</v>
      </c>
      <c r="E540" s="2">
        <v>49.2</v>
      </c>
      <c r="F540" s="2">
        <v>94.5</v>
      </c>
    </row>
    <row r="541" spans="1:6" x14ac:dyDescent="0.2">
      <c r="A541" s="2" t="s">
        <v>81</v>
      </c>
      <c r="B541" s="2">
        <v>19</v>
      </c>
      <c r="C541" s="2">
        <v>10</v>
      </c>
      <c r="D541" s="2">
        <v>2020</v>
      </c>
      <c r="E541" s="2">
        <v>89.59</v>
      </c>
      <c r="F541" s="2">
        <v>94.24</v>
      </c>
    </row>
    <row r="542" spans="1:6" x14ac:dyDescent="0.2">
      <c r="A542" s="2" t="s">
        <v>84</v>
      </c>
      <c r="B542" s="2">
        <v>20</v>
      </c>
      <c r="C542" s="2">
        <v>5</v>
      </c>
      <c r="D542" s="2">
        <v>2020</v>
      </c>
      <c r="E542" s="2">
        <v>71.61</v>
      </c>
      <c r="F542" s="2">
        <v>94.24</v>
      </c>
    </row>
    <row r="543" spans="1:6" x14ac:dyDescent="0.2">
      <c r="A543" s="2" t="s">
        <v>56</v>
      </c>
      <c r="B543" s="2">
        <v>14</v>
      </c>
      <c r="C543" s="2">
        <v>7</v>
      </c>
      <c r="D543" s="2">
        <v>2020</v>
      </c>
      <c r="E543" s="2">
        <v>29.76</v>
      </c>
      <c r="F543" s="2">
        <v>94.24</v>
      </c>
    </row>
    <row r="544" spans="1:6" x14ac:dyDescent="0.2">
      <c r="A544" s="2" t="s">
        <v>86</v>
      </c>
      <c r="B544" s="2">
        <v>6</v>
      </c>
      <c r="C544" s="2">
        <v>1</v>
      </c>
      <c r="D544" s="2">
        <v>2020</v>
      </c>
      <c r="E544" s="2">
        <v>136.71</v>
      </c>
      <c r="F544" s="2">
        <v>93.93</v>
      </c>
    </row>
    <row r="545" spans="1:6" x14ac:dyDescent="0.2">
      <c r="A545" s="2" t="s">
        <v>92</v>
      </c>
      <c r="B545" s="2">
        <v>7</v>
      </c>
      <c r="C545" s="2">
        <v>7</v>
      </c>
      <c r="D545" s="2">
        <v>2020</v>
      </c>
      <c r="E545" s="2">
        <v>73.78</v>
      </c>
      <c r="F545" s="2">
        <v>93.93</v>
      </c>
    </row>
    <row r="546" spans="1:6" x14ac:dyDescent="0.2">
      <c r="A546" s="2" t="s">
        <v>3</v>
      </c>
      <c r="B546" s="2">
        <v>25</v>
      </c>
      <c r="C546" s="2">
        <v>7</v>
      </c>
      <c r="D546" s="2">
        <v>2020</v>
      </c>
      <c r="E546" s="2">
        <v>0</v>
      </c>
      <c r="F546" s="2">
        <v>93.93</v>
      </c>
    </row>
    <row r="547" spans="1:6" x14ac:dyDescent="0.2">
      <c r="A547" s="2" t="s">
        <v>83</v>
      </c>
      <c r="B547" s="2">
        <v>25</v>
      </c>
      <c r="C547" s="2">
        <v>4</v>
      </c>
      <c r="D547" s="2">
        <v>2020</v>
      </c>
      <c r="E547" s="2">
        <v>96.9</v>
      </c>
      <c r="F547" s="2">
        <v>93.9</v>
      </c>
    </row>
    <row r="548" spans="1:6" x14ac:dyDescent="0.2">
      <c r="A548" s="2" t="s">
        <v>79</v>
      </c>
      <c r="B548" s="2">
        <v>3</v>
      </c>
      <c r="C548" s="2">
        <v>6</v>
      </c>
      <c r="D548" s="2">
        <v>2020</v>
      </c>
      <c r="E548" s="2">
        <v>49.8</v>
      </c>
      <c r="F548" s="2">
        <v>93.9</v>
      </c>
    </row>
    <row r="549" spans="1:6" x14ac:dyDescent="0.2">
      <c r="A549" s="2" t="s">
        <v>5</v>
      </c>
      <c r="B549" s="2">
        <v>7</v>
      </c>
      <c r="C549" s="2">
        <v>6</v>
      </c>
      <c r="D549" s="2">
        <v>2020</v>
      </c>
      <c r="E549" s="2">
        <v>0</v>
      </c>
      <c r="F549" s="2">
        <v>93.9</v>
      </c>
    </row>
    <row r="550" spans="1:6" x14ac:dyDescent="0.2">
      <c r="A550" s="2" t="s">
        <v>72</v>
      </c>
      <c r="B550" s="2">
        <v>22</v>
      </c>
      <c r="C550" s="2">
        <v>1</v>
      </c>
      <c r="D550" s="2">
        <v>2020</v>
      </c>
      <c r="E550" s="2">
        <v>125.24</v>
      </c>
      <c r="F550" s="2">
        <v>93.62</v>
      </c>
    </row>
    <row r="551" spans="1:6" x14ac:dyDescent="0.2">
      <c r="A551" s="2" t="s">
        <v>80</v>
      </c>
      <c r="B551" s="2">
        <v>12</v>
      </c>
      <c r="C551" s="2">
        <v>12</v>
      </c>
      <c r="D551" s="2">
        <v>2020</v>
      </c>
      <c r="E551" s="2">
        <v>117.8</v>
      </c>
      <c r="F551" s="2">
        <v>93.62</v>
      </c>
    </row>
    <row r="552" spans="1:6" x14ac:dyDescent="0.2">
      <c r="A552" s="2" t="s">
        <v>54</v>
      </c>
      <c r="B552" s="2">
        <v>5</v>
      </c>
      <c r="C552" s="2">
        <v>3</v>
      </c>
      <c r="D552" s="2">
        <v>2020</v>
      </c>
      <c r="E552" s="2">
        <v>66.959999999999994</v>
      </c>
      <c r="F552" s="2">
        <v>93.62</v>
      </c>
    </row>
    <row r="553" spans="1:6" x14ac:dyDescent="0.2">
      <c r="A553" s="2" t="s">
        <v>90</v>
      </c>
      <c r="B553" s="2">
        <v>18</v>
      </c>
      <c r="C553" s="2">
        <v>9</v>
      </c>
      <c r="D553" s="2">
        <v>2020</v>
      </c>
      <c r="E553" s="2">
        <v>69.3</v>
      </c>
      <c r="F553" s="2">
        <v>93.6</v>
      </c>
    </row>
    <row r="554" spans="1:6" x14ac:dyDescent="0.2">
      <c r="A554" s="2" t="s">
        <v>69</v>
      </c>
      <c r="B554" s="2">
        <v>12</v>
      </c>
      <c r="C554" s="2">
        <v>6</v>
      </c>
      <c r="D554" s="2">
        <v>2020</v>
      </c>
      <c r="E554" s="2">
        <v>41.7</v>
      </c>
      <c r="F554" s="2">
        <v>93.6</v>
      </c>
    </row>
    <row r="555" spans="1:6" x14ac:dyDescent="0.2">
      <c r="A555" s="2" t="s">
        <v>52</v>
      </c>
      <c r="B555" s="2">
        <v>1</v>
      </c>
      <c r="C555" s="2">
        <v>9</v>
      </c>
      <c r="D555" s="2">
        <v>2020</v>
      </c>
      <c r="E555" s="2">
        <v>40.799999999999997</v>
      </c>
      <c r="F555" s="2">
        <v>93.6</v>
      </c>
    </row>
    <row r="556" spans="1:6" x14ac:dyDescent="0.2">
      <c r="A556" s="2" t="s">
        <v>5</v>
      </c>
      <c r="B556" s="2">
        <v>7</v>
      </c>
      <c r="C556" s="2">
        <v>5</v>
      </c>
      <c r="D556" s="2">
        <v>2020</v>
      </c>
      <c r="E556" s="1" t="s">
        <v>94</v>
      </c>
      <c r="F556" s="2">
        <v>93.31</v>
      </c>
    </row>
    <row r="557" spans="1:6" x14ac:dyDescent="0.2">
      <c r="A557" s="2" t="s">
        <v>90</v>
      </c>
      <c r="B557" s="2">
        <v>18</v>
      </c>
      <c r="C557" s="2">
        <v>3</v>
      </c>
      <c r="D557" s="2">
        <v>2020</v>
      </c>
      <c r="E557" s="2">
        <v>97.65</v>
      </c>
      <c r="F557" s="2">
        <v>93.31</v>
      </c>
    </row>
    <row r="558" spans="1:6" x14ac:dyDescent="0.2">
      <c r="A558" s="2" t="s">
        <v>69</v>
      </c>
      <c r="B558" s="2">
        <v>12</v>
      </c>
      <c r="C558" s="2">
        <v>8</v>
      </c>
      <c r="D558" s="2">
        <v>2020</v>
      </c>
      <c r="E558" s="2">
        <v>42.78</v>
      </c>
      <c r="F558" s="2">
        <v>93.31</v>
      </c>
    </row>
    <row r="559" spans="1:6" x14ac:dyDescent="0.2">
      <c r="A559" s="2" t="s">
        <v>54</v>
      </c>
      <c r="B559" s="2">
        <v>5</v>
      </c>
      <c r="C559" s="2">
        <v>7</v>
      </c>
      <c r="D559" s="2">
        <v>2020</v>
      </c>
      <c r="E559" s="2">
        <v>37.82</v>
      </c>
      <c r="F559" s="2">
        <v>93.31</v>
      </c>
    </row>
    <row r="560" spans="1:6" x14ac:dyDescent="0.2">
      <c r="A560" s="2" t="s">
        <v>41</v>
      </c>
      <c r="B560" s="2">
        <v>15</v>
      </c>
      <c r="C560" s="2">
        <v>11</v>
      </c>
      <c r="D560" s="2">
        <v>2020</v>
      </c>
      <c r="E560" s="2">
        <v>104.1</v>
      </c>
      <c r="F560" s="2">
        <v>93.3</v>
      </c>
    </row>
    <row r="561" spans="1:6" x14ac:dyDescent="0.2">
      <c r="A561" s="2" t="s">
        <v>68</v>
      </c>
      <c r="B561" s="2">
        <v>11</v>
      </c>
      <c r="C561" s="2">
        <v>9</v>
      </c>
      <c r="D561" s="2">
        <v>2020</v>
      </c>
      <c r="E561" s="2">
        <v>50.7</v>
      </c>
      <c r="F561" s="2">
        <v>93.3</v>
      </c>
    </row>
    <row r="562" spans="1:6" x14ac:dyDescent="0.2">
      <c r="A562" s="2" t="s">
        <v>88</v>
      </c>
      <c r="B562" s="2">
        <v>23</v>
      </c>
      <c r="C562" s="2">
        <v>11</v>
      </c>
      <c r="D562" s="2">
        <v>2020</v>
      </c>
      <c r="E562" s="2">
        <v>148.5</v>
      </c>
      <c r="F562" s="2">
        <v>93</v>
      </c>
    </row>
    <row r="563" spans="1:6" x14ac:dyDescent="0.2">
      <c r="A563" s="2" t="s">
        <v>93</v>
      </c>
      <c r="B563" s="2">
        <v>3</v>
      </c>
      <c r="C563" s="2">
        <v>4</v>
      </c>
      <c r="D563" s="2">
        <v>2020</v>
      </c>
      <c r="E563" s="2">
        <v>105.3</v>
      </c>
      <c r="F563" s="2">
        <v>93</v>
      </c>
    </row>
    <row r="564" spans="1:6" x14ac:dyDescent="0.2">
      <c r="A564" s="2" t="s">
        <v>86</v>
      </c>
      <c r="B564" s="2">
        <v>6</v>
      </c>
      <c r="C564" s="2">
        <v>10</v>
      </c>
      <c r="D564" s="2">
        <v>2020</v>
      </c>
      <c r="E564" s="2">
        <v>88.35</v>
      </c>
      <c r="F564" s="2">
        <v>93</v>
      </c>
    </row>
    <row r="565" spans="1:6" x14ac:dyDescent="0.2">
      <c r="A565" s="2" t="s">
        <v>93</v>
      </c>
      <c r="B565" s="2">
        <v>3</v>
      </c>
      <c r="C565" s="2">
        <v>9</v>
      </c>
      <c r="D565" s="2">
        <v>2020</v>
      </c>
      <c r="E565" s="2">
        <v>78</v>
      </c>
      <c r="F565" s="2">
        <v>93</v>
      </c>
    </row>
    <row r="566" spans="1:6" x14ac:dyDescent="0.2">
      <c r="A566" s="2" t="s">
        <v>79</v>
      </c>
      <c r="B566" s="2">
        <v>3</v>
      </c>
      <c r="C566" s="2">
        <v>4</v>
      </c>
      <c r="D566" s="2">
        <v>2020</v>
      </c>
      <c r="E566" s="2">
        <v>75.900000000000006</v>
      </c>
      <c r="F566" s="2">
        <v>93</v>
      </c>
    </row>
    <row r="567" spans="1:6" x14ac:dyDescent="0.2">
      <c r="A567" s="2" t="s">
        <v>44</v>
      </c>
      <c r="B567" s="2">
        <v>1</v>
      </c>
      <c r="C567" s="2">
        <v>3</v>
      </c>
      <c r="D567" s="2">
        <v>2020</v>
      </c>
      <c r="E567" s="2">
        <v>63.24</v>
      </c>
      <c r="F567" s="2">
        <v>93</v>
      </c>
    </row>
    <row r="568" spans="1:6" x14ac:dyDescent="0.2">
      <c r="A568" s="2" t="s">
        <v>61</v>
      </c>
      <c r="B568" s="2">
        <v>23</v>
      </c>
      <c r="C568" s="2">
        <v>2</v>
      </c>
      <c r="D568" s="2">
        <v>2020</v>
      </c>
      <c r="E568" s="2">
        <v>115.64</v>
      </c>
      <c r="F568" s="2">
        <v>92.96</v>
      </c>
    </row>
    <row r="569" spans="1:6" x14ac:dyDescent="0.2">
      <c r="A569" s="2" t="s">
        <v>70</v>
      </c>
      <c r="B569" s="2">
        <v>16</v>
      </c>
      <c r="C569" s="2">
        <v>9</v>
      </c>
      <c r="D569" s="2">
        <v>2020</v>
      </c>
      <c r="E569" s="2">
        <v>43.2</v>
      </c>
      <c r="F569" s="2">
        <v>92.7</v>
      </c>
    </row>
    <row r="570" spans="1:6" x14ac:dyDescent="0.2">
      <c r="A570" s="2" t="s">
        <v>90</v>
      </c>
      <c r="B570" s="2">
        <v>18</v>
      </c>
      <c r="C570" s="2">
        <v>1</v>
      </c>
      <c r="D570" s="2">
        <v>2020</v>
      </c>
      <c r="E570" s="2">
        <v>119.04</v>
      </c>
      <c r="F570" s="2">
        <v>92.69</v>
      </c>
    </row>
    <row r="571" spans="1:6" x14ac:dyDescent="0.2">
      <c r="A571" s="2" t="s">
        <v>68</v>
      </c>
      <c r="B571" s="2">
        <v>11</v>
      </c>
      <c r="C571" s="2">
        <v>12</v>
      </c>
      <c r="D571" s="2">
        <v>2020</v>
      </c>
      <c r="E571" s="2">
        <v>106.95</v>
      </c>
      <c r="F571" s="2">
        <v>92.69</v>
      </c>
    </row>
    <row r="572" spans="1:6" x14ac:dyDescent="0.2">
      <c r="A572" s="2" t="s">
        <v>92</v>
      </c>
      <c r="B572" s="2">
        <v>7</v>
      </c>
      <c r="C572" s="2">
        <v>5</v>
      </c>
      <c r="D572" s="2">
        <v>2020</v>
      </c>
      <c r="E572" s="2">
        <v>82.46</v>
      </c>
      <c r="F572" s="2">
        <v>92.69</v>
      </c>
    </row>
    <row r="573" spans="1:6" x14ac:dyDescent="0.2">
      <c r="A573" s="2" t="s">
        <v>93</v>
      </c>
      <c r="B573" s="2">
        <v>3</v>
      </c>
      <c r="C573" s="2">
        <v>7</v>
      </c>
      <c r="D573" s="2">
        <v>2020</v>
      </c>
      <c r="E573" s="2">
        <v>74.400000000000006</v>
      </c>
      <c r="F573" s="2">
        <v>92.69</v>
      </c>
    </row>
    <row r="574" spans="1:6" x14ac:dyDescent="0.2">
      <c r="A574" s="2" t="s">
        <v>81</v>
      </c>
      <c r="B574" s="2">
        <v>19</v>
      </c>
      <c r="C574" s="2">
        <v>5</v>
      </c>
      <c r="D574" s="2">
        <v>2020</v>
      </c>
      <c r="E574" s="2">
        <v>46.81</v>
      </c>
      <c r="F574" s="2">
        <v>92.69</v>
      </c>
    </row>
    <row r="575" spans="1:6" x14ac:dyDescent="0.2">
      <c r="A575" s="2" t="s">
        <v>68</v>
      </c>
      <c r="B575" s="2">
        <v>11</v>
      </c>
      <c r="C575" s="2">
        <v>4</v>
      </c>
      <c r="D575" s="2">
        <v>2020</v>
      </c>
      <c r="E575" s="2">
        <v>73.2</v>
      </c>
      <c r="F575" s="2">
        <v>92.4</v>
      </c>
    </row>
    <row r="576" spans="1:6" x14ac:dyDescent="0.2">
      <c r="A576" s="2" t="s">
        <v>78</v>
      </c>
      <c r="B576" s="2">
        <v>18</v>
      </c>
      <c r="C576" s="2">
        <v>6</v>
      </c>
      <c r="D576" s="2">
        <v>2020</v>
      </c>
      <c r="E576" s="2">
        <v>44.4</v>
      </c>
      <c r="F576" s="2">
        <v>92.4</v>
      </c>
    </row>
    <row r="577" spans="1:6" x14ac:dyDescent="0.2">
      <c r="A577" s="2" t="s">
        <v>66</v>
      </c>
      <c r="B577" s="2">
        <v>23</v>
      </c>
      <c r="C577" s="2">
        <v>9</v>
      </c>
      <c r="D577" s="2">
        <v>2020</v>
      </c>
      <c r="E577" s="2">
        <v>40.799999999999997</v>
      </c>
      <c r="F577" s="2">
        <v>92.4</v>
      </c>
    </row>
    <row r="578" spans="1:6" x14ac:dyDescent="0.2">
      <c r="A578" s="2" t="s">
        <v>53</v>
      </c>
      <c r="B578" s="2">
        <v>18</v>
      </c>
      <c r="C578" s="2">
        <v>6</v>
      </c>
      <c r="D578" s="2">
        <v>2020</v>
      </c>
      <c r="E578" s="2">
        <v>31.8</v>
      </c>
      <c r="F578" s="2">
        <v>92.4</v>
      </c>
    </row>
    <row r="579" spans="1:6" x14ac:dyDescent="0.2">
      <c r="A579" s="2" t="s">
        <v>98</v>
      </c>
      <c r="B579" s="2">
        <v>21</v>
      </c>
      <c r="C579" s="2">
        <v>8</v>
      </c>
      <c r="D579" s="2">
        <v>2020</v>
      </c>
      <c r="E579" s="1" t="s">
        <v>94</v>
      </c>
      <c r="F579" s="2">
        <v>92.38</v>
      </c>
    </row>
    <row r="580" spans="1:6" x14ac:dyDescent="0.2">
      <c r="A580" s="2" t="s">
        <v>90</v>
      </c>
      <c r="B580" s="2">
        <v>18</v>
      </c>
      <c r="C580" s="2">
        <v>8</v>
      </c>
      <c r="D580" s="2">
        <v>2020</v>
      </c>
      <c r="E580" s="2">
        <v>57.97</v>
      </c>
      <c r="F580" s="2">
        <v>92.38</v>
      </c>
    </row>
    <row r="581" spans="1:6" x14ac:dyDescent="0.2">
      <c r="A581" s="2" t="s">
        <v>65</v>
      </c>
      <c r="B581" s="2">
        <v>11</v>
      </c>
      <c r="C581" s="2">
        <v>5</v>
      </c>
      <c r="D581" s="2">
        <v>2020</v>
      </c>
      <c r="E581" s="2">
        <v>51.77</v>
      </c>
      <c r="F581" s="2">
        <v>92.38</v>
      </c>
    </row>
    <row r="582" spans="1:6" x14ac:dyDescent="0.2">
      <c r="A582" s="2" t="s">
        <v>80</v>
      </c>
      <c r="B582" s="2">
        <v>12</v>
      </c>
      <c r="C582" s="2">
        <v>8</v>
      </c>
      <c r="D582" s="2">
        <v>2020</v>
      </c>
      <c r="E582" s="2">
        <v>51.77</v>
      </c>
      <c r="F582" s="2">
        <v>92.38</v>
      </c>
    </row>
    <row r="583" spans="1:6" x14ac:dyDescent="0.2">
      <c r="A583" s="2" t="s">
        <v>44</v>
      </c>
      <c r="B583" s="2">
        <v>1</v>
      </c>
      <c r="C583" s="2">
        <v>4</v>
      </c>
      <c r="D583" s="2">
        <v>2020</v>
      </c>
      <c r="E583" s="2">
        <v>66.599999999999994</v>
      </c>
      <c r="F583" s="2">
        <v>92.1</v>
      </c>
    </row>
    <row r="584" spans="1:6" x14ac:dyDescent="0.2">
      <c r="A584" s="2" t="s">
        <v>78</v>
      </c>
      <c r="B584" s="2">
        <v>18</v>
      </c>
      <c r="C584" s="2">
        <v>3</v>
      </c>
      <c r="D584" s="2">
        <v>2020</v>
      </c>
      <c r="E584" s="2">
        <v>89.59</v>
      </c>
      <c r="F584" s="2">
        <v>92.07</v>
      </c>
    </row>
    <row r="585" spans="1:6" x14ac:dyDescent="0.2">
      <c r="A585" s="2" t="s">
        <v>90</v>
      </c>
      <c r="B585" s="2">
        <v>18</v>
      </c>
      <c r="C585" s="2">
        <v>5</v>
      </c>
      <c r="D585" s="2">
        <v>2020</v>
      </c>
      <c r="E585" s="2">
        <v>61.38</v>
      </c>
      <c r="F585" s="2">
        <v>92.07</v>
      </c>
    </row>
    <row r="586" spans="1:6" x14ac:dyDescent="0.2">
      <c r="A586" s="2" t="s">
        <v>65</v>
      </c>
      <c r="B586" s="2">
        <v>11</v>
      </c>
      <c r="C586" s="2">
        <v>8</v>
      </c>
      <c r="D586" s="2">
        <v>2020</v>
      </c>
      <c r="E586" s="2">
        <v>34.409999999999997</v>
      </c>
      <c r="F586" s="2">
        <v>92.07</v>
      </c>
    </row>
    <row r="587" spans="1:6" x14ac:dyDescent="0.2">
      <c r="A587" s="2" t="s">
        <v>52</v>
      </c>
      <c r="B587" s="2">
        <v>1</v>
      </c>
      <c r="C587" s="2">
        <v>8</v>
      </c>
      <c r="D587" s="2">
        <v>2020</v>
      </c>
      <c r="E587" s="2">
        <v>27.28</v>
      </c>
      <c r="F587" s="2">
        <v>92.07</v>
      </c>
    </row>
    <row r="588" spans="1:6" x14ac:dyDescent="0.2">
      <c r="A588" s="2" t="s">
        <v>93</v>
      </c>
      <c r="B588" s="2">
        <v>3</v>
      </c>
      <c r="C588" s="2">
        <v>8</v>
      </c>
      <c r="D588" s="2">
        <v>2020</v>
      </c>
      <c r="E588" s="2">
        <v>81.53</v>
      </c>
      <c r="F588" s="2">
        <v>91.76</v>
      </c>
    </row>
    <row r="589" spans="1:6" x14ac:dyDescent="0.2">
      <c r="A589" s="2" t="s">
        <v>79</v>
      </c>
      <c r="B589" s="2">
        <v>3</v>
      </c>
      <c r="C589" s="2">
        <v>5</v>
      </c>
      <c r="D589" s="2">
        <v>2020</v>
      </c>
      <c r="E589" s="2">
        <v>58.59</v>
      </c>
      <c r="F589" s="2">
        <v>91.76</v>
      </c>
    </row>
    <row r="590" spans="1:6" x14ac:dyDescent="0.2">
      <c r="A590" s="2" t="s">
        <v>67</v>
      </c>
      <c r="B590" s="2">
        <v>13</v>
      </c>
      <c r="C590" s="2">
        <v>5</v>
      </c>
      <c r="D590" s="2">
        <v>2020</v>
      </c>
      <c r="E590" s="2">
        <v>38.75</v>
      </c>
      <c r="F590" s="2">
        <v>91.76</v>
      </c>
    </row>
    <row r="591" spans="1:6" x14ac:dyDescent="0.2">
      <c r="A591" s="2" t="s">
        <v>96</v>
      </c>
      <c r="B591" s="2">
        <v>3</v>
      </c>
      <c r="C591" s="2">
        <v>5</v>
      </c>
      <c r="D591" s="2">
        <v>2020</v>
      </c>
      <c r="E591" s="1" t="s">
        <v>94</v>
      </c>
      <c r="F591" s="2">
        <v>91.45</v>
      </c>
    </row>
    <row r="592" spans="1:6" x14ac:dyDescent="0.2">
      <c r="A592" s="2" t="s">
        <v>80</v>
      </c>
      <c r="B592" s="2">
        <v>12</v>
      </c>
      <c r="C592" s="2">
        <v>7</v>
      </c>
      <c r="D592" s="2">
        <v>2020</v>
      </c>
      <c r="E592" s="2">
        <v>44.64</v>
      </c>
      <c r="F592" s="2">
        <v>91.45</v>
      </c>
    </row>
    <row r="593" spans="1:6" x14ac:dyDescent="0.2">
      <c r="A593" s="2" t="s">
        <v>93</v>
      </c>
      <c r="B593" s="2">
        <v>3</v>
      </c>
      <c r="C593" s="2">
        <v>11</v>
      </c>
      <c r="D593" s="2">
        <v>2020</v>
      </c>
      <c r="E593" s="2">
        <v>140.4</v>
      </c>
      <c r="F593" s="2">
        <v>91.2</v>
      </c>
    </row>
    <row r="594" spans="1:6" x14ac:dyDescent="0.2">
      <c r="A594" s="2" t="s">
        <v>84</v>
      </c>
      <c r="B594" s="2">
        <v>20</v>
      </c>
      <c r="C594" s="2">
        <v>9</v>
      </c>
      <c r="D594" s="2">
        <v>2020</v>
      </c>
      <c r="E594" s="2">
        <v>65.400000000000006</v>
      </c>
      <c r="F594" s="2">
        <v>91.2</v>
      </c>
    </row>
    <row r="595" spans="1:6" x14ac:dyDescent="0.2">
      <c r="A595" s="2" t="s">
        <v>72</v>
      </c>
      <c r="B595" s="2">
        <v>22</v>
      </c>
      <c r="C595" s="2">
        <v>9</v>
      </c>
      <c r="D595" s="2">
        <v>2020</v>
      </c>
      <c r="E595" s="2">
        <v>58.2</v>
      </c>
      <c r="F595" s="2">
        <v>91.2</v>
      </c>
    </row>
    <row r="596" spans="1:6" x14ac:dyDescent="0.2">
      <c r="A596" s="2" t="s">
        <v>43</v>
      </c>
      <c r="B596" s="2">
        <v>15</v>
      </c>
      <c r="C596" s="2">
        <v>9</v>
      </c>
      <c r="D596" s="2">
        <v>2020</v>
      </c>
      <c r="E596" s="2">
        <v>36.6</v>
      </c>
      <c r="F596" s="2">
        <v>91.2</v>
      </c>
    </row>
    <row r="597" spans="1:6" x14ac:dyDescent="0.2">
      <c r="A597" s="2" t="s">
        <v>3</v>
      </c>
      <c r="B597" s="2">
        <v>25</v>
      </c>
      <c r="C597" s="2">
        <v>6</v>
      </c>
      <c r="D597" s="2">
        <v>2020</v>
      </c>
      <c r="E597" s="2">
        <v>0</v>
      </c>
      <c r="F597" s="2">
        <v>91.2</v>
      </c>
    </row>
    <row r="598" spans="1:6" x14ac:dyDescent="0.2">
      <c r="A598" s="2" t="s">
        <v>96</v>
      </c>
      <c r="B598" s="2">
        <v>3</v>
      </c>
      <c r="C598" s="2">
        <v>10</v>
      </c>
      <c r="D598" s="2">
        <v>2020</v>
      </c>
      <c r="E598" s="1" t="s">
        <v>94</v>
      </c>
      <c r="F598" s="2">
        <v>91.14</v>
      </c>
    </row>
    <row r="599" spans="1:6" x14ac:dyDescent="0.2">
      <c r="A599" s="2" t="s">
        <v>53</v>
      </c>
      <c r="B599" s="2">
        <v>18</v>
      </c>
      <c r="C599" s="2">
        <v>7</v>
      </c>
      <c r="D599" s="2">
        <v>2020</v>
      </c>
      <c r="E599" s="2">
        <v>35.65</v>
      </c>
      <c r="F599" s="2">
        <v>91.14</v>
      </c>
    </row>
    <row r="600" spans="1:6" x14ac:dyDescent="0.2">
      <c r="A600" s="2" t="s">
        <v>70</v>
      </c>
      <c r="B600" s="2">
        <v>16</v>
      </c>
      <c r="C600" s="2">
        <v>1</v>
      </c>
      <c r="D600" s="2">
        <v>2020</v>
      </c>
      <c r="E600" s="2">
        <v>115.01</v>
      </c>
      <c r="F600" s="2">
        <v>90.83</v>
      </c>
    </row>
    <row r="601" spans="1:6" x14ac:dyDescent="0.2">
      <c r="A601" s="2" t="s">
        <v>68</v>
      </c>
      <c r="B601" s="2">
        <v>11</v>
      </c>
      <c r="C601" s="2">
        <v>8</v>
      </c>
      <c r="D601" s="2">
        <v>2020</v>
      </c>
      <c r="E601" s="2">
        <v>42.78</v>
      </c>
      <c r="F601" s="2">
        <v>90.83</v>
      </c>
    </row>
    <row r="602" spans="1:6" x14ac:dyDescent="0.2">
      <c r="A602" s="2" t="s">
        <v>60</v>
      </c>
      <c r="B602" s="2">
        <v>20</v>
      </c>
      <c r="C602" s="2">
        <v>7</v>
      </c>
      <c r="D602" s="2">
        <v>2020</v>
      </c>
      <c r="E602" s="2">
        <v>33.479999999999997</v>
      </c>
      <c r="F602" s="2">
        <v>90.83</v>
      </c>
    </row>
    <row r="603" spans="1:6" x14ac:dyDescent="0.2">
      <c r="A603" s="2" t="s">
        <v>41</v>
      </c>
      <c r="B603" s="2">
        <v>15</v>
      </c>
      <c r="C603" s="2">
        <v>8</v>
      </c>
      <c r="D603" s="2">
        <v>2020</v>
      </c>
      <c r="E603" s="2">
        <v>31.93</v>
      </c>
      <c r="F603" s="2">
        <v>90.83</v>
      </c>
    </row>
    <row r="604" spans="1:6" x14ac:dyDescent="0.2">
      <c r="A604" s="2" t="s">
        <v>41</v>
      </c>
      <c r="B604" s="2">
        <v>15</v>
      </c>
      <c r="C604" s="2">
        <v>2</v>
      </c>
      <c r="D604" s="2">
        <v>2020</v>
      </c>
      <c r="E604" s="2">
        <v>93.8</v>
      </c>
      <c r="F604" s="2">
        <v>90.72</v>
      </c>
    </row>
    <row r="605" spans="1:6" x14ac:dyDescent="0.2">
      <c r="A605" s="2" t="s">
        <v>41</v>
      </c>
      <c r="B605" s="2">
        <v>15</v>
      </c>
      <c r="C605" s="2">
        <v>4</v>
      </c>
      <c r="D605" s="2">
        <v>2020</v>
      </c>
      <c r="E605" s="2">
        <v>61.2</v>
      </c>
      <c r="F605" s="2">
        <v>90.6</v>
      </c>
    </row>
    <row r="606" spans="1:6" x14ac:dyDescent="0.2">
      <c r="A606" s="2" t="s">
        <v>57</v>
      </c>
      <c r="B606" s="2">
        <v>17</v>
      </c>
      <c r="C606" s="2">
        <v>12</v>
      </c>
      <c r="D606" s="2">
        <v>2020</v>
      </c>
      <c r="E606" s="2">
        <v>117.18</v>
      </c>
      <c r="F606" s="2">
        <v>90.52</v>
      </c>
    </row>
    <row r="607" spans="1:6" x14ac:dyDescent="0.2">
      <c r="A607" s="2" t="s">
        <v>60</v>
      </c>
      <c r="B607" s="2">
        <v>20</v>
      </c>
      <c r="C607" s="2">
        <v>5</v>
      </c>
      <c r="D607" s="2">
        <v>2020</v>
      </c>
      <c r="E607" s="2">
        <v>46.5</v>
      </c>
      <c r="F607" s="2">
        <v>90.52</v>
      </c>
    </row>
    <row r="608" spans="1:6" x14ac:dyDescent="0.2">
      <c r="A608" s="2" t="s">
        <v>90</v>
      </c>
      <c r="B608" s="2">
        <v>18</v>
      </c>
      <c r="C608" s="2">
        <v>2</v>
      </c>
      <c r="D608" s="2">
        <v>2020</v>
      </c>
      <c r="E608" s="2">
        <v>122.08</v>
      </c>
      <c r="F608" s="2">
        <v>90.44</v>
      </c>
    </row>
    <row r="609" spans="1:6" x14ac:dyDescent="0.2">
      <c r="A609" s="2" t="s">
        <v>71</v>
      </c>
      <c r="B609" s="2">
        <v>21</v>
      </c>
      <c r="C609" s="2">
        <v>2</v>
      </c>
      <c r="D609" s="2">
        <v>2020</v>
      </c>
      <c r="E609" s="2">
        <v>110.32</v>
      </c>
      <c r="F609" s="2">
        <v>90.44</v>
      </c>
    </row>
    <row r="610" spans="1:6" x14ac:dyDescent="0.2">
      <c r="A610" s="2" t="s">
        <v>96</v>
      </c>
      <c r="B610" s="2">
        <v>3</v>
      </c>
      <c r="C610" s="2">
        <v>11</v>
      </c>
      <c r="D610" s="2">
        <v>2020</v>
      </c>
      <c r="E610" s="1" t="s">
        <v>94</v>
      </c>
      <c r="F610" s="2">
        <v>90</v>
      </c>
    </row>
    <row r="611" spans="1:6" x14ac:dyDescent="0.2">
      <c r="A611" s="2" t="s">
        <v>63</v>
      </c>
      <c r="B611" s="2">
        <v>25</v>
      </c>
      <c r="C611" s="2">
        <v>1</v>
      </c>
      <c r="D611" s="2">
        <v>2020</v>
      </c>
      <c r="E611" s="2">
        <v>123.07</v>
      </c>
      <c r="F611" s="2">
        <v>89.9</v>
      </c>
    </row>
    <row r="612" spans="1:6" x14ac:dyDescent="0.2">
      <c r="A612" s="2" t="s">
        <v>60</v>
      </c>
      <c r="B612" s="2">
        <v>20</v>
      </c>
      <c r="C612" s="2">
        <v>12</v>
      </c>
      <c r="D612" s="2">
        <v>2020</v>
      </c>
      <c r="E612" s="2">
        <v>119.66</v>
      </c>
      <c r="F612" s="2">
        <v>89.9</v>
      </c>
    </row>
    <row r="613" spans="1:6" x14ac:dyDescent="0.2">
      <c r="A613" s="2" t="s">
        <v>80</v>
      </c>
      <c r="B613" s="2">
        <v>12</v>
      </c>
      <c r="C613" s="2">
        <v>10</v>
      </c>
      <c r="D613" s="2">
        <v>2020</v>
      </c>
      <c r="E613" s="2">
        <v>84.01</v>
      </c>
      <c r="F613" s="2">
        <v>89.9</v>
      </c>
    </row>
    <row r="614" spans="1:6" x14ac:dyDescent="0.2">
      <c r="A614" s="2" t="s">
        <v>53</v>
      </c>
      <c r="B614" s="2">
        <v>18</v>
      </c>
      <c r="C614" s="2">
        <v>3</v>
      </c>
      <c r="D614" s="2">
        <v>2020</v>
      </c>
      <c r="E614" s="2">
        <v>76.569999999999993</v>
      </c>
      <c r="F614" s="2">
        <v>89.9</v>
      </c>
    </row>
    <row r="615" spans="1:6" x14ac:dyDescent="0.2">
      <c r="A615" s="2" t="s">
        <v>60</v>
      </c>
      <c r="B615" s="2">
        <v>20</v>
      </c>
      <c r="C615" s="2">
        <v>6</v>
      </c>
      <c r="D615" s="2">
        <v>2020</v>
      </c>
      <c r="E615" s="2">
        <v>39.6</v>
      </c>
      <c r="F615" s="2">
        <v>89.7</v>
      </c>
    </row>
    <row r="616" spans="1:6" x14ac:dyDescent="0.2">
      <c r="A616" s="2" t="s">
        <v>92</v>
      </c>
      <c r="B616" s="2">
        <v>7</v>
      </c>
      <c r="C616" s="2">
        <v>6</v>
      </c>
      <c r="D616" s="2">
        <v>2020</v>
      </c>
      <c r="E616" s="2">
        <v>70.8</v>
      </c>
      <c r="F616" s="2">
        <v>89.4</v>
      </c>
    </row>
    <row r="617" spans="1:6" x14ac:dyDescent="0.2">
      <c r="A617" s="2" t="s">
        <v>43</v>
      </c>
      <c r="B617" s="2">
        <v>15</v>
      </c>
      <c r="C617" s="2">
        <v>4</v>
      </c>
      <c r="D617" s="2">
        <v>2020</v>
      </c>
      <c r="E617" s="2">
        <v>65.099999999999994</v>
      </c>
      <c r="F617" s="2">
        <v>89.4</v>
      </c>
    </row>
    <row r="618" spans="1:6" x14ac:dyDescent="0.2">
      <c r="A618" s="2" t="s">
        <v>73</v>
      </c>
      <c r="B618" s="2">
        <v>5</v>
      </c>
      <c r="C618" s="2">
        <v>8</v>
      </c>
      <c r="D618" s="2">
        <v>2020</v>
      </c>
      <c r="E618" s="2">
        <v>46.19</v>
      </c>
      <c r="F618" s="2">
        <v>89.28</v>
      </c>
    </row>
    <row r="619" spans="1:6" x14ac:dyDescent="0.2">
      <c r="A619" s="2" t="s">
        <v>87</v>
      </c>
      <c r="B619" s="2">
        <v>1</v>
      </c>
      <c r="C619" s="2">
        <v>11</v>
      </c>
      <c r="D619" s="2">
        <v>2020</v>
      </c>
      <c r="E619" s="2">
        <v>124.8</v>
      </c>
      <c r="F619" s="2">
        <v>89.1</v>
      </c>
    </row>
    <row r="620" spans="1:6" x14ac:dyDescent="0.2">
      <c r="A620" s="2" t="s">
        <v>80</v>
      </c>
      <c r="B620" s="2">
        <v>12</v>
      </c>
      <c r="C620" s="2">
        <v>11</v>
      </c>
      <c r="D620" s="2">
        <v>2020</v>
      </c>
      <c r="E620" s="2">
        <v>113.7</v>
      </c>
      <c r="F620" s="2">
        <v>89.1</v>
      </c>
    </row>
    <row r="621" spans="1:6" x14ac:dyDescent="0.2">
      <c r="A621" s="2" t="s">
        <v>65</v>
      </c>
      <c r="B621" s="2">
        <v>11</v>
      </c>
      <c r="C621" s="2">
        <v>11</v>
      </c>
      <c r="D621" s="2">
        <v>2020</v>
      </c>
      <c r="E621" s="2">
        <v>98.1</v>
      </c>
      <c r="F621" s="2">
        <v>89.1</v>
      </c>
    </row>
    <row r="622" spans="1:6" x14ac:dyDescent="0.2">
      <c r="A622" s="2" t="s">
        <v>59</v>
      </c>
      <c r="B622" s="2">
        <v>11</v>
      </c>
      <c r="C622" s="2">
        <v>10</v>
      </c>
      <c r="D622" s="2">
        <v>2020</v>
      </c>
      <c r="E622" s="2">
        <v>64.790000000000006</v>
      </c>
      <c r="F622" s="2">
        <v>88.97</v>
      </c>
    </row>
    <row r="623" spans="1:6" x14ac:dyDescent="0.2">
      <c r="A623" s="2" t="s">
        <v>67</v>
      </c>
      <c r="B623" s="2">
        <v>13</v>
      </c>
      <c r="C623" s="2">
        <v>10</v>
      </c>
      <c r="D623" s="2">
        <v>2020</v>
      </c>
      <c r="E623" s="2">
        <v>64.48</v>
      </c>
      <c r="F623" s="2">
        <v>88.97</v>
      </c>
    </row>
    <row r="624" spans="1:6" x14ac:dyDescent="0.2">
      <c r="A624" s="2" t="s">
        <v>65</v>
      </c>
      <c r="B624" s="2">
        <v>11</v>
      </c>
      <c r="C624" s="2">
        <v>7</v>
      </c>
      <c r="D624" s="2">
        <v>2020</v>
      </c>
      <c r="E624" s="2">
        <v>35.340000000000003</v>
      </c>
      <c r="F624" s="2">
        <v>88.97</v>
      </c>
    </row>
    <row r="625" spans="1:6" x14ac:dyDescent="0.2">
      <c r="A625" s="2" t="s">
        <v>73</v>
      </c>
      <c r="B625" s="2">
        <v>5</v>
      </c>
      <c r="C625" s="2">
        <v>11</v>
      </c>
      <c r="D625" s="2">
        <v>2020</v>
      </c>
      <c r="E625" s="2">
        <v>116.7</v>
      </c>
      <c r="F625" s="2">
        <v>88.8</v>
      </c>
    </row>
    <row r="626" spans="1:6" x14ac:dyDescent="0.2">
      <c r="A626" s="2" t="s">
        <v>55</v>
      </c>
      <c r="B626" s="2">
        <v>18</v>
      </c>
      <c r="C626" s="2">
        <v>11</v>
      </c>
      <c r="D626" s="2">
        <v>2020</v>
      </c>
      <c r="E626" s="2">
        <v>107.4</v>
      </c>
      <c r="F626" s="2">
        <v>88.8</v>
      </c>
    </row>
    <row r="627" spans="1:6" x14ac:dyDescent="0.2">
      <c r="A627" s="2" t="s">
        <v>73</v>
      </c>
      <c r="B627" s="2">
        <v>5</v>
      </c>
      <c r="C627" s="2">
        <v>6</v>
      </c>
      <c r="D627" s="2">
        <v>2020</v>
      </c>
      <c r="E627" s="2">
        <v>38.4</v>
      </c>
      <c r="F627" s="2">
        <v>88.8</v>
      </c>
    </row>
    <row r="628" spans="1:6" x14ac:dyDescent="0.2">
      <c r="A628" s="2" t="s">
        <v>53</v>
      </c>
      <c r="B628" s="2">
        <v>18</v>
      </c>
      <c r="C628" s="2">
        <v>12</v>
      </c>
      <c r="D628" s="2">
        <v>2020</v>
      </c>
      <c r="E628" s="2">
        <v>124.93</v>
      </c>
      <c r="F628" s="2">
        <v>88.66</v>
      </c>
    </row>
    <row r="629" spans="1:6" x14ac:dyDescent="0.2">
      <c r="A629" s="2" t="s">
        <v>40</v>
      </c>
      <c r="B629" s="2">
        <v>15</v>
      </c>
      <c r="C629" s="2">
        <v>1</v>
      </c>
      <c r="D629" s="2">
        <v>2020</v>
      </c>
      <c r="E629" s="2">
        <v>106.02</v>
      </c>
      <c r="F629" s="2">
        <v>88.66</v>
      </c>
    </row>
    <row r="630" spans="1:6" x14ac:dyDescent="0.2">
      <c r="A630" s="2" t="s">
        <v>87</v>
      </c>
      <c r="B630" s="2">
        <v>1</v>
      </c>
      <c r="C630" s="2">
        <v>12</v>
      </c>
      <c r="D630" s="2">
        <v>2020</v>
      </c>
      <c r="E630" s="2">
        <v>135.78</v>
      </c>
      <c r="F630" s="2">
        <v>88.35</v>
      </c>
    </row>
    <row r="631" spans="1:6" x14ac:dyDescent="0.2">
      <c r="A631" s="2" t="s">
        <v>65</v>
      </c>
      <c r="B631" s="2">
        <v>11</v>
      </c>
      <c r="C631" s="2">
        <v>3</v>
      </c>
      <c r="D631" s="2">
        <v>2020</v>
      </c>
      <c r="E631" s="2">
        <v>77.19</v>
      </c>
      <c r="F631" s="2">
        <v>88.35</v>
      </c>
    </row>
    <row r="632" spans="1:6" x14ac:dyDescent="0.2">
      <c r="A632" s="2" t="s">
        <v>87</v>
      </c>
      <c r="B632" s="2">
        <v>1</v>
      </c>
      <c r="C632" s="2">
        <v>7</v>
      </c>
      <c r="D632" s="2">
        <v>2020</v>
      </c>
      <c r="E632" s="2">
        <v>49.6</v>
      </c>
      <c r="F632" s="2">
        <v>88.35</v>
      </c>
    </row>
    <row r="633" spans="1:6" x14ac:dyDescent="0.2">
      <c r="A633" s="2" t="s">
        <v>85</v>
      </c>
      <c r="B633" s="2">
        <v>3</v>
      </c>
      <c r="C633" s="2">
        <v>7</v>
      </c>
      <c r="D633" s="2">
        <v>2020</v>
      </c>
      <c r="E633" s="2">
        <v>49.6</v>
      </c>
      <c r="F633" s="2">
        <v>88.35</v>
      </c>
    </row>
    <row r="634" spans="1:6" x14ac:dyDescent="0.2">
      <c r="A634" s="2" t="s">
        <v>87</v>
      </c>
      <c r="B634" s="2">
        <v>1</v>
      </c>
      <c r="C634" s="2">
        <v>4</v>
      </c>
      <c r="D634" s="2">
        <v>2020</v>
      </c>
      <c r="E634" s="2">
        <v>84.3</v>
      </c>
      <c r="F634" s="2">
        <v>88.2</v>
      </c>
    </row>
    <row r="635" spans="1:6" x14ac:dyDescent="0.2">
      <c r="A635" s="2" t="s">
        <v>90</v>
      </c>
      <c r="B635" s="2">
        <v>18</v>
      </c>
      <c r="C635" s="2">
        <v>6</v>
      </c>
      <c r="D635" s="2">
        <v>2020</v>
      </c>
      <c r="E635" s="2">
        <v>58.2</v>
      </c>
      <c r="F635" s="2">
        <v>88.2</v>
      </c>
    </row>
    <row r="636" spans="1:6" x14ac:dyDescent="0.2">
      <c r="A636" s="2" t="s">
        <v>61</v>
      </c>
      <c r="B636" s="2">
        <v>23</v>
      </c>
      <c r="C636" s="2">
        <v>6</v>
      </c>
      <c r="D636" s="2">
        <v>2020</v>
      </c>
      <c r="E636" s="2">
        <v>41.7</v>
      </c>
      <c r="F636" s="2">
        <v>88.2</v>
      </c>
    </row>
    <row r="637" spans="1:6" x14ac:dyDescent="0.2">
      <c r="A637" s="2" t="s">
        <v>96</v>
      </c>
      <c r="B637" s="2">
        <v>3</v>
      </c>
      <c r="C637" s="2">
        <v>3</v>
      </c>
      <c r="D637" s="2">
        <v>2020</v>
      </c>
      <c r="E637" s="1" t="s">
        <v>94</v>
      </c>
      <c r="F637" s="2">
        <v>88.04</v>
      </c>
    </row>
    <row r="638" spans="1:6" x14ac:dyDescent="0.2">
      <c r="A638" s="2" t="s">
        <v>84</v>
      </c>
      <c r="B638" s="2">
        <v>20</v>
      </c>
      <c r="C638" s="2">
        <v>12</v>
      </c>
      <c r="D638" s="2">
        <v>2020</v>
      </c>
      <c r="E638" s="2">
        <v>135.16</v>
      </c>
      <c r="F638" s="2">
        <v>88.04</v>
      </c>
    </row>
    <row r="639" spans="1:6" x14ac:dyDescent="0.2">
      <c r="A639" s="2" t="s">
        <v>66</v>
      </c>
      <c r="B639" s="2">
        <v>23</v>
      </c>
      <c r="C639" s="2">
        <v>12</v>
      </c>
      <c r="D639" s="2">
        <v>2020</v>
      </c>
      <c r="E639" s="2">
        <v>115.63</v>
      </c>
      <c r="F639" s="2">
        <v>88.04</v>
      </c>
    </row>
    <row r="640" spans="1:6" x14ac:dyDescent="0.2">
      <c r="A640" s="2" t="s">
        <v>68</v>
      </c>
      <c r="B640" s="2">
        <v>11</v>
      </c>
      <c r="C640" s="2">
        <v>1</v>
      </c>
      <c r="D640" s="2">
        <v>2020</v>
      </c>
      <c r="E640" s="2">
        <v>106.95</v>
      </c>
      <c r="F640" s="2">
        <v>88.04</v>
      </c>
    </row>
    <row r="641" spans="1:6" x14ac:dyDescent="0.2">
      <c r="A641" s="2" t="s">
        <v>63</v>
      </c>
      <c r="B641" s="2">
        <v>25</v>
      </c>
      <c r="C641" s="2">
        <v>10</v>
      </c>
      <c r="D641" s="2">
        <v>2020</v>
      </c>
      <c r="E641" s="2">
        <v>65.099999999999994</v>
      </c>
      <c r="F641" s="2">
        <v>88.04</v>
      </c>
    </row>
    <row r="642" spans="1:6" x14ac:dyDescent="0.2">
      <c r="A642" s="2" t="s">
        <v>53</v>
      </c>
      <c r="B642" s="2">
        <v>18</v>
      </c>
      <c r="C642" s="2">
        <v>9</v>
      </c>
      <c r="D642" s="2">
        <v>2020</v>
      </c>
      <c r="E642" s="2">
        <v>47.1</v>
      </c>
      <c r="F642" s="2">
        <v>87.9</v>
      </c>
    </row>
    <row r="643" spans="1:6" x14ac:dyDescent="0.2">
      <c r="A643" s="2" t="s">
        <v>68</v>
      </c>
      <c r="B643" s="2">
        <v>11</v>
      </c>
      <c r="C643" s="2">
        <v>6</v>
      </c>
      <c r="D643" s="2">
        <v>2020</v>
      </c>
      <c r="E643" s="2">
        <v>46.8</v>
      </c>
      <c r="F643" s="2">
        <v>87.9</v>
      </c>
    </row>
    <row r="644" spans="1:6" x14ac:dyDescent="0.2">
      <c r="A644" s="2" t="s">
        <v>93</v>
      </c>
      <c r="B644" s="2">
        <v>3</v>
      </c>
      <c r="C644" s="2">
        <v>1</v>
      </c>
      <c r="D644" s="2">
        <v>2020</v>
      </c>
      <c r="E644" s="2">
        <v>177.01</v>
      </c>
      <c r="F644" s="2">
        <v>87.73</v>
      </c>
    </row>
    <row r="645" spans="1:6" x14ac:dyDescent="0.2">
      <c r="A645" s="2" t="s">
        <v>85</v>
      </c>
      <c r="B645" s="2">
        <v>3</v>
      </c>
      <c r="C645" s="2">
        <v>3</v>
      </c>
      <c r="D645" s="2">
        <v>2020</v>
      </c>
      <c r="E645" s="2">
        <v>83.08</v>
      </c>
      <c r="F645" s="2">
        <v>87.73</v>
      </c>
    </row>
    <row r="646" spans="1:6" x14ac:dyDescent="0.2">
      <c r="A646" s="2" t="s">
        <v>81</v>
      </c>
      <c r="B646" s="2">
        <v>19</v>
      </c>
      <c r="C646" s="2">
        <v>3</v>
      </c>
      <c r="D646" s="2">
        <v>2020</v>
      </c>
      <c r="E646" s="2">
        <v>74.400000000000006</v>
      </c>
      <c r="F646" s="2">
        <v>87.73</v>
      </c>
    </row>
    <row r="647" spans="1:6" x14ac:dyDescent="0.2">
      <c r="A647" s="2" t="s">
        <v>86</v>
      </c>
      <c r="B647" s="2">
        <v>6</v>
      </c>
      <c r="C647" s="2">
        <v>2</v>
      </c>
      <c r="D647" s="2">
        <v>2020</v>
      </c>
      <c r="E647" s="2">
        <v>123.2</v>
      </c>
      <c r="F647" s="2">
        <v>87.64</v>
      </c>
    </row>
    <row r="648" spans="1:6" x14ac:dyDescent="0.2">
      <c r="A648" s="2" t="s">
        <v>1</v>
      </c>
      <c r="B648" s="2">
        <v>21</v>
      </c>
      <c r="C648" s="2">
        <v>6</v>
      </c>
      <c r="D648" s="2">
        <v>2020</v>
      </c>
      <c r="E648" s="1" t="s">
        <v>94</v>
      </c>
      <c r="F648" s="2">
        <v>87.6</v>
      </c>
    </row>
    <row r="649" spans="1:6" x14ac:dyDescent="0.2">
      <c r="A649" s="2" t="s">
        <v>86</v>
      </c>
      <c r="B649" s="2">
        <v>6</v>
      </c>
      <c r="C649" s="2">
        <v>11</v>
      </c>
      <c r="D649" s="2">
        <v>2020</v>
      </c>
      <c r="E649" s="2">
        <v>121.5</v>
      </c>
      <c r="F649" s="2">
        <v>87.6</v>
      </c>
    </row>
    <row r="650" spans="1:6" x14ac:dyDescent="0.2">
      <c r="A650" s="2" t="s">
        <v>59</v>
      </c>
      <c r="B650" s="2">
        <v>11</v>
      </c>
      <c r="C650" s="2">
        <v>11</v>
      </c>
      <c r="D650" s="2">
        <v>2020</v>
      </c>
      <c r="E650" s="2">
        <v>95.7</v>
      </c>
      <c r="F650" s="2">
        <v>87.6</v>
      </c>
    </row>
    <row r="651" spans="1:6" x14ac:dyDescent="0.2">
      <c r="A651" s="2" t="s">
        <v>74</v>
      </c>
      <c r="B651" s="2">
        <v>5</v>
      </c>
      <c r="C651" s="2">
        <v>12</v>
      </c>
      <c r="D651" s="2">
        <v>2020</v>
      </c>
      <c r="E651" s="2">
        <v>130.82</v>
      </c>
      <c r="F651" s="2">
        <v>87.42</v>
      </c>
    </row>
    <row r="652" spans="1:6" x14ac:dyDescent="0.2">
      <c r="A652" s="2" t="s">
        <v>81</v>
      </c>
      <c r="B652" s="2">
        <v>19</v>
      </c>
      <c r="C652" s="2">
        <v>1</v>
      </c>
      <c r="D652" s="2">
        <v>2020</v>
      </c>
      <c r="E652" s="2">
        <v>119.35</v>
      </c>
      <c r="F652" s="2">
        <v>87.42</v>
      </c>
    </row>
    <row r="653" spans="1:6" x14ac:dyDescent="0.2">
      <c r="A653" s="2" t="s">
        <v>57</v>
      </c>
      <c r="B653" s="2">
        <v>17</v>
      </c>
      <c r="C653" s="2">
        <v>10</v>
      </c>
      <c r="D653" s="2">
        <v>2020</v>
      </c>
      <c r="E653" s="2">
        <v>68.819999999999993</v>
      </c>
      <c r="F653" s="2">
        <v>87.42</v>
      </c>
    </row>
    <row r="654" spans="1:6" x14ac:dyDescent="0.2">
      <c r="A654" s="2" t="s">
        <v>62</v>
      </c>
      <c r="B654" s="2">
        <v>1</v>
      </c>
      <c r="C654" s="2">
        <v>5</v>
      </c>
      <c r="D654" s="2">
        <v>2020</v>
      </c>
      <c r="E654" s="2">
        <v>53.01</v>
      </c>
      <c r="F654" s="2">
        <v>87.42</v>
      </c>
    </row>
    <row r="655" spans="1:6" x14ac:dyDescent="0.2">
      <c r="A655" s="2" t="s">
        <v>43</v>
      </c>
      <c r="B655" s="2">
        <v>15</v>
      </c>
      <c r="C655" s="2">
        <v>7</v>
      </c>
      <c r="D655" s="2">
        <v>2020</v>
      </c>
      <c r="E655" s="2">
        <v>22.63</v>
      </c>
      <c r="F655" s="2">
        <v>87.42</v>
      </c>
    </row>
    <row r="656" spans="1:6" x14ac:dyDescent="0.2">
      <c r="A656" s="2" t="s">
        <v>96</v>
      </c>
      <c r="B656" s="2">
        <v>3</v>
      </c>
      <c r="C656" s="2">
        <v>9</v>
      </c>
      <c r="D656" s="2">
        <v>2020</v>
      </c>
      <c r="E656" s="1" t="s">
        <v>94</v>
      </c>
      <c r="F656" s="2">
        <v>87.3</v>
      </c>
    </row>
    <row r="657" spans="1:6" x14ac:dyDescent="0.2">
      <c r="A657" s="2" t="s">
        <v>63</v>
      </c>
      <c r="B657" s="2">
        <v>25</v>
      </c>
      <c r="C657" s="2">
        <v>11</v>
      </c>
      <c r="D657" s="2">
        <v>2020</v>
      </c>
      <c r="E657" s="2">
        <v>97.5</v>
      </c>
      <c r="F657" s="2">
        <v>87.3</v>
      </c>
    </row>
    <row r="658" spans="1:6" x14ac:dyDescent="0.2">
      <c r="A658" s="2" t="s">
        <v>65</v>
      </c>
      <c r="B658" s="2">
        <v>11</v>
      </c>
      <c r="C658" s="2">
        <v>12</v>
      </c>
      <c r="D658" s="2">
        <v>2020</v>
      </c>
      <c r="E658" s="2">
        <v>119.35</v>
      </c>
      <c r="F658" s="2">
        <v>87.11</v>
      </c>
    </row>
    <row r="659" spans="1:6" x14ac:dyDescent="0.2">
      <c r="A659" s="2" t="s">
        <v>54</v>
      </c>
      <c r="B659" s="2">
        <v>5</v>
      </c>
      <c r="C659" s="2">
        <v>12</v>
      </c>
      <c r="D659" s="2">
        <v>2020</v>
      </c>
      <c r="E659" s="2">
        <v>100.44</v>
      </c>
      <c r="F659" s="2">
        <v>87.11</v>
      </c>
    </row>
    <row r="660" spans="1:6" x14ac:dyDescent="0.2">
      <c r="A660" s="2" t="s">
        <v>72</v>
      </c>
      <c r="B660" s="2">
        <v>22</v>
      </c>
      <c r="C660" s="2">
        <v>8</v>
      </c>
      <c r="D660" s="2">
        <v>2020</v>
      </c>
      <c r="E660" s="2">
        <v>48.67</v>
      </c>
      <c r="F660" s="2">
        <v>87.11</v>
      </c>
    </row>
    <row r="661" spans="1:6" x14ac:dyDescent="0.2">
      <c r="A661" s="2" t="s">
        <v>40</v>
      </c>
      <c r="B661" s="2">
        <v>15</v>
      </c>
      <c r="C661" s="2">
        <v>4</v>
      </c>
      <c r="D661" s="2">
        <v>2020</v>
      </c>
      <c r="E661" s="2">
        <v>52.8</v>
      </c>
      <c r="F661" s="2">
        <v>87</v>
      </c>
    </row>
    <row r="662" spans="1:6" x14ac:dyDescent="0.2">
      <c r="A662" s="2" t="s">
        <v>43</v>
      </c>
      <c r="B662" s="2">
        <v>15</v>
      </c>
      <c r="C662" s="2">
        <v>6</v>
      </c>
      <c r="D662" s="2">
        <v>2020</v>
      </c>
      <c r="E662" s="2">
        <v>24.9</v>
      </c>
      <c r="F662" s="2">
        <v>87</v>
      </c>
    </row>
    <row r="663" spans="1:6" x14ac:dyDescent="0.2">
      <c r="A663" s="2" t="s">
        <v>70</v>
      </c>
      <c r="B663" s="2">
        <v>16</v>
      </c>
      <c r="C663" s="2">
        <v>7</v>
      </c>
      <c r="D663" s="2">
        <v>2020</v>
      </c>
      <c r="E663" s="2">
        <v>46.19</v>
      </c>
      <c r="F663" s="2">
        <v>86.8</v>
      </c>
    </row>
    <row r="664" spans="1:6" x14ac:dyDescent="0.2">
      <c r="A664" s="2" t="s">
        <v>55</v>
      </c>
      <c r="B664" s="2">
        <v>18</v>
      </c>
      <c r="C664" s="2">
        <v>5</v>
      </c>
      <c r="D664" s="2">
        <v>2020</v>
      </c>
      <c r="E664" s="2">
        <v>36.58</v>
      </c>
      <c r="F664" s="2">
        <v>86.8</v>
      </c>
    </row>
    <row r="665" spans="1:6" x14ac:dyDescent="0.2">
      <c r="A665" s="2" t="s">
        <v>82</v>
      </c>
      <c r="B665" s="2">
        <v>8</v>
      </c>
      <c r="C665" s="2">
        <v>10</v>
      </c>
      <c r="D665" s="2">
        <v>2020</v>
      </c>
      <c r="E665" s="2">
        <v>94.24</v>
      </c>
      <c r="F665" s="2">
        <v>86.49</v>
      </c>
    </row>
    <row r="666" spans="1:6" x14ac:dyDescent="0.2">
      <c r="A666" s="2" t="s">
        <v>58</v>
      </c>
      <c r="B666" s="2">
        <v>16</v>
      </c>
      <c r="C666" s="2">
        <v>10</v>
      </c>
      <c r="D666" s="2">
        <v>2020</v>
      </c>
      <c r="E666" s="2">
        <v>80.599999999999994</v>
      </c>
      <c r="F666" s="2">
        <v>86.49</v>
      </c>
    </row>
    <row r="667" spans="1:6" x14ac:dyDescent="0.2">
      <c r="A667" s="2" t="s">
        <v>69</v>
      </c>
      <c r="B667" s="2">
        <v>12</v>
      </c>
      <c r="C667" s="2">
        <v>10</v>
      </c>
      <c r="D667" s="2">
        <v>2020</v>
      </c>
      <c r="E667" s="2">
        <v>70.680000000000007</v>
      </c>
      <c r="F667" s="2">
        <v>86.49</v>
      </c>
    </row>
    <row r="668" spans="1:6" x14ac:dyDescent="0.2">
      <c r="A668" s="2" t="s">
        <v>67</v>
      </c>
      <c r="B668" s="2">
        <v>13</v>
      </c>
      <c r="C668" s="2">
        <v>3</v>
      </c>
      <c r="D668" s="2">
        <v>2020</v>
      </c>
      <c r="E668" s="2">
        <v>69.44</v>
      </c>
      <c r="F668" s="2">
        <v>86.49</v>
      </c>
    </row>
    <row r="669" spans="1:6" x14ac:dyDescent="0.2">
      <c r="A669" s="2" t="s">
        <v>52</v>
      </c>
      <c r="B669" s="2">
        <v>1</v>
      </c>
      <c r="C669" s="2">
        <v>5</v>
      </c>
      <c r="D669" s="2">
        <v>2020</v>
      </c>
      <c r="E669" s="2">
        <v>40.61</v>
      </c>
      <c r="F669" s="2">
        <v>86.49</v>
      </c>
    </row>
    <row r="670" spans="1:6" x14ac:dyDescent="0.2">
      <c r="A670" s="2" t="s">
        <v>69</v>
      </c>
      <c r="B670" s="2">
        <v>12</v>
      </c>
      <c r="C670" s="2">
        <v>7</v>
      </c>
      <c r="D670" s="2">
        <v>2020</v>
      </c>
      <c r="E670" s="2">
        <v>38.44</v>
      </c>
      <c r="F670" s="2">
        <v>86.49</v>
      </c>
    </row>
    <row r="671" spans="1:6" x14ac:dyDescent="0.2">
      <c r="A671" s="2" t="s">
        <v>70</v>
      </c>
      <c r="B671" s="2">
        <v>16</v>
      </c>
      <c r="C671" s="2">
        <v>4</v>
      </c>
      <c r="D671" s="2">
        <v>2020</v>
      </c>
      <c r="E671" s="2">
        <v>79.8</v>
      </c>
      <c r="F671" s="2">
        <v>86.4</v>
      </c>
    </row>
    <row r="672" spans="1:6" x14ac:dyDescent="0.2">
      <c r="A672" s="2" t="s">
        <v>54</v>
      </c>
      <c r="B672" s="2">
        <v>5</v>
      </c>
      <c r="C672" s="2">
        <v>6</v>
      </c>
      <c r="D672" s="2">
        <v>2020</v>
      </c>
      <c r="E672" s="2">
        <v>27.6</v>
      </c>
      <c r="F672" s="2">
        <v>86.4</v>
      </c>
    </row>
    <row r="673" spans="1:6" x14ac:dyDescent="0.2">
      <c r="A673" s="2" t="s">
        <v>92</v>
      </c>
      <c r="B673" s="2">
        <v>7</v>
      </c>
      <c r="C673" s="2">
        <v>3</v>
      </c>
      <c r="D673" s="2">
        <v>2020</v>
      </c>
      <c r="E673" s="2">
        <v>117.49</v>
      </c>
      <c r="F673" s="2">
        <v>86.18</v>
      </c>
    </row>
    <row r="674" spans="1:6" x14ac:dyDescent="0.2">
      <c r="A674" s="2" t="s">
        <v>59</v>
      </c>
      <c r="B674" s="2">
        <v>11</v>
      </c>
      <c r="C674" s="2">
        <v>12</v>
      </c>
      <c r="D674" s="2">
        <v>2020</v>
      </c>
      <c r="E674" s="2">
        <v>91.76</v>
      </c>
      <c r="F674" s="2">
        <v>86.18</v>
      </c>
    </row>
    <row r="675" spans="1:6" x14ac:dyDescent="0.2">
      <c r="A675" s="2" t="s">
        <v>87</v>
      </c>
      <c r="B675" s="2">
        <v>1</v>
      </c>
      <c r="C675" s="2">
        <v>5</v>
      </c>
      <c r="D675" s="2">
        <v>2020</v>
      </c>
      <c r="E675" s="2">
        <v>63.24</v>
      </c>
      <c r="F675" s="2">
        <v>86.18</v>
      </c>
    </row>
    <row r="676" spans="1:6" x14ac:dyDescent="0.2">
      <c r="A676" s="2" t="s">
        <v>36</v>
      </c>
      <c r="B676" s="2">
        <v>12</v>
      </c>
      <c r="C676" s="2">
        <v>5</v>
      </c>
      <c r="D676" s="2">
        <v>2020</v>
      </c>
      <c r="E676" s="2">
        <v>36.89</v>
      </c>
      <c r="F676" s="2">
        <v>86.18</v>
      </c>
    </row>
    <row r="677" spans="1:6" x14ac:dyDescent="0.2">
      <c r="A677" s="2" t="s">
        <v>80</v>
      </c>
      <c r="B677" s="2">
        <v>12</v>
      </c>
      <c r="C677" s="2">
        <v>4</v>
      </c>
      <c r="D677" s="2">
        <v>2020</v>
      </c>
      <c r="E677" s="2">
        <v>86.7</v>
      </c>
      <c r="F677" s="2">
        <v>86.1</v>
      </c>
    </row>
    <row r="678" spans="1:6" x14ac:dyDescent="0.2">
      <c r="A678" s="2" t="s">
        <v>67</v>
      </c>
      <c r="B678" s="2">
        <v>13</v>
      </c>
      <c r="C678" s="2">
        <v>4</v>
      </c>
      <c r="D678" s="2">
        <v>2020</v>
      </c>
      <c r="E678" s="2">
        <v>59.1</v>
      </c>
      <c r="F678" s="2">
        <v>86.1</v>
      </c>
    </row>
    <row r="679" spans="1:6" x14ac:dyDescent="0.2">
      <c r="A679" s="2" t="s">
        <v>2</v>
      </c>
      <c r="B679" s="2">
        <v>18</v>
      </c>
      <c r="C679" s="2">
        <v>6</v>
      </c>
      <c r="D679" s="2">
        <v>2020</v>
      </c>
      <c r="E679" s="2">
        <v>0</v>
      </c>
      <c r="F679" s="2">
        <v>86.1</v>
      </c>
    </row>
    <row r="680" spans="1:6" x14ac:dyDescent="0.2">
      <c r="A680" s="2" t="s">
        <v>50</v>
      </c>
      <c r="B680" s="2">
        <v>24</v>
      </c>
      <c r="C680" s="2">
        <v>1</v>
      </c>
      <c r="D680" s="2">
        <v>2020</v>
      </c>
      <c r="E680" s="2">
        <v>110.67</v>
      </c>
      <c r="F680" s="2">
        <v>85.87</v>
      </c>
    </row>
    <row r="681" spans="1:6" x14ac:dyDescent="0.2">
      <c r="A681" s="2" t="s">
        <v>82</v>
      </c>
      <c r="B681" s="2">
        <v>8</v>
      </c>
      <c r="C681" s="2">
        <v>3</v>
      </c>
      <c r="D681" s="2">
        <v>2020</v>
      </c>
      <c r="E681" s="2">
        <v>93</v>
      </c>
      <c r="F681" s="2">
        <v>85.87</v>
      </c>
    </row>
    <row r="682" spans="1:6" x14ac:dyDescent="0.2">
      <c r="A682" s="2" t="s">
        <v>68</v>
      </c>
      <c r="B682" s="2">
        <v>11</v>
      </c>
      <c r="C682" s="2">
        <v>7</v>
      </c>
      <c r="D682" s="2">
        <v>2020</v>
      </c>
      <c r="E682" s="2">
        <v>35.96</v>
      </c>
      <c r="F682" s="2">
        <v>85.87</v>
      </c>
    </row>
    <row r="683" spans="1:6" x14ac:dyDescent="0.2">
      <c r="A683" s="2" t="s">
        <v>44</v>
      </c>
      <c r="B683" s="2">
        <v>1</v>
      </c>
      <c r="C683" s="2">
        <v>11</v>
      </c>
      <c r="D683" s="2">
        <v>2020</v>
      </c>
      <c r="E683" s="2">
        <v>103.8</v>
      </c>
      <c r="F683" s="2">
        <v>85.8</v>
      </c>
    </row>
    <row r="684" spans="1:6" x14ac:dyDescent="0.2">
      <c r="A684" s="2" t="s">
        <v>68</v>
      </c>
      <c r="B684" s="2">
        <v>11</v>
      </c>
      <c r="C684" s="2">
        <v>2</v>
      </c>
      <c r="D684" s="2">
        <v>2020</v>
      </c>
      <c r="E684" s="2">
        <v>103.88</v>
      </c>
      <c r="F684" s="2">
        <v>85.68</v>
      </c>
    </row>
    <row r="685" spans="1:6" x14ac:dyDescent="0.2">
      <c r="A685" s="2" t="s">
        <v>42</v>
      </c>
      <c r="B685" s="2">
        <v>12</v>
      </c>
      <c r="C685" s="2">
        <v>12</v>
      </c>
      <c r="D685" s="2">
        <v>2020</v>
      </c>
      <c r="E685" s="2">
        <v>101.06</v>
      </c>
      <c r="F685" s="2">
        <v>85.56</v>
      </c>
    </row>
    <row r="686" spans="1:6" x14ac:dyDescent="0.2">
      <c r="A686" s="2" t="s">
        <v>73</v>
      </c>
      <c r="B686" s="2">
        <v>5</v>
      </c>
      <c r="C686" s="2">
        <v>3</v>
      </c>
      <c r="D686" s="2">
        <v>2020</v>
      </c>
      <c r="E686" s="2">
        <v>75.95</v>
      </c>
      <c r="F686" s="2">
        <v>85.56</v>
      </c>
    </row>
    <row r="687" spans="1:6" x14ac:dyDescent="0.2">
      <c r="A687" s="2" t="s">
        <v>40</v>
      </c>
      <c r="B687" s="2">
        <v>15</v>
      </c>
      <c r="C687" s="2">
        <v>3</v>
      </c>
      <c r="D687" s="2">
        <v>2020</v>
      </c>
      <c r="E687" s="2">
        <v>66.34</v>
      </c>
      <c r="F687" s="2">
        <v>85.56</v>
      </c>
    </row>
    <row r="688" spans="1:6" x14ac:dyDescent="0.2">
      <c r="A688" s="2" t="s">
        <v>82</v>
      </c>
      <c r="B688" s="2">
        <v>8</v>
      </c>
      <c r="C688" s="2">
        <v>7</v>
      </c>
      <c r="D688" s="2">
        <v>2020</v>
      </c>
      <c r="E688" s="2">
        <v>54.56</v>
      </c>
      <c r="F688" s="2">
        <v>85.56</v>
      </c>
    </row>
    <row r="689" spans="1:6" x14ac:dyDescent="0.2">
      <c r="A689" s="2" t="s">
        <v>44</v>
      </c>
      <c r="B689" s="2">
        <v>1</v>
      </c>
      <c r="C689" s="2">
        <v>5</v>
      </c>
      <c r="D689" s="2">
        <v>2020</v>
      </c>
      <c r="E689" s="2">
        <v>44.02</v>
      </c>
      <c r="F689" s="2">
        <v>85.56</v>
      </c>
    </row>
    <row r="690" spans="1:6" x14ac:dyDescent="0.2">
      <c r="A690" s="2" t="s">
        <v>40</v>
      </c>
      <c r="B690" s="2">
        <v>15</v>
      </c>
      <c r="C690" s="2">
        <v>9</v>
      </c>
      <c r="D690" s="2">
        <v>2020</v>
      </c>
      <c r="E690" s="2">
        <v>31.8</v>
      </c>
      <c r="F690" s="2">
        <v>85.5</v>
      </c>
    </row>
    <row r="691" spans="1:6" x14ac:dyDescent="0.2">
      <c r="A691" s="2" t="s">
        <v>69</v>
      </c>
      <c r="B691" s="2">
        <v>12</v>
      </c>
      <c r="C691" s="2">
        <v>2</v>
      </c>
      <c r="D691" s="2">
        <v>2020</v>
      </c>
      <c r="E691" s="2">
        <v>106.12</v>
      </c>
      <c r="F691" s="2">
        <v>85.4</v>
      </c>
    </row>
    <row r="692" spans="1:6" x14ac:dyDescent="0.2">
      <c r="A692" s="2" t="s">
        <v>66</v>
      </c>
      <c r="B692" s="2">
        <v>23</v>
      </c>
      <c r="C692" s="2">
        <v>2</v>
      </c>
      <c r="D692" s="2">
        <v>2020</v>
      </c>
      <c r="E692" s="2">
        <v>100.52</v>
      </c>
      <c r="F692" s="2">
        <v>85.4</v>
      </c>
    </row>
    <row r="693" spans="1:6" x14ac:dyDescent="0.2">
      <c r="A693" s="2" t="s">
        <v>81</v>
      </c>
      <c r="B693" s="2">
        <v>19</v>
      </c>
      <c r="C693" s="2">
        <v>12</v>
      </c>
      <c r="D693" s="2">
        <v>2020</v>
      </c>
      <c r="E693" s="2">
        <v>121.21</v>
      </c>
      <c r="F693" s="2">
        <v>85.25</v>
      </c>
    </row>
    <row r="694" spans="1:6" x14ac:dyDescent="0.2">
      <c r="A694" s="2" t="s">
        <v>69</v>
      </c>
      <c r="B694" s="2">
        <v>12</v>
      </c>
      <c r="C694" s="2">
        <v>1</v>
      </c>
      <c r="D694" s="2">
        <v>2020</v>
      </c>
      <c r="E694" s="2">
        <v>111.29</v>
      </c>
      <c r="F694" s="2">
        <v>85.25</v>
      </c>
    </row>
    <row r="695" spans="1:6" x14ac:dyDescent="0.2">
      <c r="A695" s="2" t="s">
        <v>66</v>
      </c>
      <c r="B695" s="2">
        <v>23</v>
      </c>
      <c r="C695" s="2">
        <v>10</v>
      </c>
      <c r="D695" s="2">
        <v>2020</v>
      </c>
      <c r="E695" s="2">
        <v>70.680000000000007</v>
      </c>
      <c r="F695" s="2">
        <v>85.25</v>
      </c>
    </row>
    <row r="696" spans="1:6" x14ac:dyDescent="0.2">
      <c r="A696" s="2" t="s">
        <v>56</v>
      </c>
      <c r="B696" s="2">
        <v>14</v>
      </c>
      <c r="C696" s="2">
        <v>3</v>
      </c>
      <c r="D696" s="2">
        <v>2020</v>
      </c>
      <c r="E696" s="2">
        <v>66.34</v>
      </c>
      <c r="F696" s="2">
        <v>85.25</v>
      </c>
    </row>
    <row r="697" spans="1:6" x14ac:dyDescent="0.2">
      <c r="A697" s="2" t="s">
        <v>35</v>
      </c>
      <c r="B697" s="2">
        <v>9</v>
      </c>
      <c r="C697" s="2">
        <v>3</v>
      </c>
      <c r="D697" s="2">
        <v>2020</v>
      </c>
      <c r="E697" s="2">
        <v>65.72</v>
      </c>
      <c r="F697" s="2">
        <v>85.25</v>
      </c>
    </row>
    <row r="698" spans="1:6" x14ac:dyDescent="0.2">
      <c r="A698" s="2" t="s">
        <v>53</v>
      </c>
      <c r="B698" s="2">
        <v>18</v>
      </c>
      <c r="C698" s="2">
        <v>11</v>
      </c>
      <c r="D698" s="2">
        <v>2020</v>
      </c>
      <c r="E698" s="2">
        <v>106.8</v>
      </c>
      <c r="F698" s="2">
        <v>85.2</v>
      </c>
    </row>
    <row r="699" spans="1:6" x14ac:dyDescent="0.2">
      <c r="A699" s="2" t="s">
        <v>72</v>
      </c>
      <c r="B699" s="2">
        <v>22</v>
      </c>
      <c r="C699" s="2">
        <v>2</v>
      </c>
      <c r="D699" s="2">
        <v>2020</v>
      </c>
      <c r="E699" s="2">
        <v>98</v>
      </c>
      <c r="F699" s="2">
        <v>85.12</v>
      </c>
    </row>
    <row r="700" spans="1:6" x14ac:dyDescent="0.2">
      <c r="A700" s="2" t="s">
        <v>85</v>
      </c>
      <c r="B700" s="2">
        <v>3</v>
      </c>
      <c r="C700" s="2">
        <v>10</v>
      </c>
      <c r="D700" s="2">
        <v>2020</v>
      </c>
      <c r="E700" s="2">
        <v>84.94</v>
      </c>
      <c r="F700" s="2">
        <v>84.94</v>
      </c>
    </row>
    <row r="701" spans="1:6" x14ac:dyDescent="0.2">
      <c r="A701" s="2" t="s">
        <v>52</v>
      </c>
      <c r="B701" s="2">
        <v>1</v>
      </c>
      <c r="C701" s="2">
        <v>10</v>
      </c>
      <c r="D701" s="2">
        <v>2020</v>
      </c>
      <c r="E701" s="2">
        <v>63.55</v>
      </c>
      <c r="F701" s="2">
        <v>84.94</v>
      </c>
    </row>
    <row r="702" spans="1:6" x14ac:dyDescent="0.2">
      <c r="A702" s="2" t="s">
        <v>0</v>
      </c>
      <c r="B702" s="2">
        <v>25</v>
      </c>
      <c r="C702" s="2">
        <v>5</v>
      </c>
      <c r="D702" s="2">
        <v>2020</v>
      </c>
      <c r="E702" s="1" t="s">
        <v>94</v>
      </c>
      <c r="F702" s="2">
        <v>84.63</v>
      </c>
    </row>
    <row r="703" spans="1:6" x14ac:dyDescent="0.2">
      <c r="A703" s="2" t="s">
        <v>44</v>
      </c>
      <c r="B703" s="2">
        <v>1</v>
      </c>
      <c r="C703" s="2">
        <v>1</v>
      </c>
      <c r="D703" s="2">
        <v>2020</v>
      </c>
      <c r="E703" s="2">
        <v>107.57</v>
      </c>
      <c r="F703" s="2">
        <v>84.63</v>
      </c>
    </row>
    <row r="704" spans="1:6" x14ac:dyDescent="0.2">
      <c r="A704" s="2" t="s">
        <v>84</v>
      </c>
      <c r="B704" s="2">
        <v>20</v>
      </c>
      <c r="C704" s="2">
        <v>10</v>
      </c>
      <c r="D704" s="2">
        <v>2020</v>
      </c>
      <c r="E704" s="2">
        <v>100.75</v>
      </c>
      <c r="F704" s="2">
        <v>84.63</v>
      </c>
    </row>
    <row r="705" spans="1:6" x14ac:dyDescent="0.2">
      <c r="A705" s="2" t="s">
        <v>87</v>
      </c>
      <c r="B705" s="2">
        <v>1</v>
      </c>
      <c r="C705" s="2">
        <v>3</v>
      </c>
      <c r="D705" s="2">
        <v>2020</v>
      </c>
      <c r="E705" s="2">
        <v>93</v>
      </c>
      <c r="F705" s="2">
        <v>84.63</v>
      </c>
    </row>
    <row r="706" spans="1:6" x14ac:dyDescent="0.2">
      <c r="A706" s="2" t="s">
        <v>74</v>
      </c>
      <c r="B706" s="2">
        <v>5</v>
      </c>
      <c r="C706" s="2">
        <v>10</v>
      </c>
      <c r="D706" s="2">
        <v>2020</v>
      </c>
      <c r="E706" s="2">
        <v>85.56</v>
      </c>
      <c r="F706" s="2">
        <v>84.63</v>
      </c>
    </row>
    <row r="707" spans="1:6" x14ac:dyDescent="0.2">
      <c r="A707" s="2" t="s">
        <v>48</v>
      </c>
      <c r="B707" s="2">
        <v>24</v>
      </c>
      <c r="C707" s="2">
        <v>10</v>
      </c>
      <c r="D707" s="2">
        <v>2020</v>
      </c>
      <c r="E707" s="2">
        <v>64.48</v>
      </c>
      <c r="F707" s="2">
        <v>84.63</v>
      </c>
    </row>
    <row r="708" spans="1:6" x14ac:dyDescent="0.2">
      <c r="A708" s="2" t="s">
        <v>41</v>
      </c>
      <c r="B708" s="2">
        <v>15</v>
      </c>
      <c r="C708" s="2">
        <v>7</v>
      </c>
      <c r="D708" s="2">
        <v>2020</v>
      </c>
      <c r="E708" s="2">
        <v>24.18</v>
      </c>
      <c r="F708" s="2">
        <v>84.63</v>
      </c>
    </row>
    <row r="709" spans="1:6" x14ac:dyDescent="0.2">
      <c r="A709" s="2" t="s">
        <v>0</v>
      </c>
      <c r="B709" s="2">
        <v>25</v>
      </c>
      <c r="C709" s="2">
        <v>4</v>
      </c>
      <c r="D709" s="2">
        <v>2020</v>
      </c>
      <c r="E709" s="1" t="s">
        <v>94</v>
      </c>
      <c r="F709" s="2">
        <v>84.6</v>
      </c>
    </row>
    <row r="710" spans="1:6" x14ac:dyDescent="0.2">
      <c r="A710" s="2" t="s">
        <v>93</v>
      </c>
      <c r="B710" s="2">
        <v>3</v>
      </c>
      <c r="C710" s="2">
        <v>3</v>
      </c>
      <c r="D710" s="2">
        <v>2020</v>
      </c>
      <c r="E710" s="2">
        <v>115.63</v>
      </c>
      <c r="F710" s="2">
        <v>84.32</v>
      </c>
    </row>
    <row r="711" spans="1:6" x14ac:dyDescent="0.2">
      <c r="A711" s="2" t="s">
        <v>61</v>
      </c>
      <c r="B711" s="2">
        <v>23</v>
      </c>
      <c r="C711" s="2">
        <v>8</v>
      </c>
      <c r="D711" s="2">
        <v>2020</v>
      </c>
      <c r="E711" s="2">
        <v>33.79</v>
      </c>
      <c r="F711" s="2">
        <v>84.32</v>
      </c>
    </row>
    <row r="712" spans="1:6" x14ac:dyDescent="0.2">
      <c r="A712" s="2" t="s">
        <v>36</v>
      </c>
      <c r="B712" s="2">
        <v>12</v>
      </c>
      <c r="C712" s="2">
        <v>7</v>
      </c>
      <c r="D712" s="2">
        <v>2020</v>
      </c>
      <c r="E712" s="2">
        <v>28.83</v>
      </c>
      <c r="F712" s="2">
        <v>84.32</v>
      </c>
    </row>
    <row r="713" spans="1:6" x14ac:dyDescent="0.2">
      <c r="A713" s="2" t="s">
        <v>40</v>
      </c>
      <c r="B713" s="2">
        <v>15</v>
      </c>
      <c r="C713" s="2">
        <v>11</v>
      </c>
      <c r="D713" s="2">
        <v>2020</v>
      </c>
      <c r="E713" s="2">
        <v>102</v>
      </c>
      <c r="F713" s="2">
        <v>84.3</v>
      </c>
    </row>
    <row r="714" spans="1:6" x14ac:dyDescent="0.2">
      <c r="A714" s="2" t="s">
        <v>57</v>
      </c>
      <c r="B714" s="2">
        <v>17</v>
      </c>
      <c r="C714" s="2">
        <v>4</v>
      </c>
      <c r="D714" s="2">
        <v>2020</v>
      </c>
      <c r="E714" s="2">
        <v>66.599999999999994</v>
      </c>
      <c r="F714" s="2">
        <v>84.3</v>
      </c>
    </row>
    <row r="715" spans="1:6" x14ac:dyDescent="0.2">
      <c r="A715" s="2" t="s">
        <v>92</v>
      </c>
      <c r="B715" s="2">
        <v>7</v>
      </c>
      <c r="C715" s="2">
        <v>12</v>
      </c>
      <c r="D715" s="2">
        <v>2020</v>
      </c>
      <c r="E715" s="2">
        <v>160.58000000000001</v>
      </c>
      <c r="F715" s="2">
        <v>84.01</v>
      </c>
    </row>
    <row r="716" spans="1:6" x14ac:dyDescent="0.2">
      <c r="A716" s="2" t="s">
        <v>36</v>
      </c>
      <c r="B716" s="2">
        <v>12</v>
      </c>
      <c r="C716" s="2">
        <v>1</v>
      </c>
      <c r="D716" s="2">
        <v>2020</v>
      </c>
      <c r="E716" s="2">
        <v>119.35</v>
      </c>
      <c r="F716" s="2">
        <v>84.01</v>
      </c>
    </row>
    <row r="717" spans="1:6" x14ac:dyDescent="0.2">
      <c r="A717" s="2" t="s">
        <v>78</v>
      </c>
      <c r="B717" s="2">
        <v>18</v>
      </c>
      <c r="C717" s="2">
        <v>10</v>
      </c>
      <c r="D717" s="2">
        <v>2020</v>
      </c>
      <c r="E717" s="2">
        <v>89.59</v>
      </c>
      <c r="F717" s="2">
        <v>84.01</v>
      </c>
    </row>
    <row r="718" spans="1:6" x14ac:dyDescent="0.2">
      <c r="A718" s="2" t="s">
        <v>74</v>
      </c>
      <c r="B718" s="2">
        <v>5</v>
      </c>
      <c r="C718" s="2">
        <v>11</v>
      </c>
      <c r="D718" s="2">
        <v>2020</v>
      </c>
      <c r="E718" s="2">
        <v>128.69999999999999</v>
      </c>
      <c r="F718" s="2">
        <v>84</v>
      </c>
    </row>
    <row r="719" spans="1:6" x14ac:dyDescent="0.2">
      <c r="A719" s="2" t="s">
        <v>82</v>
      </c>
      <c r="B719" s="2">
        <v>8</v>
      </c>
      <c r="C719" s="2">
        <v>4</v>
      </c>
      <c r="D719" s="2">
        <v>2020</v>
      </c>
      <c r="E719" s="2">
        <v>76.5</v>
      </c>
      <c r="F719" s="2">
        <v>84</v>
      </c>
    </row>
    <row r="720" spans="1:6" x14ac:dyDescent="0.2">
      <c r="A720" s="2" t="s">
        <v>62</v>
      </c>
      <c r="B720" s="2">
        <v>1</v>
      </c>
      <c r="C720" s="2">
        <v>11</v>
      </c>
      <c r="D720" s="2">
        <v>2020</v>
      </c>
      <c r="E720" s="2">
        <v>128.69999999999999</v>
      </c>
      <c r="F720" s="2">
        <v>83.7</v>
      </c>
    </row>
    <row r="721" spans="1:6" x14ac:dyDescent="0.2">
      <c r="A721" s="2" t="s">
        <v>64</v>
      </c>
      <c r="B721" s="2">
        <v>21</v>
      </c>
      <c r="C721" s="2">
        <v>1</v>
      </c>
      <c r="D721" s="2">
        <v>2020</v>
      </c>
      <c r="E721" s="2">
        <v>103.54</v>
      </c>
      <c r="F721" s="2">
        <v>83.7</v>
      </c>
    </row>
    <row r="722" spans="1:6" x14ac:dyDescent="0.2">
      <c r="A722" s="2" t="s">
        <v>68</v>
      </c>
      <c r="B722" s="2">
        <v>11</v>
      </c>
      <c r="C722" s="2">
        <v>11</v>
      </c>
      <c r="D722" s="2">
        <v>2020</v>
      </c>
      <c r="E722" s="2">
        <v>90.9</v>
      </c>
      <c r="F722" s="2">
        <v>83.7</v>
      </c>
    </row>
    <row r="723" spans="1:6" x14ac:dyDescent="0.2">
      <c r="A723" s="2" t="s">
        <v>58</v>
      </c>
      <c r="B723" s="2">
        <v>16</v>
      </c>
      <c r="C723" s="2">
        <v>4</v>
      </c>
      <c r="D723" s="2">
        <v>2020</v>
      </c>
      <c r="E723" s="2">
        <v>76.2</v>
      </c>
      <c r="F723" s="2">
        <v>83.7</v>
      </c>
    </row>
    <row r="724" spans="1:6" x14ac:dyDescent="0.2">
      <c r="A724" s="2" t="s">
        <v>56</v>
      </c>
      <c r="B724" s="2">
        <v>14</v>
      </c>
      <c r="C724" s="2">
        <v>10</v>
      </c>
      <c r="D724" s="2">
        <v>2020</v>
      </c>
      <c r="E724" s="2">
        <v>71.92</v>
      </c>
      <c r="F724" s="2">
        <v>83.7</v>
      </c>
    </row>
    <row r="725" spans="1:6" x14ac:dyDescent="0.2">
      <c r="A725" s="2" t="s">
        <v>54</v>
      </c>
      <c r="B725" s="2">
        <v>5</v>
      </c>
      <c r="C725" s="2">
        <v>9</v>
      </c>
      <c r="D725" s="2">
        <v>2020</v>
      </c>
      <c r="E725" s="2">
        <v>39</v>
      </c>
      <c r="F725" s="2">
        <v>83.7</v>
      </c>
    </row>
    <row r="726" spans="1:6" x14ac:dyDescent="0.2">
      <c r="A726" s="2" t="s">
        <v>57</v>
      </c>
      <c r="B726" s="2">
        <v>17</v>
      </c>
      <c r="C726" s="2">
        <v>11</v>
      </c>
      <c r="D726" s="2">
        <v>2020</v>
      </c>
      <c r="E726" s="2">
        <v>115.2</v>
      </c>
      <c r="F726" s="2">
        <v>83.4</v>
      </c>
    </row>
    <row r="727" spans="1:6" x14ac:dyDescent="0.2">
      <c r="A727" s="2" t="s">
        <v>73</v>
      </c>
      <c r="B727" s="2">
        <v>5</v>
      </c>
      <c r="C727" s="2">
        <v>9</v>
      </c>
      <c r="D727" s="2">
        <v>2020</v>
      </c>
      <c r="E727" s="2">
        <v>45.9</v>
      </c>
      <c r="F727" s="2">
        <v>83.4</v>
      </c>
    </row>
    <row r="728" spans="1:6" x14ac:dyDescent="0.2">
      <c r="A728" s="2" t="s">
        <v>59</v>
      </c>
      <c r="B728" s="2">
        <v>11</v>
      </c>
      <c r="C728" s="2">
        <v>6</v>
      </c>
      <c r="D728" s="2">
        <v>2020</v>
      </c>
      <c r="E728" s="2">
        <v>39.6</v>
      </c>
      <c r="F728" s="2">
        <v>83.4</v>
      </c>
    </row>
    <row r="729" spans="1:6" x14ac:dyDescent="0.2">
      <c r="A729" s="2" t="s">
        <v>67</v>
      </c>
      <c r="B729" s="2">
        <v>13</v>
      </c>
      <c r="C729" s="2">
        <v>12</v>
      </c>
      <c r="D729" s="2">
        <v>2020</v>
      </c>
      <c r="E729" s="2">
        <v>105.4</v>
      </c>
      <c r="F729" s="2">
        <v>83.39</v>
      </c>
    </row>
    <row r="730" spans="1:6" x14ac:dyDescent="0.2">
      <c r="A730" s="2" t="s">
        <v>80</v>
      </c>
      <c r="B730" s="2">
        <v>12</v>
      </c>
      <c r="C730" s="2">
        <v>3</v>
      </c>
      <c r="D730" s="2">
        <v>2020</v>
      </c>
      <c r="E730" s="2">
        <v>84.63</v>
      </c>
      <c r="F730" s="2">
        <v>83.39</v>
      </c>
    </row>
    <row r="731" spans="1:6" x14ac:dyDescent="0.2">
      <c r="A731" s="2" t="s">
        <v>44</v>
      </c>
      <c r="B731" s="2">
        <v>1</v>
      </c>
      <c r="C731" s="2">
        <v>10</v>
      </c>
      <c r="D731" s="2">
        <v>2020</v>
      </c>
      <c r="E731" s="2">
        <v>70.989999999999995</v>
      </c>
      <c r="F731" s="2">
        <v>83.39</v>
      </c>
    </row>
    <row r="732" spans="1:6" x14ac:dyDescent="0.2">
      <c r="A732" s="2" t="s">
        <v>43</v>
      </c>
      <c r="B732" s="2">
        <v>15</v>
      </c>
      <c r="C732" s="2">
        <v>10</v>
      </c>
      <c r="D732" s="2">
        <v>2020</v>
      </c>
      <c r="E732" s="2">
        <v>59.21</v>
      </c>
      <c r="F732" s="2">
        <v>83.39</v>
      </c>
    </row>
    <row r="733" spans="1:6" x14ac:dyDescent="0.2">
      <c r="A733" s="2" t="s">
        <v>78</v>
      </c>
      <c r="B733" s="2">
        <v>18</v>
      </c>
      <c r="C733" s="2">
        <v>8</v>
      </c>
      <c r="D733" s="2">
        <v>2020</v>
      </c>
      <c r="E733" s="2">
        <v>47.74</v>
      </c>
      <c r="F733" s="2">
        <v>83.39</v>
      </c>
    </row>
    <row r="734" spans="1:6" x14ac:dyDescent="0.2">
      <c r="A734" s="2" t="s">
        <v>75</v>
      </c>
      <c r="B734" s="2">
        <v>2</v>
      </c>
      <c r="C734" s="2">
        <v>8</v>
      </c>
      <c r="D734" s="2">
        <v>2020</v>
      </c>
      <c r="E734" s="2">
        <v>44.02</v>
      </c>
      <c r="F734" s="2">
        <v>83.39</v>
      </c>
    </row>
    <row r="735" spans="1:6" x14ac:dyDescent="0.2">
      <c r="A735" s="2" t="s">
        <v>90</v>
      </c>
      <c r="B735" s="2">
        <v>18</v>
      </c>
      <c r="C735" s="2">
        <v>11</v>
      </c>
      <c r="D735" s="2">
        <v>2020</v>
      </c>
      <c r="E735" s="2">
        <v>114</v>
      </c>
      <c r="F735" s="2">
        <v>83.1</v>
      </c>
    </row>
    <row r="736" spans="1:6" x14ac:dyDescent="0.2">
      <c r="A736" s="2" t="s">
        <v>70</v>
      </c>
      <c r="B736" s="2">
        <v>16</v>
      </c>
      <c r="C736" s="2">
        <v>11</v>
      </c>
      <c r="D736" s="2">
        <v>2020</v>
      </c>
      <c r="E736" s="2">
        <v>98.4</v>
      </c>
      <c r="F736" s="2">
        <v>83.1</v>
      </c>
    </row>
    <row r="737" spans="1:6" x14ac:dyDescent="0.2">
      <c r="A737" s="2" t="s">
        <v>96</v>
      </c>
      <c r="B737" s="2">
        <v>3</v>
      </c>
      <c r="C737" s="2">
        <v>7</v>
      </c>
      <c r="D737" s="2">
        <v>2020</v>
      </c>
      <c r="E737" s="1" t="s">
        <v>94</v>
      </c>
      <c r="F737" s="2">
        <v>83.08</v>
      </c>
    </row>
    <row r="738" spans="1:6" x14ac:dyDescent="0.2">
      <c r="A738" s="2" t="s">
        <v>52</v>
      </c>
      <c r="B738" s="2">
        <v>1</v>
      </c>
      <c r="C738" s="2">
        <v>12</v>
      </c>
      <c r="D738" s="2">
        <v>2020</v>
      </c>
      <c r="E738" s="2">
        <v>109.74</v>
      </c>
      <c r="F738" s="2">
        <v>83.08</v>
      </c>
    </row>
    <row r="739" spans="1:6" x14ac:dyDescent="0.2">
      <c r="A739" s="2" t="s">
        <v>35</v>
      </c>
      <c r="B739" s="2">
        <v>9</v>
      </c>
      <c r="C739" s="2">
        <v>12</v>
      </c>
      <c r="D739" s="2">
        <v>2020</v>
      </c>
      <c r="E739" s="2">
        <v>91.45</v>
      </c>
      <c r="F739" s="2">
        <v>83.08</v>
      </c>
    </row>
    <row r="740" spans="1:6" x14ac:dyDescent="0.2">
      <c r="A740" s="2" t="s">
        <v>86</v>
      </c>
      <c r="B740" s="2">
        <v>6</v>
      </c>
      <c r="C740" s="2">
        <v>3</v>
      </c>
      <c r="D740" s="2">
        <v>2020</v>
      </c>
      <c r="E740" s="2">
        <v>81.84</v>
      </c>
      <c r="F740" s="2">
        <v>83.08</v>
      </c>
    </row>
    <row r="741" spans="1:6" x14ac:dyDescent="0.2">
      <c r="A741" s="2" t="s">
        <v>64</v>
      </c>
      <c r="B741" s="2">
        <v>21</v>
      </c>
      <c r="C741" s="2">
        <v>3</v>
      </c>
      <c r="D741" s="2">
        <v>2020</v>
      </c>
      <c r="E741" s="2">
        <v>71.92</v>
      </c>
      <c r="F741" s="2">
        <v>83.08</v>
      </c>
    </row>
    <row r="742" spans="1:6" x14ac:dyDescent="0.2">
      <c r="A742" s="2" t="s">
        <v>53</v>
      </c>
      <c r="B742" s="2">
        <v>18</v>
      </c>
      <c r="C742" s="2">
        <v>10</v>
      </c>
      <c r="D742" s="2">
        <v>2020</v>
      </c>
      <c r="E742" s="2">
        <v>70.37</v>
      </c>
      <c r="F742" s="2">
        <v>83.08</v>
      </c>
    </row>
    <row r="743" spans="1:6" x14ac:dyDescent="0.2">
      <c r="A743" s="2" t="s">
        <v>74</v>
      </c>
      <c r="B743" s="2">
        <v>5</v>
      </c>
      <c r="C743" s="2">
        <v>7</v>
      </c>
      <c r="D743" s="2">
        <v>2020</v>
      </c>
      <c r="E743" s="2">
        <v>45.57</v>
      </c>
      <c r="F743" s="2">
        <v>83.08</v>
      </c>
    </row>
    <row r="744" spans="1:6" x14ac:dyDescent="0.2">
      <c r="A744" s="2" t="s">
        <v>50</v>
      </c>
      <c r="B744" s="2">
        <v>24</v>
      </c>
      <c r="C744" s="2">
        <v>11</v>
      </c>
      <c r="D744" s="2">
        <v>2020</v>
      </c>
      <c r="E744" s="2">
        <v>99</v>
      </c>
      <c r="F744" s="2">
        <v>82.8</v>
      </c>
    </row>
    <row r="745" spans="1:6" x14ac:dyDescent="0.2">
      <c r="A745" s="2" t="s">
        <v>67</v>
      </c>
      <c r="B745" s="2">
        <v>13</v>
      </c>
      <c r="C745" s="2">
        <v>11</v>
      </c>
      <c r="D745" s="2">
        <v>2020</v>
      </c>
      <c r="E745" s="2">
        <v>95.7</v>
      </c>
      <c r="F745" s="2">
        <v>82.8</v>
      </c>
    </row>
    <row r="746" spans="1:6" x14ac:dyDescent="0.2">
      <c r="A746" s="2" t="s">
        <v>75</v>
      </c>
      <c r="B746" s="2">
        <v>2</v>
      </c>
      <c r="C746" s="2">
        <v>3</v>
      </c>
      <c r="D746" s="2">
        <v>2020</v>
      </c>
      <c r="E746" s="2">
        <v>82.77</v>
      </c>
      <c r="F746" s="2">
        <v>82.77</v>
      </c>
    </row>
    <row r="747" spans="1:6" x14ac:dyDescent="0.2">
      <c r="A747" s="2" t="s">
        <v>36</v>
      </c>
      <c r="B747" s="2">
        <v>12</v>
      </c>
      <c r="C747" s="2">
        <v>3</v>
      </c>
      <c r="D747" s="2">
        <v>2020</v>
      </c>
      <c r="E747" s="2">
        <v>70.37</v>
      </c>
      <c r="F747" s="2">
        <v>82.77</v>
      </c>
    </row>
    <row r="748" spans="1:6" x14ac:dyDescent="0.2">
      <c r="A748" s="2" t="s">
        <v>57</v>
      </c>
      <c r="B748" s="2">
        <v>17</v>
      </c>
      <c r="C748" s="2">
        <v>2</v>
      </c>
      <c r="D748" s="2">
        <v>2020</v>
      </c>
      <c r="E748" s="2">
        <v>104.72</v>
      </c>
      <c r="F748" s="2">
        <v>82.6</v>
      </c>
    </row>
    <row r="749" spans="1:6" x14ac:dyDescent="0.2">
      <c r="A749" s="2" t="s">
        <v>86</v>
      </c>
      <c r="B749" s="2">
        <v>6</v>
      </c>
      <c r="C749" s="2">
        <v>9</v>
      </c>
      <c r="D749" s="2">
        <v>2020</v>
      </c>
      <c r="E749" s="2">
        <v>50.4</v>
      </c>
      <c r="F749" s="2">
        <v>82.5</v>
      </c>
    </row>
    <row r="750" spans="1:6" x14ac:dyDescent="0.2">
      <c r="A750" s="2" t="s">
        <v>65</v>
      </c>
      <c r="B750" s="2">
        <v>11</v>
      </c>
      <c r="C750" s="2">
        <v>6</v>
      </c>
      <c r="D750" s="2">
        <v>2020</v>
      </c>
      <c r="E750" s="2">
        <v>42.9</v>
      </c>
      <c r="F750" s="2">
        <v>82.5</v>
      </c>
    </row>
    <row r="751" spans="1:6" x14ac:dyDescent="0.2">
      <c r="A751" s="2" t="s">
        <v>66</v>
      </c>
      <c r="B751" s="2">
        <v>23</v>
      </c>
      <c r="C751" s="2">
        <v>6</v>
      </c>
      <c r="D751" s="2">
        <v>2020</v>
      </c>
      <c r="E751" s="2">
        <v>39</v>
      </c>
      <c r="F751" s="2">
        <v>82.5</v>
      </c>
    </row>
    <row r="752" spans="1:6" x14ac:dyDescent="0.2">
      <c r="A752" s="2" t="s">
        <v>0</v>
      </c>
      <c r="B752" s="2">
        <v>25</v>
      </c>
      <c r="C752" s="2">
        <v>1</v>
      </c>
      <c r="D752" s="2">
        <v>2020</v>
      </c>
      <c r="E752" s="1" t="s">
        <v>94</v>
      </c>
      <c r="F752" s="2">
        <v>82.46</v>
      </c>
    </row>
    <row r="753" spans="1:6" x14ac:dyDescent="0.2">
      <c r="A753" s="2" t="s">
        <v>48</v>
      </c>
      <c r="B753" s="2">
        <v>24</v>
      </c>
      <c r="C753" s="2">
        <v>1</v>
      </c>
      <c r="D753" s="2">
        <v>2020</v>
      </c>
      <c r="E753" s="2">
        <v>105.71</v>
      </c>
      <c r="F753" s="2">
        <v>82.46</v>
      </c>
    </row>
    <row r="754" spans="1:6" x14ac:dyDescent="0.2">
      <c r="A754" s="2" t="s">
        <v>56</v>
      </c>
      <c r="B754" s="2">
        <v>14</v>
      </c>
      <c r="C754" s="2">
        <v>12</v>
      </c>
      <c r="D754" s="2">
        <v>2020</v>
      </c>
      <c r="E754" s="2">
        <v>100.13</v>
      </c>
      <c r="F754" s="2">
        <v>82.46</v>
      </c>
    </row>
    <row r="755" spans="1:6" x14ac:dyDescent="0.2">
      <c r="A755" s="2" t="s">
        <v>33</v>
      </c>
      <c r="B755" s="2">
        <v>21</v>
      </c>
      <c r="C755" s="2">
        <v>5</v>
      </c>
      <c r="D755" s="2">
        <v>2020</v>
      </c>
      <c r="E755" s="2">
        <v>18.29</v>
      </c>
      <c r="F755" s="2">
        <v>82.46</v>
      </c>
    </row>
    <row r="756" spans="1:6" x14ac:dyDescent="0.2">
      <c r="A756" s="2" t="s">
        <v>92</v>
      </c>
      <c r="B756" s="2">
        <v>7</v>
      </c>
      <c r="C756" s="2">
        <v>4</v>
      </c>
      <c r="D756" s="2">
        <v>2020</v>
      </c>
      <c r="E756" s="2">
        <v>106.8</v>
      </c>
      <c r="F756" s="2">
        <v>82.2</v>
      </c>
    </row>
    <row r="757" spans="1:6" x14ac:dyDescent="0.2">
      <c r="A757" s="2" t="s">
        <v>36</v>
      </c>
      <c r="B757" s="2">
        <v>12</v>
      </c>
      <c r="C757" s="2">
        <v>11</v>
      </c>
      <c r="D757" s="2">
        <v>2020</v>
      </c>
      <c r="E757" s="2">
        <v>93.9</v>
      </c>
      <c r="F757" s="2">
        <v>82.2</v>
      </c>
    </row>
    <row r="758" spans="1:6" x14ac:dyDescent="0.2">
      <c r="A758" s="2" t="s">
        <v>78</v>
      </c>
      <c r="B758" s="2">
        <v>18</v>
      </c>
      <c r="C758" s="2">
        <v>4</v>
      </c>
      <c r="D758" s="2">
        <v>2020</v>
      </c>
      <c r="E758" s="2">
        <v>82.5</v>
      </c>
      <c r="F758" s="2">
        <v>82.2</v>
      </c>
    </row>
    <row r="759" spans="1:6" x14ac:dyDescent="0.2">
      <c r="A759" s="2" t="s">
        <v>42</v>
      </c>
      <c r="B759" s="2">
        <v>12</v>
      </c>
      <c r="C759" s="2">
        <v>4</v>
      </c>
      <c r="D759" s="2">
        <v>2020</v>
      </c>
      <c r="E759" s="2">
        <v>67.5</v>
      </c>
      <c r="F759" s="2">
        <v>82.2</v>
      </c>
    </row>
    <row r="760" spans="1:6" x14ac:dyDescent="0.2">
      <c r="A760" s="2" t="s">
        <v>48</v>
      </c>
      <c r="B760" s="2">
        <v>24</v>
      </c>
      <c r="C760" s="2">
        <v>4</v>
      </c>
      <c r="D760" s="2">
        <v>2020</v>
      </c>
      <c r="E760" s="2">
        <v>63.6</v>
      </c>
      <c r="F760" s="2">
        <v>82.2</v>
      </c>
    </row>
    <row r="761" spans="1:6" x14ac:dyDescent="0.2">
      <c r="A761" s="2" t="s">
        <v>81</v>
      </c>
      <c r="B761" s="2">
        <v>19</v>
      </c>
      <c r="C761" s="2">
        <v>9</v>
      </c>
      <c r="D761" s="2">
        <v>2020</v>
      </c>
      <c r="E761" s="2">
        <v>54</v>
      </c>
      <c r="F761" s="2">
        <v>82.2</v>
      </c>
    </row>
    <row r="762" spans="1:6" x14ac:dyDescent="0.2">
      <c r="A762" s="2" t="s">
        <v>65</v>
      </c>
      <c r="B762" s="2">
        <v>11</v>
      </c>
      <c r="C762" s="2">
        <v>9</v>
      </c>
      <c r="D762" s="2">
        <v>2020</v>
      </c>
      <c r="E762" s="2">
        <v>48.9</v>
      </c>
      <c r="F762" s="2">
        <v>82.2</v>
      </c>
    </row>
    <row r="763" spans="1:6" x14ac:dyDescent="0.2">
      <c r="A763" s="2" t="s">
        <v>62</v>
      </c>
      <c r="B763" s="2">
        <v>1</v>
      </c>
      <c r="C763" s="2">
        <v>6</v>
      </c>
      <c r="D763" s="2">
        <v>2020</v>
      </c>
      <c r="E763" s="2">
        <v>42.3</v>
      </c>
      <c r="F763" s="2">
        <v>82.2</v>
      </c>
    </row>
    <row r="764" spans="1:6" x14ac:dyDescent="0.2">
      <c r="A764" s="2" t="s">
        <v>38</v>
      </c>
      <c r="B764" s="2">
        <v>21</v>
      </c>
      <c r="C764" s="2">
        <v>12</v>
      </c>
      <c r="D764" s="2">
        <v>2020</v>
      </c>
      <c r="E764" s="2">
        <v>100.44</v>
      </c>
      <c r="F764" s="2">
        <v>82.15</v>
      </c>
    </row>
    <row r="765" spans="1:6" x14ac:dyDescent="0.2">
      <c r="A765" s="2" t="s">
        <v>50</v>
      </c>
      <c r="B765" s="2">
        <v>24</v>
      </c>
      <c r="C765" s="2">
        <v>10</v>
      </c>
      <c r="D765" s="2">
        <v>2020</v>
      </c>
      <c r="E765" s="2">
        <v>76.88</v>
      </c>
      <c r="F765" s="2">
        <v>82.15</v>
      </c>
    </row>
    <row r="766" spans="1:6" x14ac:dyDescent="0.2">
      <c r="A766" s="2" t="s">
        <v>66</v>
      </c>
      <c r="B766" s="2">
        <v>23</v>
      </c>
      <c r="C766" s="2">
        <v>8</v>
      </c>
      <c r="D766" s="2">
        <v>2020</v>
      </c>
      <c r="E766" s="2">
        <v>35.03</v>
      </c>
      <c r="F766" s="2">
        <v>82.15</v>
      </c>
    </row>
    <row r="767" spans="1:6" x14ac:dyDescent="0.2">
      <c r="A767" s="2" t="s">
        <v>35</v>
      </c>
      <c r="B767" s="2">
        <v>9</v>
      </c>
      <c r="C767" s="2">
        <v>5</v>
      </c>
      <c r="D767" s="2">
        <v>2020</v>
      </c>
      <c r="E767" s="2">
        <v>24.8</v>
      </c>
      <c r="F767" s="2">
        <v>82.15</v>
      </c>
    </row>
    <row r="768" spans="1:6" x14ac:dyDescent="0.2">
      <c r="A768" s="2" t="s">
        <v>93</v>
      </c>
      <c r="B768" s="2">
        <v>3</v>
      </c>
      <c r="C768" s="2">
        <v>2</v>
      </c>
      <c r="D768" s="2">
        <v>2020</v>
      </c>
      <c r="E768" s="2">
        <v>148.96</v>
      </c>
      <c r="F768" s="2">
        <v>82.04</v>
      </c>
    </row>
    <row r="769" spans="1:6" x14ac:dyDescent="0.2">
      <c r="A769" s="2" t="s">
        <v>86</v>
      </c>
      <c r="B769" s="2">
        <v>6</v>
      </c>
      <c r="C769" s="2">
        <v>6</v>
      </c>
      <c r="D769" s="2">
        <v>2020</v>
      </c>
      <c r="E769" s="2">
        <v>48.6</v>
      </c>
      <c r="F769" s="2">
        <v>81.900000000000006</v>
      </c>
    </row>
    <row r="770" spans="1:6" x14ac:dyDescent="0.2">
      <c r="A770" s="2" t="s">
        <v>57</v>
      </c>
      <c r="B770" s="2">
        <v>17</v>
      </c>
      <c r="C770" s="2">
        <v>1</v>
      </c>
      <c r="D770" s="2">
        <v>2020</v>
      </c>
      <c r="E770" s="2">
        <v>109.12</v>
      </c>
      <c r="F770" s="2">
        <v>81.84</v>
      </c>
    </row>
    <row r="771" spans="1:6" x14ac:dyDescent="0.2">
      <c r="A771" s="2" t="s">
        <v>60</v>
      </c>
      <c r="B771" s="2">
        <v>20</v>
      </c>
      <c r="C771" s="2">
        <v>8</v>
      </c>
      <c r="D771" s="2">
        <v>2020</v>
      </c>
      <c r="E771" s="2">
        <v>35.65</v>
      </c>
      <c r="F771" s="2">
        <v>81.84</v>
      </c>
    </row>
    <row r="772" spans="1:6" x14ac:dyDescent="0.2">
      <c r="A772" s="2" t="s">
        <v>35</v>
      </c>
      <c r="B772" s="2">
        <v>9</v>
      </c>
      <c r="C772" s="2">
        <v>8</v>
      </c>
      <c r="D772" s="2">
        <v>2020</v>
      </c>
      <c r="E772" s="2">
        <v>24.49</v>
      </c>
      <c r="F772" s="2">
        <v>81.84</v>
      </c>
    </row>
    <row r="773" spans="1:6" x14ac:dyDescent="0.2">
      <c r="A773" s="2" t="s">
        <v>96</v>
      </c>
      <c r="B773" s="2">
        <v>3</v>
      </c>
      <c r="C773" s="2">
        <v>2</v>
      </c>
      <c r="D773" s="2">
        <v>2020</v>
      </c>
      <c r="E773" s="1" t="s">
        <v>94</v>
      </c>
      <c r="F773" s="2">
        <v>81.760000000000005</v>
      </c>
    </row>
    <row r="774" spans="1:6" x14ac:dyDescent="0.2">
      <c r="A774" s="2" t="s">
        <v>87</v>
      </c>
      <c r="B774" s="2">
        <v>1</v>
      </c>
      <c r="C774" s="2">
        <v>2</v>
      </c>
      <c r="D774" s="2">
        <v>2020</v>
      </c>
      <c r="E774" s="2">
        <v>116.76</v>
      </c>
      <c r="F774" s="2">
        <v>81.760000000000005</v>
      </c>
    </row>
    <row r="775" spans="1:6" x14ac:dyDescent="0.2">
      <c r="A775" s="2" t="s">
        <v>41</v>
      </c>
      <c r="B775" s="2">
        <v>15</v>
      </c>
      <c r="C775" s="2">
        <v>9</v>
      </c>
      <c r="D775" s="2">
        <v>2020</v>
      </c>
      <c r="E775" s="2">
        <v>37.799999999999997</v>
      </c>
      <c r="F775" s="2">
        <v>81.599999999999994</v>
      </c>
    </row>
    <row r="776" spans="1:6" x14ac:dyDescent="0.2">
      <c r="A776" s="2" t="s">
        <v>55</v>
      </c>
      <c r="B776" s="2">
        <v>18</v>
      </c>
      <c r="C776" s="2">
        <v>1</v>
      </c>
      <c r="D776" s="2">
        <v>2020</v>
      </c>
      <c r="E776" s="2">
        <v>114.08</v>
      </c>
      <c r="F776" s="2">
        <v>81.53</v>
      </c>
    </row>
    <row r="777" spans="1:6" x14ac:dyDescent="0.2">
      <c r="A777" s="2" t="s">
        <v>36</v>
      </c>
      <c r="B777" s="2">
        <v>12</v>
      </c>
      <c r="C777" s="2">
        <v>12</v>
      </c>
      <c r="D777" s="2">
        <v>2020</v>
      </c>
      <c r="E777" s="2">
        <v>101.68</v>
      </c>
      <c r="F777" s="2">
        <v>81.53</v>
      </c>
    </row>
    <row r="778" spans="1:6" x14ac:dyDescent="0.2">
      <c r="A778" s="2" t="s">
        <v>84</v>
      </c>
      <c r="B778" s="2">
        <v>20</v>
      </c>
      <c r="C778" s="2">
        <v>3</v>
      </c>
      <c r="D778" s="2">
        <v>2020</v>
      </c>
      <c r="E778" s="2">
        <v>97.65</v>
      </c>
      <c r="F778" s="2">
        <v>81.53</v>
      </c>
    </row>
    <row r="779" spans="1:6" x14ac:dyDescent="0.2">
      <c r="A779" s="2" t="s">
        <v>59</v>
      </c>
      <c r="B779" s="2">
        <v>11</v>
      </c>
      <c r="C779" s="2">
        <v>5</v>
      </c>
      <c r="D779" s="2">
        <v>2020</v>
      </c>
      <c r="E779" s="2">
        <v>44.95</v>
      </c>
      <c r="F779" s="2">
        <v>81.53</v>
      </c>
    </row>
    <row r="780" spans="1:6" x14ac:dyDescent="0.2">
      <c r="A780" s="2" t="s">
        <v>63</v>
      </c>
      <c r="B780" s="2">
        <v>25</v>
      </c>
      <c r="C780" s="2">
        <v>8</v>
      </c>
      <c r="D780" s="2">
        <v>2020</v>
      </c>
      <c r="E780" s="2">
        <v>42.78</v>
      </c>
      <c r="F780" s="2">
        <v>81.53</v>
      </c>
    </row>
    <row r="781" spans="1:6" x14ac:dyDescent="0.2">
      <c r="A781" s="2" t="s">
        <v>90</v>
      </c>
      <c r="B781" s="2">
        <v>18</v>
      </c>
      <c r="C781" s="2">
        <v>4</v>
      </c>
      <c r="D781" s="2">
        <v>2020</v>
      </c>
      <c r="E781" s="2">
        <v>90.3</v>
      </c>
      <c r="F781" s="2">
        <v>81.3</v>
      </c>
    </row>
    <row r="782" spans="1:6" x14ac:dyDescent="0.2">
      <c r="A782" s="2" t="s">
        <v>36</v>
      </c>
      <c r="B782" s="2">
        <v>12</v>
      </c>
      <c r="C782" s="2">
        <v>4</v>
      </c>
      <c r="D782" s="2">
        <v>2020</v>
      </c>
      <c r="E782" s="2">
        <v>66.900000000000006</v>
      </c>
      <c r="F782" s="2">
        <v>81.3</v>
      </c>
    </row>
    <row r="783" spans="1:6" x14ac:dyDescent="0.2">
      <c r="A783" s="2" t="s">
        <v>74</v>
      </c>
      <c r="B783" s="2">
        <v>5</v>
      </c>
      <c r="C783" s="2">
        <v>6</v>
      </c>
      <c r="D783" s="2">
        <v>2020</v>
      </c>
      <c r="E783" s="2">
        <v>43.5</v>
      </c>
      <c r="F783" s="2">
        <v>81.3</v>
      </c>
    </row>
    <row r="784" spans="1:6" x14ac:dyDescent="0.2">
      <c r="A784" s="2" t="s">
        <v>69</v>
      </c>
      <c r="B784" s="2">
        <v>12</v>
      </c>
      <c r="C784" s="2">
        <v>3</v>
      </c>
      <c r="D784" s="2">
        <v>2020</v>
      </c>
      <c r="E784" s="2">
        <v>69.75</v>
      </c>
      <c r="F784" s="2">
        <v>81.22</v>
      </c>
    </row>
    <row r="785" spans="1:6" x14ac:dyDescent="0.2">
      <c r="A785" s="2" t="s">
        <v>80</v>
      </c>
      <c r="B785" s="2">
        <v>12</v>
      </c>
      <c r="C785" s="2">
        <v>5</v>
      </c>
      <c r="D785" s="2">
        <v>2020</v>
      </c>
      <c r="E785" s="2">
        <v>62.62</v>
      </c>
      <c r="F785" s="2">
        <v>81.22</v>
      </c>
    </row>
    <row r="786" spans="1:6" x14ac:dyDescent="0.2">
      <c r="A786" s="2" t="s">
        <v>48</v>
      </c>
      <c r="B786" s="2">
        <v>24</v>
      </c>
      <c r="C786" s="2">
        <v>6</v>
      </c>
      <c r="D786" s="2">
        <v>2020</v>
      </c>
      <c r="E786" s="2">
        <v>28.8</v>
      </c>
      <c r="F786" s="2">
        <v>81</v>
      </c>
    </row>
    <row r="787" spans="1:6" x14ac:dyDescent="0.2">
      <c r="A787" s="2" t="s">
        <v>55</v>
      </c>
      <c r="B787" s="2">
        <v>18</v>
      </c>
      <c r="C787" s="2">
        <v>10</v>
      </c>
      <c r="D787" s="2">
        <v>2020</v>
      </c>
      <c r="E787" s="2">
        <v>71.92</v>
      </c>
      <c r="F787" s="2">
        <v>80.91</v>
      </c>
    </row>
    <row r="788" spans="1:6" x14ac:dyDescent="0.2">
      <c r="A788" s="2" t="s">
        <v>64</v>
      </c>
      <c r="B788" s="2">
        <v>21</v>
      </c>
      <c r="C788" s="2">
        <v>7</v>
      </c>
      <c r="D788" s="2">
        <v>2020</v>
      </c>
      <c r="E788" s="2">
        <v>40.299999999999997</v>
      </c>
      <c r="F788" s="2">
        <v>80.91</v>
      </c>
    </row>
    <row r="789" spans="1:6" x14ac:dyDescent="0.2">
      <c r="A789" s="2" t="s">
        <v>67</v>
      </c>
      <c r="B789" s="2">
        <v>13</v>
      </c>
      <c r="C789" s="2">
        <v>7</v>
      </c>
      <c r="D789" s="2">
        <v>2020</v>
      </c>
      <c r="E789" s="2">
        <v>38.44</v>
      </c>
      <c r="F789" s="2">
        <v>80.91</v>
      </c>
    </row>
    <row r="790" spans="1:6" x14ac:dyDescent="0.2">
      <c r="A790" s="2" t="s">
        <v>52</v>
      </c>
      <c r="B790" s="2">
        <v>1</v>
      </c>
      <c r="C790" s="2">
        <v>7</v>
      </c>
      <c r="D790" s="2">
        <v>2020</v>
      </c>
      <c r="E790" s="2">
        <v>27.59</v>
      </c>
      <c r="F790" s="2">
        <v>80.91</v>
      </c>
    </row>
    <row r="791" spans="1:6" x14ac:dyDescent="0.2">
      <c r="A791" s="2" t="s">
        <v>60</v>
      </c>
      <c r="B791" s="2">
        <v>20</v>
      </c>
      <c r="C791" s="2">
        <v>4</v>
      </c>
      <c r="D791" s="2">
        <v>2020</v>
      </c>
      <c r="E791" s="2">
        <v>66.3</v>
      </c>
      <c r="F791" s="2">
        <v>80.7</v>
      </c>
    </row>
    <row r="792" spans="1:6" x14ac:dyDescent="0.2">
      <c r="A792" s="2" t="s">
        <v>59</v>
      </c>
      <c r="B792" s="2">
        <v>11</v>
      </c>
      <c r="C792" s="2">
        <v>9</v>
      </c>
      <c r="D792" s="2">
        <v>2020</v>
      </c>
      <c r="E792" s="2">
        <v>47.7</v>
      </c>
      <c r="F792" s="2">
        <v>80.7</v>
      </c>
    </row>
    <row r="793" spans="1:6" x14ac:dyDescent="0.2">
      <c r="A793" s="2" t="s">
        <v>56</v>
      </c>
      <c r="B793" s="2">
        <v>14</v>
      </c>
      <c r="C793" s="2">
        <v>2</v>
      </c>
      <c r="D793" s="2">
        <v>2020</v>
      </c>
      <c r="E793" s="2">
        <v>105.28</v>
      </c>
      <c r="F793" s="2">
        <v>80.64</v>
      </c>
    </row>
    <row r="794" spans="1:6" x14ac:dyDescent="0.2">
      <c r="A794" s="2" t="s">
        <v>51</v>
      </c>
      <c r="B794" s="2">
        <v>16</v>
      </c>
      <c r="C794" s="2">
        <v>12</v>
      </c>
      <c r="D794" s="2">
        <v>2020</v>
      </c>
      <c r="E794" s="2">
        <v>120.9</v>
      </c>
      <c r="F794" s="2">
        <v>80.599999999999994</v>
      </c>
    </row>
    <row r="795" spans="1:6" x14ac:dyDescent="0.2">
      <c r="A795" s="2" t="s">
        <v>73</v>
      </c>
      <c r="B795" s="2">
        <v>5</v>
      </c>
      <c r="C795" s="2">
        <v>1</v>
      </c>
      <c r="D795" s="2">
        <v>2020</v>
      </c>
      <c r="E795" s="2">
        <v>110.67</v>
      </c>
      <c r="F795" s="2">
        <v>80.599999999999994</v>
      </c>
    </row>
    <row r="796" spans="1:6" x14ac:dyDescent="0.2">
      <c r="A796" s="2" t="s">
        <v>47</v>
      </c>
      <c r="B796" s="2">
        <v>19</v>
      </c>
      <c r="C796" s="2">
        <v>12</v>
      </c>
      <c r="D796" s="2">
        <v>2020</v>
      </c>
      <c r="E796" s="2">
        <v>95.17</v>
      </c>
      <c r="F796" s="2">
        <v>80.599999999999994</v>
      </c>
    </row>
    <row r="797" spans="1:6" x14ac:dyDescent="0.2">
      <c r="A797" s="2" t="s">
        <v>47</v>
      </c>
      <c r="B797" s="2">
        <v>19</v>
      </c>
      <c r="C797" s="2">
        <v>3</v>
      </c>
      <c r="D797" s="2">
        <v>2020</v>
      </c>
      <c r="E797" s="2">
        <v>65.099999999999994</v>
      </c>
      <c r="F797" s="2">
        <v>80.599999999999994</v>
      </c>
    </row>
    <row r="798" spans="1:6" x14ac:dyDescent="0.2">
      <c r="A798" s="2" t="s">
        <v>76</v>
      </c>
      <c r="B798" s="2">
        <v>9</v>
      </c>
      <c r="C798" s="2">
        <v>11</v>
      </c>
      <c r="D798" s="2">
        <v>2020</v>
      </c>
      <c r="E798" s="2">
        <v>99.3</v>
      </c>
      <c r="F798" s="2">
        <v>80.400000000000006</v>
      </c>
    </row>
    <row r="799" spans="1:6" x14ac:dyDescent="0.2">
      <c r="A799" s="2" t="s">
        <v>66</v>
      </c>
      <c r="B799" s="2">
        <v>23</v>
      </c>
      <c r="C799" s="2">
        <v>4</v>
      </c>
      <c r="D799" s="2">
        <v>2020</v>
      </c>
      <c r="E799" s="2">
        <v>73.5</v>
      </c>
      <c r="F799" s="2">
        <v>80.400000000000006</v>
      </c>
    </row>
    <row r="800" spans="1:6" x14ac:dyDescent="0.2">
      <c r="A800" s="2" t="s">
        <v>69</v>
      </c>
      <c r="B800" s="2">
        <v>12</v>
      </c>
      <c r="C800" s="2">
        <v>4</v>
      </c>
      <c r="D800" s="2">
        <v>2020</v>
      </c>
      <c r="E800" s="2">
        <v>69.3</v>
      </c>
      <c r="F800" s="2">
        <v>80.400000000000006</v>
      </c>
    </row>
    <row r="801" spans="1:6" x14ac:dyDescent="0.2">
      <c r="A801" s="2" t="s">
        <v>65</v>
      </c>
      <c r="B801" s="2">
        <v>11</v>
      </c>
      <c r="C801" s="2">
        <v>2</v>
      </c>
      <c r="D801" s="2">
        <v>2020</v>
      </c>
      <c r="E801" s="2">
        <v>97.44</v>
      </c>
      <c r="F801" s="2">
        <v>80.36</v>
      </c>
    </row>
    <row r="802" spans="1:6" x14ac:dyDescent="0.2">
      <c r="A802" s="2" t="s">
        <v>0</v>
      </c>
      <c r="B802" s="2">
        <v>25</v>
      </c>
      <c r="C802" s="2">
        <v>7</v>
      </c>
      <c r="D802" s="2">
        <v>2020</v>
      </c>
      <c r="E802" s="1" t="s">
        <v>94</v>
      </c>
      <c r="F802" s="2">
        <v>80.290000000000006</v>
      </c>
    </row>
    <row r="803" spans="1:6" x14ac:dyDescent="0.2">
      <c r="A803" s="2" t="s">
        <v>0</v>
      </c>
      <c r="B803" s="2">
        <v>25</v>
      </c>
      <c r="C803" s="2">
        <v>10</v>
      </c>
      <c r="D803" s="2">
        <v>2020</v>
      </c>
      <c r="E803" s="1" t="s">
        <v>94</v>
      </c>
      <c r="F803" s="2">
        <v>80.290000000000006</v>
      </c>
    </row>
    <row r="804" spans="1:6" x14ac:dyDescent="0.2">
      <c r="A804" s="2" t="s">
        <v>84</v>
      </c>
      <c r="B804" s="2">
        <v>20</v>
      </c>
      <c r="C804" s="2">
        <v>1</v>
      </c>
      <c r="D804" s="2">
        <v>2020</v>
      </c>
      <c r="E804" s="2">
        <v>142.29</v>
      </c>
      <c r="F804" s="2">
        <v>80.290000000000006</v>
      </c>
    </row>
    <row r="805" spans="1:6" x14ac:dyDescent="0.2">
      <c r="A805" s="2" t="s">
        <v>87</v>
      </c>
      <c r="B805" s="2">
        <v>1</v>
      </c>
      <c r="C805" s="2">
        <v>1</v>
      </c>
      <c r="D805" s="2">
        <v>2020</v>
      </c>
      <c r="E805" s="2">
        <v>109.43</v>
      </c>
      <c r="F805" s="2">
        <v>80.290000000000006</v>
      </c>
    </row>
    <row r="806" spans="1:6" x14ac:dyDescent="0.2">
      <c r="A806" s="2" t="s">
        <v>35</v>
      </c>
      <c r="B806" s="2">
        <v>9</v>
      </c>
      <c r="C806" s="2">
        <v>1</v>
      </c>
      <c r="D806" s="2">
        <v>2020</v>
      </c>
      <c r="E806" s="2">
        <v>102.61</v>
      </c>
      <c r="F806" s="2">
        <v>80.290000000000006</v>
      </c>
    </row>
    <row r="807" spans="1:6" x14ac:dyDescent="0.2">
      <c r="A807" s="2" t="s">
        <v>33</v>
      </c>
      <c r="B807" s="2">
        <v>21</v>
      </c>
      <c r="C807" s="2">
        <v>1</v>
      </c>
      <c r="D807" s="2">
        <v>2020</v>
      </c>
      <c r="E807" s="2">
        <v>98.27</v>
      </c>
      <c r="F807" s="2">
        <v>80.290000000000006</v>
      </c>
    </row>
    <row r="808" spans="1:6" x14ac:dyDescent="0.2">
      <c r="A808" s="2" t="s">
        <v>48</v>
      </c>
      <c r="B808" s="2">
        <v>24</v>
      </c>
      <c r="C808" s="2">
        <v>12</v>
      </c>
      <c r="D808" s="2">
        <v>2020</v>
      </c>
      <c r="E808" s="2">
        <v>95.48</v>
      </c>
      <c r="F808" s="2">
        <v>80.290000000000006</v>
      </c>
    </row>
    <row r="809" spans="1:6" x14ac:dyDescent="0.2">
      <c r="A809" s="2" t="s">
        <v>73</v>
      </c>
      <c r="B809" s="2">
        <v>5</v>
      </c>
      <c r="C809" s="2">
        <v>7</v>
      </c>
      <c r="D809" s="2">
        <v>2020</v>
      </c>
      <c r="E809" s="2">
        <v>44.33</v>
      </c>
      <c r="F809" s="2">
        <v>80.290000000000006</v>
      </c>
    </row>
    <row r="810" spans="1:6" x14ac:dyDescent="0.2">
      <c r="A810" s="2" t="s">
        <v>74</v>
      </c>
      <c r="B810" s="2">
        <v>5</v>
      </c>
      <c r="C810" s="2">
        <v>8</v>
      </c>
      <c r="D810" s="2">
        <v>2020</v>
      </c>
      <c r="E810" s="2">
        <v>44.02</v>
      </c>
      <c r="F810" s="2">
        <v>80.290000000000006</v>
      </c>
    </row>
    <row r="811" spans="1:6" x14ac:dyDescent="0.2">
      <c r="A811" s="2" t="s">
        <v>42</v>
      </c>
      <c r="B811" s="2">
        <v>12</v>
      </c>
      <c r="C811" s="2">
        <v>5</v>
      </c>
      <c r="D811" s="2">
        <v>2020</v>
      </c>
      <c r="E811" s="2">
        <v>35.340000000000003</v>
      </c>
      <c r="F811" s="2">
        <v>80.290000000000006</v>
      </c>
    </row>
    <row r="812" spans="1:6" x14ac:dyDescent="0.2">
      <c r="A812" s="2" t="s">
        <v>69</v>
      </c>
      <c r="B812" s="2">
        <v>12</v>
      </c>
      <c r="C812" s="2">
        <v>11</v>
      </c>
      <c r="D812" s="2">
        <v>2020</v>
      </c>
      <c r="E812" s="2">
        <v>106.5</v>
      </c>
      <c r="F812" s="2">
        <v>80.099999999999994</v>
      </c>
    </row>
    <row r="813" spans="1:6" x14ac:dyDescent="0.2">
      <c r="A813" s="2" t="s">
        <v>50</v>
      </c>
      <c r="B813" s="2">
        <v>24</v>
      </c>
      <c r="C813" s="2">
        <v>4</v>
      </c>
      <c r="D813" s="2">
        <v>2020</v>
      </c>
      <c r="E813" s="2">
        <v>62.1</v>
      </c>
      <c r="F813" s="2">
        <v>80.099999999999994</v>
      </c>
    </row>
    <row r="814" spans="1:6" x14ac:dyDescent="0.2">
      <c r="A814" s="2" t="s">
        <v>60</v>
      </c>
      <c r="B814" s="2">
        <v>20</v>
      </c>
      <c r="C814" s="2">
        <v>9</v>
      </c>
      <c r="D814" s="2">
        <v>2020</v>
      </c>
      <c r="E814" s="2">
        <v>46.2</v>
      </c>
      <c r="F814" s="2">
        <v>80.099999999999994</v>
      </c>
    </row>
    <row r="815" spans="1:6" x14ac:dyDescent="0.2">
      <c r="A815" s="2" t="s">
        <v>35</v>
      </c>
      <c r="B815" s="2">
        <v>9</v>
      </c>
      <c r="C815" s="2">
        <v>9</v>
      </c>
      <c r="D815" s="2">
        <v>2020</v>
      </c>
      <c r="E815" s="2">
        <v>26.7</v>
      </c>
      <c r="F815" s="2">
        <v>80.099999999999994</v>
      </c>
    </row>
    <row r="816" spans="1:6" x14ac:dyDescent="0.2">
      <c r="A816" s="2" t="s">
        <v>38</v>
      </c>
      <c r="B816" s="2">
        <v>21</v>
      </c>
      <c r="C816" s="2">
        <v>6</v>
      </c>
      <c r="D816" s="2">
        <v>2020</v>
      </c>
      <c r="E816" s="2">
        <v>20.100000000000001</v>
      </c>
      <c r="F816" s="2">
        <v>80.099999999999994</v>
      </c>
    </row>
    <row r="817" spans="1:6" x14ac:dyDescent="0.2">
      <c r="A817" s="2" t="s">
        <v>64</v>
      </c>
      <c r="B817" s="2">
        <v>21</v>
      </c>
      <c r="C817" s="2">
        <v>10</v>
      </c>
      <c r="D817" s="2">
        <v>2020</v>
      </c>
      <c r="E817" s="2">
        <v>75.02</v>
      </c>
      <c r="F817" s="2">
        <v>79.98</v>
      </c>
    </row>
    <row r="818" spans="1:6" x14ac:dyDescent="0.2">
      <c r="A818" s="2" t="s">
        <v>37</v>
      </c>
      <c r="B818" s="2">
        <v>12</v>
      </c>
      <c r="C818" s="2">
        <v>10</v>
      </c>
      <c r="D818" s="2">
        <v>2020</v>
      </c>
      <c r="E818" s="2">
        <v>62</v>
      </c>
      <c r="F818" s="2">
        <v>79.98</v>
      </c>
    </row>
    <row r="819" spans="1:6" x14ac:dyDescent="0.2">
      <c r="A819" s="2" t="s">
        <v>84</v>
      </c>
      <c r="B819" s="2">
        <v>20</v>
      </c>
      <c r="C819" s="2">
        <v>7</v>
      </c>
      <c r="D819" s="2">
        <v>2020</v>
      </c>
      <c r="E819" s="2">
        <v>55.8</v>
      </c>
      <c r="F819" s="2">
        <v>79.98</v>
      </c>
    </row>
    <row r="820" spans="1:6" x14ac:dyDescent="0.2">
      <c r="A820" s="2" t="s">
        <v>81</v>
      </c>
      <c r="B820" s="2">
        <v>19</v>
      </c>
      <c r="C820" s="2">
        <v>11</v>
      </c>
      <c r="D820" s="2">
        <v>2020</v>
      </c>
      <c r="E820" s="2">
        <v>105</v>
      </c>
      <c r="F820" s="2">
        <v>79.8</v>
      </c>
    </row>
    <row r="821" spans="1:6" x14ac:dyDescent="0.2">
      <c r="A821" s="2" t="s">
        <v>56</v>
      </c>
      <c r="B821" s="2">
        <v>14</v>
      </c>
      <c r="C821" s="2">
        <v>9</v>
      </c>
      <c r="D821" s="2">
        <v>2020</v>
      </c>
      <c r="E821" s="2">
        <v>45.6</v>
      </c>
      <c r="F821" s="2">
        <v>79.8</v>
      </c>
    </row>
    <row r="822" spans="1:6" x14ac:dyDescent="0.2">
      <c r="A822" s="2" t="s">
        <v>0</v>
      </c>
      <c r="B822" s="2">
        <v>25</v>
      </c>
      <c r="C822" s="2">
        <v>8</v>
      </c>
      <c r="D822" s="2">
        <v>2020</v>
      </c>
      <c r="E822" s="1" t="s">
        <v>94</v>
      </c>
      <c r="F822" s="2">
        <v>79.67</v>
      </c>
    </row>
    <row r="823" spans="1:6" x14ac:dyDescent="0.2">
      <c r="A823" s="2" t="s">
        <v>60</v>
      </c>
      <c r="B823" s="2">
        <v>20</v>
      </c>
      <c r="C823" s="2">
        <v>3</v>
      </c>
      <c r="D823" s="2">
        <v>2020</v>
      </c>
      <c r="E823" s="2">
        <v>67.58</v>
      </c>
      <c r="F823" s="2">
        <v>79.67</v>
      </c>
    </row>
    <row r="824" spans="1:6" x14ac:dyDescent="0.2">
      <c r="A824" s="2" t="s">
        <v>87</v>
      </c>
      <c r="B824" s="2">
        <v>1</v>
      </c>
      <c r="C824" s="2">
        <v>8</v>
      </c>
      <c r="D824" s="2">
        <v>2020</v>
      </c>
      <c r="E824" s="2">
        <v>51.15</v>
      </c>
      <c r="F824" s="2">
        <v>79.67</v>
      </c>
    </row>
    <row r="825" spans="1:6" x14ac:dyDescent="0.2">
      <c r="A825" s="2" t="s">
        <v>81</v>
      </c>
      <c r="B825" s="2">
        <v>19</v>
      </c>
      <c r="C825" s="2">
        <v>2</v>
      </c>
      <c r="D825" s="2">
        <v>2020</v>
      </c>
      <c r="E825" s="2">
        <v>102.48</v>
      </c>
      <c r="F825" s="2">
        <v>79.52</v>
      </c>
    </row>
    <row r="826" spans="1:6" x14ac:dyDescent="0.2">
      <c r="A826" s="2" t="s">
        <v>96</v>
      </c>
      <c r="B826" s="2">
        <v>3</v>
      </c>
      <c r="C826" s="2">
        <v>6</v>
      </c>
      <c r="D826" s="2">
        <v>2020</v>
      </c>
      <c r="E826" s="1" t="s">
        <v>94</v>
      </c>
      <c r="F826" s="2">
        <v>79.5</v>
      </c>
    </row>
    <row r="827" spans="1:6" x14ac:dyDescent="0.2">
      <c r="A827" s="2" t="s">
        <v>56</v>
      </c>
      <c r="B827" s="2">
        <v>14</v>
      </c>
      <c r="C827" s="2">
        <v>11</v>
      </c>
      <c r="D827" s="2">
        <v>2020</v>
      </c>
      <c r="E827" s="2">
        <v>103.5</v>
      </c>
      <c r="F827" s="2">
        <v>79.5</v>
      </c>
    </row>
    <row r="828" spans="1:6" x14ac:dyDescent="0.2">
      <c r="A828" s="2" t="s">
        <v>69</v>
      </c>
      <c r="B828" s="2">
        <v>12</v>
      </c>
      <c r="C828" s="2">
        <v>9</v>
      </c>
      <c r="D828" s="2">
        <v>2020</v>
      </c>
      <c r="E828" s="2">
        <v>36.9</v>
      </c>
      <c r="F828" s="2">
        <v>79.5</v>
      </c>
    </row>
    <row r="829" spans="1:6" x14ac:dyDescent="0.2">
      <c r="A829" s="2" t="s">
        <v>0</v>
      </c>
      <c r="B829" s="2">
        <v>25</v>
      </c>
      <c r="C829" s="2">
        <v>12</v>
      </c>
      <c r="D829" s="2">
        <v>2020</v>
      </c>
      <c r="E829" s="1" t="s">
        <v>94</v>
      </c>
      <c r="F829" s="2">
        <v>79.36</v>
      </c>
    </row>
    <row r="830" spans="1:6" x14ac:dyDescent="0.2">
      <c r="A830" s="2" t="s">
        <v>59</v>
      </c>
      <c r="B830" s="2">
        <v>11</v>
      </c>
      <c r="C830" s="2">
        <v>1</v>
      </c>
      <c r="D830" s="2">
        <v>2020</v>
      </c>
      <c r="E830" s="2">
        <v>114.7</v>
      </c>
      <c r="F830" s="2">
        <v>79.36</v>
      </c>
    </row>
    <row r="831" spans="1:6" x14ac:dyDescent="0.2">
      <c r="A831" s="2" t="s">
        <v>93</v>
      </c>
      <c r="B831" s="2">
        <v>3</v>
      </c>
      <c r="C831" s="2">
        <v>10</v>
      </c>
      <c r="D831" s="2">
        <v>2020</v>
      </c>
      <c r="E831" s="2">
        <v>114.08</v>
      </c>
      <c r="F831" s="2">
        <v>79.36</v>
      </c>
    </row>
    <row r="832" spans="1:6" x14ac:dyDescent="0.2">
      <c r="A832" s="2" t="s">
        <v>46</v>
      </c>
      <c r="B832" s="2">
        <v>9</v>
      </c>
      <c r="C832" s="2">
        <v>5</v>
      </c>
      <c r="D832" s="2">
        <v>2020</v>
      </c>
      <c r="E832" s="2">
        <v>41.23</v>
      </c>
      <c r="F832" s="2">
        <v>79.36</v>
      </c>
    </row>
    <row r="833" spans="1:6" x14ac:dyDescent="0.2">
      <c r="A833" s="2" t="s">
        <v>66</v>
      </c>
      <c r="B833" s="2">
        <v>23</v>
      </c>
      <c r="C833" s="2">
        <v>7</v>
      </c>
      <c r="D833" s="2">
        <v>2020</v>
      </c>
      <c r="E833" s="2">
        <v>37.82</v>
      </c>
      <c r="F833" s="2">
        <v>79.36</v>
      </c>
    </row>
    <row r="834" spans="1:6" x14ac:dyDescent="0.2">
      <c r="A834" s="2" t="s">
        <v>53</v>
      </c>
      <c r="B834" s="2">
        <v>18</v>
      </c>
      <c r="C834" s="2">
        <v>2</v>
      </c>
      <c r="D834" s="2">
        <v>2020</v>
      </c>
      <c r="E834" s="2">
        <v>106.4</v>
      </c>
      <c r="F834" s="2">
        <v>79.239999999999995</v>
      </c>
    </row>
    <row r="835" spans="1:6" x14ac:dyDescent="0.2">
      <c r="A835" s="2" t="s">
        <v>0</v>
      </c>
      <c r="B835" s="2">
        <v>25</v>
      </c>
      <c r="C835" s="2">
        <v>11</v>
      </c>
      <c r="D835" s="2">
        <v>2020</v>
      </c>
      <c r="E835" s="1" t="s">
        <v>94</v>
      </c>
      <c r="F835" s="2">
        <v>79.2</v>
      </c>
    </row>
    <row r="836" spans="1:6" x14ac:dyDescent="0.2">
      <c r="A836" s="2" t="s">
        <v>92</v>
      </c>
      <c r="B836" s="2">
        <v>7</v>
      </c>
      <c r="C836" s="2">
        <v>11</v>
      </c>
      <c r="D836" s="2">
        <v>2020</v>
      </c>
      <c r="E836" s="2">
        <v>162.9</v>
      </c>
      <c r="F836" s="2">
        <v>79.2</v>
      </c>
    </row>
    <row r="837" spans="1:6" x14ac:dyDescent="0.2">
      <c r="A837" s="2" t="s">
        <v>87</v>
      </c>
      <c r="B837" s="2">
        <v>1</v>
      </c>
      <c r="C837" s="2">
        <v>9</v>
      </c>
      <c r="D837" s="2">
        <v>2020</v>
      </c>
      <c r="E837" s="2">
        <v>60</v>
      </c>
      <c r="F837" s="2">
        <v>79.2</v>
      </c>
    </row>
    <row r="838" spans="1:6" x14ac:dyDescent="0.2">
      <c r="A838" s="2" t="s">
        <v>64</v>
      </c>
      <c r="B838" s="2">
        <v>21</v>
      </c>
      <c r="C838" s="2">
        <v>6</v>
      </c>
      <c r="D838" s="2">
        <v>2020</v>
      </c>
      <c r="E838" s="2">
        <v>39.6</v>
      </c>
      <c r="F838" s="2">
        <v>79.2</v>
      </c>
    </row>
    <row r="839" spans="1:6" x14ac:dyDescent="0.2">
      <c r="A839" s="2" t="s">
        <v>63</v>
      </c>
      <c r="B839" s="2">
        <v>25</v>
      </c>
      <c r="C839" s="2">
        <v>12</v>
      </c>
      <c r="D839" s="2">
        <v>2020</v>
      </c>
      <c r="E839" s="2">
        <v>100.75</v>
      </c>
      <c r="F839" s="2">
        <v>79.05</v>
      </c>
    </row>
    <row r="840" spans="1:6" x14ac:dyDescent="0.2">
      <c r="A840" s="2" t="s">
        <v>51</v>
      </c>
      <c r="B840" s="2">
        <v>16</v>
      </c>
      <c r="C840" s="2">
        <v>5</v>
      </c>
      <c r="D840" s="2">
        <v>2020</v>
      </c>
      <c r="E840" s="2">
        <v>46.19</v>
      </c>
      <c r="F840" s="2">
        <v>79.05</v>
      </c>
    </row>
    <row r="841" spans="1:6" x14ac:dyDescent="0.2">
      <c r="A841" s="2" t="s">
        <v>52</v>
      </c>
      <c r="B841" s="2">
        <v>1</v>
      </c>
      <c r="C841" s="2">
        <v>11</v>
      </c>
      <c r="D841" s="2">
        <v>2020</v>
      </c>
      <c r="E841" s="2">
        <v>110.7</v>
      </c>
      <c r="F841" s="2">
        <v>78.900000000000006</v>
      </c>
    </row>
    <row r="842" spans="1:6" x14ac:dyDescent="0.2">
      <c r="A842" s="2" t="s">
        <v>92</v>
      </c>
      <c r="B842" s="2">
        <v>7</v>
      </c>
      <c r="C842" s="2">
        <v>9</v>
      </c>
      <c r="D842" s="2">
        <v>2020</v>
      </c>
      <c r="E842" s="2">
        <v>76.2</v>
      </c>
      <c r="F842" s="2">
        <v>78.900000000000006</v>
      </c>
    </row>
    <row r="843" spans="1:6" x14ac:dyDescent="0.2">
      <c r="A843" s="2" t="s">
        <v>33</v>
      </c>
      <c r="B843" s="2">
        <v>21</v>
      </c>
      <c r="C843" s="2">
        <v>4</v>
      </c>
      <c r="D843" s="2">
        <v>2020</v>
      </c>
      <c r="E843" s="2">
        <v>42.3</v>
      </c>
      <c r="F843" s="2">
        <v>78.900000000000006</v>
      </c>
    </row>
    <row r="844" spans="1:6" x14ac:dyDescent="0.2">
      <c r="A844" s="2" t="s">
        <v>96</v>
      </c>
      <c r="B844" s="2">
        <v>3</v>
      </c>
      <c r="C844" s="2">
        <v>12</v>
      </c>
      <c r="D844" s="2">
        <v>2020</v>
      </c>
      <c r="E844" s="1" t="s">
        <v>94</v>
      </c>
      <c r="F844" s="2">
        <v>78.739999999999995</v>
      </c>
    </row>
    <row r="845" spans="1:6" x14ac:dyDescent="0.2">
      <c r="A845" s="2" t="s">
        <v>50</v>
      </c>
      <c r="B845" s="2">
        <v>24</v>
      </c>
      <c r="C845" s="2">
        <v>12</v>
      </c>
      <c r="D845" s="2">
        <v>2020</v>
      </c>
      <c r="E845" s="2">
        <v>121.52</v>
      </c>
      <c r="F845" s="2">
        <v>78.739999999999995</v>
      </c>
    </row>
    <row r="846" spans="1:6" x14ac:dyDescent="0.2">
      <c r="A846" s="2" t="s">
        <v>67</v>
      </c>
      <c r="B846" s="2">
        <v>13</v>
      </c>
      <c r="C846" s="2">
        <v>1</v>
      </c>
      <c r="D846" s="2">
        <v>2020</v>
      </c>
      <c r="E846" s="2">
        <v>114.08</v>
      </c>
      <c r="F846" s="2">
        <v>78.739999999999995</v>
      </c>
    </row>
    <row r="847" spans="1:6" x14ac:dyDescent="0.2">
      <c r="A847" s="2" t="s">
        <v>56</v>
      </c>
      <c r="B847" s="2">
        <v>14</v>
      </c>
      <c r="C847" s="2">
        <v>8</v>
      </c>
      <c r="D847" s="2">
        <v>2020</v>
      </c>
      <c r="E847" s="2">
        <v>36.89</v>
      </c>
      <c r="F847" s="2">
        <v>78.739999999999995</v>
      </c>
    </row>
    <row r="848" spans="1:6" x14ac:dyDescent="0.2">
      <c r="A848" s="2" t="s">
        <v>82</v>
      </c>
      <c r="B848" s="2">
        <v>8</v>
      </c>
      <c r="C848" s="2">
        <v>11</v>
      </c>
      <c r="D848" s="2">
        <v>2020</v>
      </c>
      <c r="E848" s="2">
        <v>127.2</v>
      </c>
      <c r="F848" s="2">
        <v>78.599999999999994</v>
      </c>
    </row>
    <row r="849" spans="1:6" x14ac:dyDescent="0.2">
      <c r="A849" s="2" t="s">
        <v>58</v>
      </c>
      <c r="B849" s="2">
        <v>16</v>
      </c>
      <c r="C849" s="2">
        <v>6</v>
      </c>
      <c r="D849" s="2">
        <v>2020</v>
      </c>
      <c r="E849" s="2">
        <v>36.9</v>
      </c>
      <c r="F849" s="2">
        <v>78.599999999999994</v>
      </c>
    </row>
    <row r="850" spans="1:6" x14ac:dyDescent="0.2">
      <c r="A850" s="2" t="s">
        <v>57</v>
      </c>
      <c r="B850" s="2">
        <v>17</v>
      </c>
      <c r="C850" s="2">
        <v>9</v>
      </c>
      <c r="D850" s="2">
        <v>2020</v>
      </c>
      <c r="E850" s="2">
        <v>36</v>
      </c>
      <c r="F850" s="2">
        <v>78.599999999999994</v>
      </c>
    </row>
    <row r="851" spans="1:6" x14ac:dyDescent="0.2">
      <c r="A851" s="2" t="s">
        <v>70</v>
      </c>
      <c r="B851" s="2">
        <v>16</v>
      </c>
      <c r="C851" s="2">
        <v>3</v>
      </c>
      <c r="D851" s="2">
        <v>2020</v>
      </c>
      <c r="E851" s="2">
        <v>76.260000000000005</v>
      </c>
      <c r="F851" s="2">
        <v>78.430000000000007</v>
      </c>
    </row>
    <row r="852" spans="1:6" x14ac:dyDescent="0.2">
      <c r="A852" s="2" t="s">
        <v>52</v>
      </c>
      <c r="B852" s="2">
        <v>1</v>
      </c>
      <c r="C852" s="2">
        <v>3</v>
      </c>
      <c r="D852" s="2">
        <v>2020</v>
      </c>
      <c r="E852" s="2">
        <v>58.9</v>
      </c>
      <c r="F852" s="2">
        <v>78.430000000000007</v>
      </c>
    </row>
    <row r="853" spans="1:6" x14ac:dyDescent="0.2">
      <c r="A853" s="2" t="s">
        <v>34</v>
      </c>
      <c r="B853" s="2">
        <v>4</v>
      </c>
      <c r="C853" s="2">
        <v>10</v>
      </c>
      <c r="D853" s="2">
        <v>2020</v>
      </c>
      <c r="E853" s="2">
        <v>55.18</v>
      </c>
      <c r="F853" s="2">
        <v>78.430000000000007</v>
      </c>
    </row>
    <row r="854" spans="1:6" x14ac:dyDescent="0.2">
      <c r="A854" s="2" t="s">
        <v>33</v>
      </c>
      <c r="B854" s="2">
        <v>21</v>
      </c>
      <c r="C854" s="2">
        <v>3</v>
      </c>
      <c r="D854" s="2">
        <v>2020</v>
      </c>
      <c r="E854" s="2">
        <v>42.47</v>
      </c>
      <c r="F854" s="2">
        <v>78.430000000000007</v>
      </c>
    </row>
    <row r="855" spans="1:6" x14ac:dyDescent="0.2">
      <c r="A855" s="2" t="s">
        <v>58</v>
      </c>
      <c r="B855" s="2">
        <v>16</v>
      </c>
      <c r="C855" s="2">
        <v>7</v>
      </c>
      <c r="D855" s="2">
        <v>2020</v>
      </c>
      <c r="E855" s="2">
        <v>36.270000000000003</v>
      </c>
      <c r="F855" s="2">
        <v>78.430000000000007</v>
      </c>
    </row>
    <row r="856" spans="1:6" x14ac:dyDescent="0.2">
      <c r="A856" s="2" t="s">
        <v>59</v>
      </c>
      <c r="B856" s="2">
        <v>11</v>
      </c>
      <c r="C856" s="2">
        <v>8</v>
      </c>
      <c r="D856" s="2">
        <v>2020</v>
      </c>
      <c r="E856" s="2">
        <v>34.72</v>
      </c>
      <c r="F856" s="2">
        <v>78.430000000000007</v>
      </c>
    </row>
    <row r="857" spans="1:6" x14ac:dyDescent="0.2">
      <c r="A857" s="2" t="s">
        <v>38</v>
      </c>
      <c r="B857" s="2">
        <v>21</v>
      </c>
      <c r="C857" s="2">
        <v>7</v>
      </c>
      <c r="D857" s="2">
        <v>2020</v>
      </c>
      <c r="E857" s="2">
        <v>23.87</v>
      </c>
      <c r="F857" s="2">
        <v>78.430000000000007</v>
      </c>
    </row>
    <row r="858" spans="1:6" x14ac:dyDescent="0.2">
      <c r="A858" s="2" t="s">
        <v>52</v>
      </c>
      <c r="B858" s="2">
        <v>1</v>
      </c>
      <c r="C858" s="2">
        <v>2</v>
      </c>
      <c r="D858" s="2">
        <v>2020</v>
      </c>
      <c r="E858" s="2">
        <v>107.8</v>
      </c>
      <c r="F858" s="2">
        <v>78.400000000000006</v>
      </c>
    </row>
    <row r="859" spans="1:6" x14ac:dyDescent="0.2">
      <c r="A859" s="2" t="s">
        <v>70</v>
      </c>
      <c r="B859" s="2">
        <v>16</v>
      </c>
      <c r="C859" s="2">
        <v>2</v>
      </c>
      <c r="D859" s="2">
        <v>2020</v>
      </c>
      <c r="E859" s="2">
        <v>89.6</v>
      </c>
      <c r="F859" s="2">
        <v>78.400000000000006</v>
      </c>
    </row>
    <row r="860" spans="1:6" x14ac:dyDescent="0.2">
      <c r="A860" s="2" t="s">
        <v>64</v>
      </c>
      <c r="B860" s="2">
        <v>21</v>
      </c>
      <c r="C860" s="2">
        <v>11</v>
      </c>
      <c r="D860" s="2">
        <v>2020</v>
      </c>
      <c r="E860" s="2">
        <v>114.3</v>
      </c>
      <c r="F860" s="2">
        <v>78.3</v>
      </c>
    </row>
    <row r="861" spans="1:6" x14ac:dyDescent="0.2">
      <c r="A861" s="2" t="s">
        <v>65</v>
      </c>
      <c r="B861" s="2">
        <v>11</v>
      </c>
      <c r="C861" s="2">
        <v>4</v>
      </c>
      <c r="D861" s="2">
        <v>2020</v>
      </c>
      <c r="E861" s="2">
        <v>68.7</v>
      </c>
      <c r="F861" s="2">
        <v>78.3</v>
      </c>
    </row>
    <row r="862" spans="1:6" x14ac:dyDescent="0.2">
      <c r="A862" s="2" t="s">
        <v>64</v>
      </c>
      <c r="B862" s="2">
        <v>21</v>
      </c>
      <c r="C862" s="2">
        <v>12</v>
      </c>
      <c r="D862" s="2">
        <v>2020</v>
      </c>
      <c r="E862" s="2">
        <v>120.28</v>
      </c>
      <c r="F862" s="2">
        <v>78.12</v>
      </c>
    </row>
    <row r="863" spans="1:6" x14ac:dyDescent="0.2">
      <c r="A863" s="2" t="s">
        <v>76</v>
      </c>
      <c r="B863" s="2">
        <v>9</v>
      </c>
      <c r="C863" s="2">
        <v>12</v>
      </c>
      <c r="D863" s="2">
        <v>2020</v>
      </c>
      <c r="E863" s="2">
        <v>113.77</v>
      </c>
      <c r="F863" s="2">
        <v>78.12</v>
      </c>
    </row>
    <row r="864" spans="1:6" x14ac:dyDescent="0.2">
      <c r="A864" s="2" t="s">
        <v>43</v>
      </c>
      <c r="B864" s="2">
        <v>15</v>
      </c>
      <c r="C864" s="2">
        <v>12</v>
      </c>
      <c r="D864" s="2">
        <v>2020</v>
      </c>
      <c r="E864" s="2">
        <v>90.52</v>
      </c>
      <c r="F864" s="2">
        <v>78.12</v>
      </c>
    </row>
    <row r="865" spans="1:6" x14ac:dyDescent="0.2">
      <c r="A865" s="2" t="s">
        <v>87</v>
      </c>
      <c r="B865" s="2">
        <v>1</v>
      </c>
      <c r="C865" s="2">
        <v>10</v>
      </c>
      <c r="D865" s="2">
        <v>2020</v>
      </c>
      <c r="E865" s="2">
        <v>85.87</v>
      </c>
      <c r="F865" s="2">
        <v>78.12</v>
      </c>
    </row>
    <row r="866" spans="1:6" x14ac:dyDescent="0.2">
      <c r="A866" s="2" t="s">
        <v>55</v>
      </c>
      <c r="B866" s="2">
        <v>18</v>
      </c>
      <c r="C866" s="2">
        <v>7</v>
      </c>
      <c r="D866" s="2">
        <v>2020</v>
      </c>
      <c r="E866" s="2">
        <v>38.130000000000003</v>
      </c>
      <c r="F866" s="2">
        <v>78.12</v>
      </c>
    </row>
    <row r="867" spans="1:6" x14ac:dyDescent="0.2">
      <c r="A867" s="2" t="s">
        <v>51</v>
      </c>
      <c r="B867" s="2">
        <v>16</v>
      </c>
      <c r="C867" s="2">
        <v>8</v>
      </c>
      <c r="D867" s="2">
        <v>2020</v>
      </c>
      <c r="E867" s="2">
        <v>27.28</v>
      </c>
      <c r="F867" s="2">
        <v>78.12</v>
      </c>
    </row>
    <row r="868" spans="1:6" x14ac:dyDescent="0.2">
      <c r="A868" s="2" t="s">
        <v>74</v>
      </c>
      <c r="B868" s="2">
        <v>5</v>
      </c>
      <c r="C868" s="2">
        <v>4</v>
      </c>
      <c r="D868" s="2">
        <v>2020</v>
      </c>
      <c r="E868" s="2">
        <v>69.900000000000006</v>
      </c>
      <c r="F868" s="2">
        <v>78</v>
      </c>
    </row>
    <row r="869" spans="1:6" x14ac:dyDescent="0.2">
      <c r="A869" s="2" t="s">
        <v>78</v>
      </c>
      <c r="B869" s="2">
        <v>18</v>
      </c>
      <c r="C869" s="2">
        <v>1</v>
      </c>
      <c r="D869" s="2">
        <v>2020</v>
      </c>
      <c r="E869" s="2">
        <v>128.34</v>
      </c>
      <c r="F869" s="2">
        <v>77.81</v>
      </c>
    </row>
    <row r="870" spans="1:6" x14ac:dyDescent="0.2">
      <c r="A870" s="2" t="s">
        <v>92</v>
      </c>
      <c r="B870" s="2">
        <v>7</v>
      </c>
      <c r="C870" s="2">
        <v>10</v>
      </c>
      <c r="D870" s="2">
        <v>2020</v>
      </c>
      <c r="E870" s="2">
        <v>109.74</v>
      </c>
      <c r="F870" s="2">
        <v>77.81</v>
      </c>
    </row>
    <row r="871" spans="1:6" x14ac:dyDescent="0.2">
      <c r="A871" s="2" t="s">
        <v>70</v>
      </c>
      <c r="B871" s="2">
        <v>16</v>
      </c>
      <c r="C871" s="2">
        <v>5</v>
      </c>
      <c r="D871" s="2">
        <v>2020</v>
      </c>
      <c r="E871" s="2">
        <v>46.81</v>
      </c>
      <c r="F871" s="2">
        <v>77.81</v>
      </c>
    </row>
    <row r="872" spans="1:6" x14ac:dyDescent="0.2">
      <c r="A872" s="2" t="s">
        <v>56</v>
      </c>
      <c r="B872" s="2">
        <v>14</v>
      </c>
      <c r="C872" s="2">
        <v>5</v>
      </c>
      <c r="D872" s="2">
        <v>2020</v>
      </c>
      <c r="E872" s="2">
        <v>42.78</v>
      </c>
      <c r="F872" s="2">
        <v>77.81</v>
      </c>
    </row>
    <row r="873" spans="1:6" x14ac:dyDescent="0.2">
      <c r="A873" s="2" t="s">
        <v>58</v>
      </c>
      <c r="B873" s="2">
        <v>16</v>
      </c>
      <c r="C873" s="2">
        <v>8</v>
      </c>
      <c r="D873" s="2">
        <v>2020</v>
      </c>
      <c r="E873" s="2">
        <v>37.200000000000003</v>
      </c>
      <c r="F873" s="2">
        <v>77.81</v>
      </c>
    </row>
    <row r="874" spans="1:6" x14ac:dyDescent="0.2">
      <c r="A874" s="2" t="s">
        <v>66</v>
      </c>
      <c r="B874" s="2">
        <v>23</v>
      </c>
      <c r="C874" s="2">
        <v>11</v>
      </c>
      <c r="D874" s="2">
        <v>2020</v>
      </c>
      <c r="E874" s="2">
        <v>99.3</v>
      </c>
      <c r="F874" s="2">
        <v>77.7</v>
      </c>
    </row>
    <row r="875" spans="1:6" x14ac:dyDescent="0.2">
      <c r="A875" s="2" t="s">
        <v>63</v>
      </c>
      <c r="B875" s="2">
        <v>25</v>
      </c>
      <c r="C875" s="2">
        <v>4</v>
      </c>
      <c r="D875" s="2">
        <v>2020</v>
      </c>
      <c r="E875" s="2">
        <v>71.7</v>
      </c>
      <c r="F875" s="2">
        <v>77.7</v>
      </c>
    </row>
    <row r="876" spans="1:6" x14ac:dyDescent="0.2">
      <c r="A876" s="2" t="s">
        <v>78</v>
      </c>
      <c r="B876" s="2">
        <v>18</v>
      </c>
      <c r="C876" s="2">
        <v>9</v>
      </c>
      <c r="D876" s="2">
        <v>2020</v>
      </c>
      <c r="E876" s="2">
        <v>54.6</v>
      </c>
      <c r="F876" s="2">
        <v>77.7</v>
      </c>
    </row>
    <row r="877" spans="1:6" x14ac:dyDescent="0.2">
      <c r="A877" s="2" t="s">
        <v>33</v>
      </c>
      <c r="B877" s="2">
        <v>21</v>
      </c>
      <c r="C877" s="2">
        <v>6</v>
      </c>
      <c r="D877" s="2">
        <v>2020</v>
      </c>
      <c r="E877" s="2">
        <v>18.600000000000001</v>
      </c>
      <c r="F877" s="2">
        <v>77.7</v>
      </c>
    </row>
    <row r="878" spans="1:6" x14ac:dyDescent="0.2">
      <c r="A878" s="2" t="s">
        <v>96</v>
      </c>
      <c r="B878" s="2">
        <v>3</v>
      </c>
      <c r="C878" s="2">
        <v>8</v>
      </c>
      <c r="D878" s="2">
        <v>2020</v>
      </c>
      <c r="E878" s="1" t="s">
        <v>94</v>
      </c>
      <c r="F878" s="2">
        <v>77.5</v>
      </c>
    </row>
    <row r="879" spans="1:6" x14ac:dyDescent="0.2">
      <c r="A879" s="2" t="s">
        <v>93</v>
      </c>
      <c r="B879" s="2">
        <v>3</v>
      </c>
      <c r="C879" s="2">
        <v>12</v>
      </c>
      <c r="D879" s="2">
        <v>2020</v>
      </c>
      <c r="E879" s="2">
        <v>177.01</v>
      </c>
      <c r="F879" s="2">
        <v>77.5</v>
      </c>
    </row>
    <row r="880" spans="1:6" x14ac:dyDescent="0.2">
      <c r="A880" s="2" t="s">
        <v>70</v>
      </c>
      <c r="B880" s="2">
        <v>16</v>
      </c>
      <c r="C880" s="2">
        <v>12</v>
      </c>
      <c r="D880" s="2">
        <v>2020</v>
      </c>
      <c r="E880" s="2">
        <v>114.7</v>
      </c>
      <c r="F880" s="2">
        <v>77.5</v>
      </c>
    </row>
    <row r="881" spans="1:6" x14ac:dyDescent="0.2">
      <c r="A881" s="2" t="s">
        <v>66</v>
      </c>
      <c r="B881" s="2">
        <v>23</v>
      </c>
      <c r="C881" s="2">
        <v>3</v>
      </c>
      <c r="D881" s="2">
        <v>2020</v>
      </c>
      <c r="E881" s="2">
        <v>72.23</v>
      </c>
      <c r="F881" s="2">
        <v>77.5</v>
      </c>
    </row>
    <row r="882" spans="1:6" x14ac:dyDescent="0.2">
      <c r="A882" s="2" t="s">
        <v>76</v>
      </c>
      <c r="B882" s="2">
        <v>9</v>
      </c>
      <c r="C882" s="2">
        <v>8</v>
      </c>
      <c r="D882" s="2">
        <v>2020</v>
      </c>
      <c r="E882" s="2">
        <v>39.99</v>
      </c>
      <c r="F882" s="2">
        <v>77.5</v>
      </c>
    </row>
    <row r="883" spans="1:6" x14ac:dyDescent="0.2">
      <c r="A883" s="2" t="s">
        <v>0</v>
      </c>
      <c r="B883" s="2">
        <v>25</v>
      </c>
      <c r="C883" s="2">
        <v>9</v>
      </c>
      <c r="D883" s="2">
        <v>2020</v>
      </c>
      <c r="E883" s="1" t="s">
        <v>94</v>
      </c>
      <c r="F883" s="2">
        <v>77.400000000000006</v>
      </c>
    </row>
    <row r="884" spans="1:6" x14ac:dyDescent="0.2">
      <c r="A884" s="2" t="s">
        <v>43</v>
      </c>
      <c r="B884" s="2">
        <v>15</v>
      </c>
      <c r="C884" s="2">
        <v>11</v>
      </c>
      <c r="D884" s="2">
        <v>2020</v>
      </c>
      <c r="E884" s="2">
        <v>90.9</v>
      </c>
      <c r="F884" s="2">
        <v>77.400000000000006</v>
      </c>
    </row>
    <row r="885" spans="1:6" x14ac:dyDescent="0.2">
      <c r="A885" s="2" t="s">
        <v>38</v>
      </c>
      <c r="B885" s="2">
        <v>21</v>
      </c>
      <c r="C885" s="2">
        <v>11</v>
      </c>
      <c r="D885" s="2">
        <v>2020</v>
      </c>
      <c r="E885" s="2">
        <v>80.099999999999994</v>
      </c>
      <c r="F885" s="2">
        <v>77.400000000000006</v>
      </c>
    </row>
    <row r="886" spans="1:6" x14ac:dyDescent="0.2">
      <c r="A886" s="2" t="s">
        <v>52</v>
      </c>
      <c r="B886" s="2">
        <v>1</v>
      </c>
      <c r="C886" s="2">
        <v>4</v>
      </c>
      <c r="D886" s="2">
        <v>2020</v>
      </c>
      <c r="E886" s="2">
        <v>66.3</v>
      </c>
      <c r="F886" s="2">
        <v>77.400000000000006</v>
      </c>
    </row>
    <row r="887" spans="1:6" x14ac:dyDescent="0.2">
      <c r="A887" s="2" t="s">
        <v>61</v>
      </c>
      <c r="B887" s="2">
        <v>23</v>
      </c>
      <c r="C887" s="2">
        <v>3</v>
      </c>
      <c r="D887" s="2">
        <v>2020</v>
      </c>
      <c r="E887" s="2">
        <v>73.78</v>
      </c>
      <c r="F887" s="2">
        <v>77.19</v>
      </c>
    </row>
    <row r="888" spans="1:6" x14ac:dyDescent="0.2">
      <c r="A888" s="2" t="s">
        <v>92</v>
      </c>
      <c r="B888" s="2">
        <v>7</v>
      </c>
      <c r="C888" s="2">
        <v>8</v>
      </c>
      <c r="D888" s="2">
        <v>2020</v>
      </c>
      <c r="E888" s="2">
        <v>65.41</v>
      </c>
      <c r="F888" s="2">
        <v>77.19</v>
      </c>
    </row>
    <row r="889" spans="1:6" x14ac:dyDescent="0.2">
      <c r="A889" s="2" t="s">
        <v>84</v>
      </c>
      <c r="B889" s="2">
        <v>20</v>
      </c>
      <c r="C889" s="2">
        <v>8</v>
      </c>
      <c r="D889" s="2">
        <v>2020</v>
      </c>
      <c r="E889" s="2">
        <v>57.04</v>
      </c>
      <c r="F889" s="2">
        <v>77.19</v>
      </c>
    </row>
    <row r="890" spans="1:6" x14ac:dyDescent="0.2">
      <c r="A890" s="2" t="s">
        <v>75</v>
      </c>
      <c r="B890" s="2">
        <v>2</v>
      </c>
      <c r="C890" s="2">
        <v>7</v>
      </c>
      <c r="D890" s="2">
        <v>2020</v>
      </c>
      <c r="E890" s="2">
        <v>48.36</v>
      </c>
      <c r="F890" s="2">
        <v>77.19</v>
      </c>
    </row>
    <row r="891" spans="1:6" x14ac:dyDescent="0.2">
      <c r="A891" s="2" t="s">
        <v>59</v>
      </c>
      <c r="B891" s="2">
        <v>11</v>
      </c>
      <c r="C891" s="2">
        <v>7</v>
      </c>
      <c r="D891" s="2">
        <v>2020</v>
      </c>
      <c r="E891" s="2">
        <v>32.86</v>
      </c>
      <c r="F891" s="2">
        <v>77.19</v>
      </c>
    </row>
    <row r="892" spans="1:6" x14ac:dyDescent="0.2">
      <c r="A892" s="2" t="s">
        <v>48</v>
      </c>
      <c r="B892" s="2">
        <v>24</v>
      </c>
      <c r="C892" s="2">
        <v>8</v>
      </c>
      <c r="D892" s="2">
        <v>2020</v>
      </c>
      <c r="E892" s="2">
        <v>26.04</v>
      </c>
      <c r="F892" s="2">
        <v>77.19</v>
      </c>
    </row>
    <row r="893" spans="1:6" x14ac:dyDescent="0.2">
      <c r="A893" s="2" t="s">
        <v>81</v>
      </c>
      <c r="B893" s="2">
        <v>19</v>
      </c>
      <c r="C893" s="2">
        <v>6</v>
      </c>
      <c r="D893" s="2">
        <v>2020</v>
      </c>
      <c r="E893" s="2">
        <v>44.4</v>
      </c>
      <c r="F893" s="2">
        <v>77.099999999999994</v>
      </c>
    </row>
    <row r="894" spans="1:6" x14ac:dyDescent="0.2">
      <c r="A894" s="2" t="s">
        <v>76</v>
      </c>
      <c r="B894" s="2">
        <v>9</v>
      </c>
      <c r="C894" s="2">
        <v>6</v>
      </c>
      <c r="D894" s="2">
        <v>2020</v>
      </c>
      <c r="E894" s="2">
        <v>41.1</v>
      </c>
      <c r="F894" s="2">
        <v>77.099999999999994</v>
      </c>
    </row>
    <row r="895" spans="1:6" x14ac:dyDescent="0.2">
      <c r="A895" s="2" t="s">
        <v>60</v>
      </c>
      <c r="B895" s="2">
        <v>20</v>
      </c>
      <c r="C895" s="2">
        <v>2</v>
      </c>
      <c r="D895" s="2">
        <v>2020</v>
      </c>
      <c r="E895" s="2">
        <v>86.24</v>
      </c>
      <c r="F895" s="2">
        <v>77</v>
      </c>
    </row>
    <row r="896" spans="1:6" x14ac:dyDescent="0.2">
      <c r="A896" s="2" t="s">
        <v>61</v>
      </c>
      <c r="B896" s="2">
        <v>23</v>
      </c>
      <c r="C896" s="2">
        <v>12</v>
      </c>
      <c r="D896" s="2">
        <v>2020</v>
      </c>
      <c r="E896" s="2">
        <v>124.62</v>
      </c>
      <c r="F896" s="2">
        <v>76.88</v>
      </c>
    </row>
    <row r="897" spans="1:6" x14ac:dyDescent="0.2">
      <c r="A897" s="2" t="s">
        <v>58</v>
      </c>
      <c r="B897" s="2">
        <v>16</v>
      </c>
      <c r="C897" s="2">
        <v>12</v>
      </c>
      <c r="D897" s="2">
        <v>2020</v>
      </c>
      <c r="E897" s="2">
        <v>120.28</v>
      </c>
      <c r="F897" s="2">
        <v>76.88</v>
      </c>
    </row>
    <row r="898" spans="1:6" x14ac:dyDescent="0.2">
      <c r="A898" s="2" t="s">
        <v>45</v>
      </c>
      <c r="B898" s="2">
        <v>18</v>
      </c>
      <c r="C898" s="2">
        <v>12</v>
      </c>
      <c r="D898" s="2">
        <v>2020</v>
      </c>
      <c r="E898" s="2">
        <v>114.7</v>
      </c>
      <c r="F898" s="2">
        <v>76.88</v>
      </c>
    </row>
    <row r="899" spans="1:6" x14ac:dyDescent="0.2">
      <c r="A899" s="2" t="s">
        <v>43</v>
      </c>
      <c r="B899" s="2">
        <v>15</v>
      </c>
      <c r="C899" s="2">
        <v>1</v>
      </c>
      <c r="D899" s="2">
        <v>2020</v>
      </c>
      <c r="E899" s="2">
        <v>109.74</v>
      </c>
      <c r="F899" s="2">
        <v>76.88</v>
      </c>
    </row>
    <row r="900" spans="1:6" x14ac:dyDescent="0.2">
      <c r="A900" s="2" t="s">
        <v>63</v>
      </c>
      <c r="B900" s="2">
        <v>25</v>
      </c>
      <c r="C900" s="2">
        <v>3</v>
      </c>
      <c r="D900" s="2">
        <v>2020</v>
      </c>
      <c r="E900" s="2">
        <v>75.33</v>
      </c>
      <c r="F900" s="2">
        <v>76.88</v>
      </c>
    </row>
    <row r="901" spans="1:6" x14ac:dyDescent="0.2">
      <c r="A901" s="2" t="s">
        <v>82</v>
      </c>
      <c r="B901" s="2">
        <v>8</v>
      </c>
      <c r="C901" s="2">
        <v>8</v>
      </c>
      <c r="D901" s="2">
        <v>2020</v>
      </c>
      <c r="E901" s="2">
        <v>48.98</v>
      </c>
      <c r="F901" s="2">
        <v>76.88</v>
      </c>
    </row>
    <row r="902" spans="1:6" x14ac:dyDescent="0.2">
      <c r="A902" s="2" t="s">
        <v>81</v>
      </c>
      <c r="B902" s="2">
        <v>19</v>
      </c>
      <c r="C902" s="2">
        <v>7</v>
      </c>
      <c r="D902" s="2">
        <v>2020</v>
      </c>
      <c r="E902" s="2">
        <v>47.74</v>
      </c>
      <c r="F902" s="2">
        <v>76.88</v>
      </c>
    </row>
    <row r="903" spans="1:6" x14ac:dyDescent="0.2">
      <c r="A903" s="2" t="s">
        <v>84</v>
      </c>
      <c r="B903" s="2">
        <v>20</v>
      </c>
      <c r="C903" s="2">
        <v>11</v>
      </c>
      <c r="D903" s="2">
        <v>2020</v>
      </c>
      <c r="E903" s="2">
        <v>147.6</v>
      </c>
      <c r="F903" s="2">
        <v>76.8</v>
      </c>
    </row>
    <row r="904" spans="1:6" x14ac:dyDescent="0.2">
      <c r="A904" s="2" t="s">
        <v>40</v>
      </c>
      <c r="B904" s="2">
        <v>15</v>
      </c>
      <c r="C904" s="2">
        <v>2</v>
      </c>
      <c r="D904" s="2">
        <v>2020</v>
      </c>
      <c r="E904" s="2">
        <v>81.48</v>
      </c>
      <c r="F904" s="2">
        <v>76.72</v>
      </c>
    </row>
    <row r="905" spans="1:6" x14ac:dyDescent="0.2">
      <c r="A905" s="2" t="s">
        <v>80</v>
      </c>
      <c r="B905" s="2">
        <v>12</v>
      </c>
      <c r="C905" s="2">
        <v>1</v>
      </c>
      <c r="D905" s="2">
        <v>2020</v>
      </c>
      <c r="E905" s="2">
        <v>107.88</v>
      </c>
      <c r="F905" s="2">
        <v>76.569999999999993</v>
      </c>
    </row>
    <row r="906" spans="1:6" x14ac:dyDescent="0.2">
      <c r="A906" s="2" t="s">
        <v>35</v>
      </c>
      <c r="B906" s="2">
        <v>9</v>
      </c>
      <c r="C906" s="2">
        <v>10</v>
      </c>
      <c r="D906" s="2">
        <v>2020</v>
      </c>
      <c r="E906" s="2">
        <v>67.89</v>
      </c>
      <c r="F906" s="2">
        <v>76.569999999999993</v>
      </c>
    </row>
    <row r="907" spans="1:6" x14ac:dyDescent="0.2">
      <c r="A907" s="2" t="s">
        <v>40</v>
      </c>
      <c r="B907" s="2">
        <v>15</v>
      </c>
      <c r="C907" s="2">
        <v>10</v>
      </c>
      <c r="D907" s="2">
        <v>2020</v>
      </c>
      <c r="E907" s="2">
        <v>55.18</v>
      </c>
      <c r="F907" s="2">
        <v>76.569999999999993</v>
      </c>
    </row>
    <row r="908" spans="1:6" x14ac:dyDescent="0.2">
      <c r="A908" s="2" t="s">
        <v>54</v>
      </c>
      <c r="B908" s="2">
        <v>5</v>
      </c>
      <c r="C908" s="2">
        <v>2</v>
      </c>
      <c r="D908" s="2">
        <v>2020</v>
      </c>
      <c r="E908" s="2">
        <v>113.12</v>
      </c>
      <c r="F908" s="2">
        <v>76.44</v>
      </c>
    </row>
    <row r="909" spans="1:6" x14ac:dyDescent="0.2">
      <c r="A909" s="2" t="s">
        <v>73</v>
      </c>
      <c r="B909" s="2">
        <v>5</v>
      </c>
      <c r="C909" s="2">
        <v>12</v>
      </c>
      <c r="D909" s="2">
        <v>2020</v>
      </c>
      <c r="E909" s="2">
        <v>131.13</v>
      </c>
      <c r="F909" s="2">
        <v>76.260000000000005</v>
      </c>
    </row>
    <row r="910" spans="1:6" x14ac:dyDescent="0.2">
      <c r="A910" s="2" t="s">
        <v>85</v>
      </c>
      <c r="B910" s="2">
        <v>3</v>
      </c>
      <c r="C910" s="2">
        <v>1</v>
      </c>
      <c r="D910" s="2">
        <v>2020</v>
      </c>
      <c r="E910" s="2">
        <v>130.51</v>
      </c>
      <c r="F910" s="2">
        <v>76.260000000000005</v>
      </c>
    </row>
    <row r="911" spans="1:6" x14ac:dyDescent="0.2">
      <c r="A911" s="2" t="s">
        <v>82</v>
      </c>
      <c r="B911" s="2">
        <v>8</v>
      </c>
      <c r="C911" s="2">
        <v>1</v>
      </c>
      <c r="D911" s="2">
        <v>2020</v>
      </c>
      <c r="E911" s="2">
        <v>119.97</v>
      </c>
      <c r="F911" s="2">
        <v>76.260000000000005</v>
      </c>
    </row>
    <row r="912" spans="1:6" x14ac:dyDescent="0.2">
      <c r="A912" s="2" t="s">
        <v>85</v>
      </c>
      <c r="B912" s="2">
        <v>3</v>
      </c>
      <c r="C912" s="2">
        <v>12</v>
      </c>
      <c r="D912" s="2">
        <v>2020</v>
      </c>
      <c r="E912" s="2">
        <v>110.98</v>
      </c>
      <c r="F912" s="2">
        <v>76.260000000000005</v>
      </c>
    </row>
    <row r="913" spans="1:6" x14ac:dyDescent="0.2">
      <c r="A913" s="2" t="s">
        <v>34</v>
      </c>
      <c r="B913" s="2">
        <v>4</v>
      </c>
      <c r="C913" s="2">
        <v>12</v>
      </c>
      <c r="D913" s="2">
        <v>2020</v>
      </c>
      <c r="E913" s="2">
        <v>102.92</v>
      </c>
      <c r="F913" s="2">
        <v>76.260000000000005</v>
      </c>
    </row>
    <row r="914" spans="1:6" x14ac:dyDescent="0.2">
      <c r="A914" s="2" t="s">
        <v>75</v>
      </c>
      <c r="B914" s="2">
        <v>2</v>
      </c>
      <c r="C914" s="2">
        <v>10</v>
      </c>
      <c r="D914" s="2">
        <v>2020</v>
      </c>
      <c r="E914" s="2">
        <v>82.15</v>
      </c>
      <c r="F914" s="2">
        <v>76.260000000000005</v>
      </c>
    </row>
    <row r="915" spans="1:6" x14ac:dyDescent="0.2">
      <c r="A915" s="2" t="s">
        <v>57</v>
      </c>
      <c r="B915" s="2">
        <v>17</v>
      </c>
      <c r="C915" s="2">
        <v>8</v>
      </c>
      <c r="D915" s="2">
        <v>2020</v>
      </c>
      <c r="E915" s="2">
        <v>32.24</v>
      </c>
      <c r="F915" s="2">
        <v>76.260000000000005</v>
      </c>
    </row>
    <row r="916" spans="1:6" x14ac:dyDescent="0.2">
      <c r="A916" s="2" t="s">
        <v>39</v>
      </c>
      <c r="B916" s="2">
        <v>22</v>
      </c>
      <c r="C916" s="2">
        <v>7</v>
      </c>
      <c r="D916" s="2">
        <v>2020</v>
      </c>
      <c r="E916" s="2">
        <v>27.9</v>
      </c>
      <c r="F916" s="2">
        <v>76.260000000000005</v>
      </c>
    </row>
    <row r="917" spans="1:6" x14ac:dyDescent="0.2">
      <c r="A917" s="2" t="s">
        <v>85</v>
      </c>
      <c r="B917" s="2">
        <v>3</v>
      </c>
      <c r="C917" s="2">
        <v>4</v>
      </c>
      <c r="D917" s="2">
        <v>2020</v>
      </c>
      <c r="E917" s="2">
        <v>78</v>
      </c>
      <c r="F917" s="2">
        <v>76.2</v>
      </c>
    </row>
    <row r="918" spans="1:6" x14ac:dyDescent="0.2">
      <c r="A918" s="2" t="s">
        <v>80</v>
      </c>
      <c r="B918" s="2">
        <v>12</v>
      </c>
      <c r="C918" s="2">
        <v>6</v>
      </c>
      <c r="D918" s="2">
        <v>2020</v>
      </c>
      <c r="E918" s="2">
        <v>44.1</v>
      </c>
      <c r="F918" s="2">
        <v>76.2</v>
      </c>
    </row>
    <row r="919" spans="1:6" x14ac:dyDescent="0.2">
      <c r="A919" s="2" t="s">
        <v>36</v>
      </c>
      <c r="B919" s="2">
        <v>12</v>
      </c>
      <c r="C919" s="2">
        <v>9</v>
      </c>
      <c r="D919" s="2">
        <v>2020</v>
      </c>
      <c r="E919" s="2">
        <v>32.1</v>
      </c>
      <c r="F919" s="2">
        <v>76.2</v>
      </c>
    </row>
    <row r="920" spans="1:6" x14ac:dyDescent="0.2">
      <c r="A920" s="2" t="s">
        <v>44</v>
      </c>
      <c r="B920" s="2">
        <v>1</v>
      </c>
      <c r="C920" s="2">
        <v>6</v>
      </c>
      <c r="D920" s="2">
        <v>2020</v>
      </c>
      <c r="E920" s="2">
        <v>30.9</v>
      </c>
      <c r="F920" s="2">
        <v>76.2</v>
      </c>
    </row>
    <row r="921" spans="1:6" x14ac:dyDescent="0.2">
      <c r="A921" s="2" t="s">
        <v>58</v>
      </c>
      <c r="B921" s="2">
        <v>16</v>
      </c>
      <c r="C921" s="2">
        <v>2</v>
      </c>
      <c r="D921" s="2">
        <v>2020</v>
      </c>
      <c r="E921" s="2">
        <v>106.96</v>
      </c>
      <c r="F921" s="2">
        <v>76.16</v>
      </c>
    </row>
    <row r="922" spans="1:6" x14ac:dyDescent="0.2">
      <c r="A922" s="2" t="s">
        <v>57</v>
      </c>
      <c r="B922" s="2">
        <v>17</v>
      </c>
      <c r="C922" s="2">
        <v>3</v>
      </c>
      <c r="D922" s="2">
        <v>2020</v>
      </c>
      <c r="E922" s="2">
        <v>73.16</v>
      </c>
      <c r="F922" s="2">
        <v>75.95</v>
      </c>
    </row>
    <row r="923" spans="1:6" x14ac:dyDescent="0.2">
      <c r="A923" s="2" t="s">
        <v>73</v>
      </c>
      <c r="B923" s="2">
        <v>5</v>
      </c>
      <c r="C923" s="2">
        <v>5</v>
      </c>
      <c r="D923" s="2">
        <v>2020</v>
      </c>
      <c r="E923" s="2">
        <v>50.53</v>
      </c>
      <c r="F923" s="2">
        <v>75.95</v>
      </c>
    </row>
    <row r="924" spans="1:6" x14ac:dyDescent="0.2">
      <c r="A924" s="2" t="s">
        <v>34</v>
      </c>
      <c r="B924" s="2">
        <v>4</v>
      </c>
      <c r="C924" s="2">
        <v>7</v>
      </c>
      <c r="D924" s="2">
        <v>2020</v>
      </c>
      <c r="E924" s="2">
        <v>23.87</v>
      </c>
      <c r="F924" s="2">
        <v>75.95</v>
      </c>
    </row>
    <row r="925" spans="1:6" x14ac:dyDescent="0.2">
      <c r="A925" s="2" t="s">
        <v>74</v>
      </c>
      <c r="B925" s="2">
        <v>5</v>
      </c>
      <c r="C925" s="2">
        <v>9</v>
      </c>
      <c r="D925" s="2">
        <v>2020</v>
      </c>
      <c r="E925" s="2">
        <v>50.4</v>
      </c>
      <c r="F925" s="2">
        <v>75.900000000000006</v>
      </c>
    </row>
    <row r="926" spans="1:6" x14ac:dyDescent="0.2">
      <c r="A926" s="2" t="s">
        <v>76</v>
      </c>
      <c r="B926" s="2">
        <v>9</v>
      </c>
      <c r="C926" s="2">
        <v>2</v>
      </c>
      <c r="D926" s="2">
        <v>2020</v>
      </c>
      <c r="E926" s="2">
        <v>91.56</v>
      </c>
      <c r="F926" s="2">
        <v>75.88</v>
      </c>
    </row>
    <row r="927" spans="1:6" x14ac:dyDescent="0.2">
      <c r="A927" s="2" t="s">
        <v>58</v>
      </c>
      <c r="B927" s="2">
        <v>16</v>
      </c>
      <c r="C927" s="2">
        <v>5</v>
      </c>
      <c r="D927" s="2">
        <v>2020</v>
      </c>
      <c r="E927" s="2">
        <v>43.71</v>
      </c>
      <c r="F927" s="2">
        <v>75.64</v>
      </c>
    </row>
    <row r="928" spans="1:6" x14ac:dyDescent="0.2">
      <c r="A928" s="2" t="s">
        <v>36</v>
      </c>
      <c r="B928" s="2">
        <v>12</v>
      </c>
      <c r="C928" s="2">
        <v>8</v>
      </c>
      <c r="D928" s="2">
        <v>2020</v>
      </c>
      <c r="E928" s="2">
        <v>25.73</v>
      </c>
      <c r="F928" s="2">
        <v>75.64</v>
      </c>
    </row>
    <row r="929" spans="1:6" x14ac:dyDescent="0.2">
      <c r="A929" s="2" t="s">
        <v>36</v>
      </c>
      <c r="B929" s="2">
        <v>12</v>
      </c>
      <c r="C929" s="2">
        <v>2</v>
      </c>
      <c r="D929" s="2">
        <v>2020</v>
      </c>
      <c r="E929" s="2">
        <v>94.36</v>
      </c>
      <c r="F929" s="2">
        <v>75.599999999999994</v>
      </c>
    </row>
    <row r="930" spans="1:6" x14ac:dyDescent="0.2">
      <c r="A930" s="2" t="s">
        <v>76</v>
      </c>
      <c r="B930" s="2">
        <v>9</v>
      </c>
      <c r="C930" s="2">
        <v>4</v>
      </c>
      <c r="D930" s="2">
        <v>2020</v>
      </c>
      <c r="E930" s="2">
        <v>74.7</v>
      </c>
      <c r="F930" s="2">
        <v>75.599999999999994</v>
      </c>
    </row>
    <row r="931" spans="1:6" x14ac:dyDescent="0.2">
      <c r="A931" s="2" t="s">
        <v>40</v>
      </c>
      <c r="B931" s="2">
        <v>15</v>
      </c>
      <c r="C931" s="2">
        <v>12</v>
      </c>
      <c r="D931" s="2">
        <v>2020</v>
      </c>
      <c r="E931" s="2">
        <v>108.5</v>
      </c>
      <c r="F931" s="2">
        <v>75.33</v>
      </c>
    </row>
    <row r="932" spans="1:6" x14ac:dyDescent="0.2">
      <c r="A932" s="2" t="s">
        <v>76</v>
      </c>
      <c r="B932" s="2">
        <v>9</v>
      </c>
      <c r="C932" s="2">
        <v>10</v>
      </c>
      <c r="D932" s="2">
        <v>2020</v>
      </c>
      <c r="E932" s="2">
        <v>81.22</v>
      </c>
      <c r="F932" s="2">
        <v>75.33</v>
      </c>
    </row>
    <row r="933" spans="1:6" x14ac:dyDescent="0.2">
      <c r="A933" s="2" t="s">
        <v>51</v>
      </c>
      <c r="B933" s="2">
        <v>16</v>
      </c>
      <c r="C933" s="2">
        <v>10</v>
      </c>
      <c r="D933" s="2">
        <v>2020</v>
      </c>
      <c r="E933" s="2">
        <v>71.3</v>
      </c>
      <c r="F933" s="2">
        <v>75.33</v>
      </c>
    </row>
    <row r="934" spans="1:6" x14ac:dyDescent="0.2">
      <c r="A934" s="2" t="s">
        <v>50</v>
      </c>
      <c r="B934" s="2">
        <v>24</v>
      </c>
      <c r="C934" s="2">
        <v>3</v>
      </c>
      <c r="D934" s="2">
        <v>2020</v>
      </c>
      <c r="E934" s="2">
        <v>66.34</v>
      </c>
      <c r="F934" s="2">
        <v>75.33</v>
      </c>
    </row>
    <row r="935" spans="1:6" x14ac:dyDescent="0.2">
      <c r="A935" s="2" t="s">
        <v>89</v>
      </c>
      <c r="B935" s="2">
        <v>2</v>
      </c>
      <c r="C935" s="2">
        <v>8</v>
      </c>
      <c r="D935" s="2">
        <v>2020</v>
      </c>
      <c r="E935" s="2">
        <v>60.45</v>
      </c>
      <c r="F935" s="2">
        <v>75.33</v>
      </c>
    </row>
    <row r="936" spans="1:6" x14ac:dyDescent="0.2">
      <c r="A936" s="2" t="s">
        <v>66</v>
      </c>
      <c r="B936" s="2">
        <v>23</v>
      </c>
      <c r="C936" s="2">
        <v>5</v>
      </c>
      <c r="D936" s="2">
        <v>2020</v>
      </c>
      <c r="E936" s="2">
        <v>50.84</v>
      </c>
      <c r="F936" s="2">
        <v>75.33</v>
      </c>
    </row>
    <row r="937" spans="1:6" x14ac:dyDescent="0.2">
      <c r="A937" s="2" t="s">
        <v>62</v>
      </c>
      <c r="B937" s="2">
        <v>1</v>
      </c>
      <c r="C937" s="2">
        <v>8</v>
      </c>
      <c r="D937" s="2">
        <v>2020</v>
      </c>
      <c r="E937" s="2">
        <v>50.84</v>
      </c>
      <c r="F937" s="2">
        <v>75.33</v>
      </c>
    </row>
    <row r="938" spans="1:6" x14ac:dyDescent="0.2">
      <c r="A938" s="2" t="s">
        <v>47</v>
      </c>
      <c r="B938" s="2">
        <v>19</v>
      </c>
      <c r="C938" s="2">
        <v>5</v>
      </c>
      <c r="D938" s="2">
        <v>2020</v>
      </c>
      <c r="E938" s="2">
        <v>36.89</v>
      </c>
      <c r="F938" s="2">
        <v>75.33</v>
      </c>
    </row>
    <row r="939" spans="1:6" x14ac:dyDescent="0.2">
      <c r="A939" s="2" t="s">
        <v>37</v>
      </c>
      <c r="B939" s="2">
        <v>12</v>
      </c>
      <c r="C939" s="2">
        <v>8</v>
      </c>
      <c r="D939" s="2">
        <v>2020</v>
      </c>
      <c r="E939" s="2">
        <v>31.93</v>
      </c>
      <c r="F939" s="2">
        <v>75.33</v>
      </c>
    </row>
    <row r="940" spans="1:6" x14ac:dyDescent="0.2">
      <c r="A940" s="2" t="s">
        <v>45</v>
      </c>
      <c r="B940" s="2">
        <v>18</v>
      </c>
      <c r="C940" s="2">
        <v>8</v>
      </c>
      <c r="D940" s="2">
        <v>2020</v>
      </c>
      <c r="E940" s="2">
        <v>27.9</v>
      </c>
      <c r="F940" s="2">
        <v>75.33</v>
      </c>
    </row>
    <row r="941" spans="1:6" x14ac:dyDescent="0.2">
      <c r="A941" s="2" t="s">
        <v>73</v>
      </c>
      <c r="B941" s="2">
        <v>5</v>
      </c>
      <c r="C941" s="2">
        <v>2</v>
      </c>
      <c r="D941" s="2">
        <v>2020</v>
      </c>
      <c r="E941" s="2">
        <v>89.32</v>
      </c>
      <c r="F941" s="2">
        <v>75.319999999999993</v>
      </c>
    </row>
    <row r="942" spans="1:6" x14ac:dyDescent="0.2">
      <c r="A942" s="2" t="s">
        <v>84</v>
      </c>
      <c r="B942" s="2">
        <v>20</v>
      </c>
      <c r="C942" s="2">
        <v>4</v>
      </c>
      <c r="D942" s="2">
        <v>2020</v>
      </c>
      <c r="E942" s="2">
        <v>96</v>
      </c>
      <c r="F942" s="2">
        <v>75.3</v>
      </c>
    </row>
    <row r="943" spans="1:6" x14ac:dyDescent="0.2">
      <c r="A943" s="2" t="s">
        <v>55</v>
      </c>
      <c r="B943" s="2">
        <v>18</v>
      </c>
      <c r="C943" s="2">
        <v>6</v>
      </c>
      <c r="D943" s="2">
        <v>2020</v>
      </c>
      <c r="E943" s="2">
        <v>29.4</v>
      </c>
      <c r="F943" s="2">
        <v>75.3</v>
      </c>
    </row>
    <row r="944" spans="1:6" x14ac:dyDescent="0.2">
      <c r="A944" s="2" t="s">
        <v>42</v>
      </c>
      <c r="B944" s="2">
        <v>12</v>
      </c>
      <c r="C944" s="2">
        <v>6</v>
      </c>
      <c r="D944" s="2">
        <v>2020</v>
      </c>
      <c r="E944" s="2">
        <v>26.7</v>
      </c>
      <c r="F944" s="2">
        <v>75.3</v>
      </c>
    </row>
    <row r="945" spans="1:6" x14ac:dyDescent="0.2">
      <c r="A945" s="2" t="s">
        <v>40</v>
      </c>
      <c r="B945" s="2">
        <v>15</v>
      </c>
      <c r="C945" s="2">
        <v>6</v>
      </c>
      <c r="D945" s="2">
        <v>2020</v>
      </c>
      <c r="E945" s="2">
        <v>21.9</v>
      </c>
      <c r="F945" s="2">
        <v>75.3</v>
      </c>
    </row>
    <row r="946" spans="1:6" x14ac:dyDescent="0.2">
      <c r="A946" s="2" t="s">
        <v>63</v>
      </c>
      <c r="B946" s="2">
        <v>25</v>
      </c>
      <c r="C946" s="2">
        <v>5</v>
      </c>
      <c r="D946" s="2">
        <v>2020</v>
      </c>
      <c r="E946" s="2">
        <v>43.71</v>
      </c>
      <c r="F946" s="2">
        <v>75.02</v>
      </c>
    </row>
    <row r="947" spans="1:6" x14ac:dyDescent="0.2">
      <c r="A947" s="2" t="s">
        <v>57</v>
      </c>
      <c r="B947" s="2">
        <v>17</v>
      </c>
      <c r="C947" s="2">
        <v>7</v>
      </c>
      <c r="D947" s="2">
        <v>2020</v>
      </c>
      <c r="E947" s="2">
        <v>32.24</v>
      </c>
      <c r="F947" s="2">
        <v>75.02</v>
      </c>
    </row>
    <row r="948" spans="1:6" x14ac:dyDescent="0.2">
      <c r="A948" s="2" t="s">
        <v>59</v>
      </c>
      <c r="B948" s="2">
        <v>11</v>
      </c>
      <c r="C948" s="2">
        <v>4</v>
      </c>
      <c r="D948" s="2">
        <v>2020</v>
      </c>
      <c r="E948" s="2">
        <v>62.1</v>
      </c>
      <c r="F948" s="2">
        <v>75</v>
      </c>
    </row>
    <row r="949" spans="1:6" x14ac:dyDescent="0.2">
      <c r="A949" s="2" t="s">
        <v>74</v>
      </c>
      <c r="B949" s="2">
        <v>5</v>
      </c>
      <c r="C949" s="2">
        <v>1</v>
      </c>
      <c r="D949" s="2">
        <v>2020</v>
      </c>
      <c r="E949" s="2">
        <v>123.07</v>
      </c>
      <c r="F949" s="2">
        <v>74.709999999999994</v>
      </c>
    </row>
    <row r="950" spans="1:6" x14ac:dyDescent="0.2">
      <c r="A950" s="2" t="s">
        <v>89</v>
      </c>
      <c r="B950" s="2">
        <v>2</v>
      </c>
      <c r="C950" s="2">
        <v>3</v>
      </c>
      <c r="D950" s="2">
        <v>2020</v>
      </c>
      <c r="E950" s="2">
        <v>103.23</v>
      </c>
      <c r="F950" s="2">
        <v>74.709999999999994</v>
      </c>
    </row>
    <row r="951" spans="1:6" x14ac:dyDescent="0.2">
      <c r="A951" s="2" t="s">
        <v>60</v>
      </c>
      <c r="B951" s="2">
        <v>20</v>
      </c>
      <c r="C951" s="2">
        <v>11</v>
      </c>
      <c r="D951" s="2">
        <v>2020</v>
      </c>
      <c r="E951" s="2">
        <v>113.7</v>
      </c>
      <c r="F951" s="2">
        <v>74.7</v>
      </c>
    </row>
    <row r="952" spans="1:6" x14ac:dyDescent="0.2">
      <c r="A952" s="2" t="s">
        <v>73</v>
      </c>
      <c r="B952" s="2">
        <v>5</v>
      </c>
      <c r="C952" s="2">
        <v>4</v>
      </c>
      <c r="D952" s="2">
        <v>2020</v>
      </c>
      <c r="E952" s="2">
        <v>68.400000000000006</v>
      </c>
      <c r="F952" s="2">
        <v>74.7</v>
      </c>
    </row>
    <row r="953" spans="1:6" x14ac:dyDescent="0.2">
      <c r="A953" s="2" t="s">
        <v>85</v>
      </c>
      <c r="B953" s="2">
        <v>3</v>
      </c>
      <c r="C953" s="2">
        <v>9</v>
      </c>
      <c r="D953" s="2">
        <v>2020</v>
      </c>
      <c r="E953" s="2">
        <v>56.4</v>
      </c>
      <c r="F953" s="2">
        <v>74.7</v>
      </c>
    </row>
    <row r="954" spans="1:6" x14ac:dyDescent="0.2">
      <c r="A954" s="2" t="s">
        <v>84</v>
      </c>
      <c r="B954" s="2">
        <v>20</v>
      </c>
      <c r="C954" s="2">
        <v>2</v>
      </c>
      <c r="D954" s="2">
        <v>2020</v>
      </c>
      <c r="E954" s="2">
        <v>141.4</v>
      </c>
      <c r="F954" s="2">
        <v>74.48</v>
      </c>
    </row>
    <row r="955" spans="1:6" x14ac:dyDescent="0.2">
      <c r="A955" s="2" t="s">
        <v>67</v>
      </c>
      <c r="B955" s="2">
        <v>13</v>
      </c>
      <c r="C955" s="2">
        <v>2</v>
      </c>
      <c r="D955" s="2">
        <v>2020</v>
      </c>
      <c r="E955" s="2">
        <v>79.239999999999995</v>
      </c>
      <c r="F955" s="2">
        <v>74.48</v>
      </c>
    </row>
    <row r="956" spans="1:6" x14ac:dyDescent="0.2">
      <c r="A956" s="2" t="s">
        <v>96</v>
      </c>
      <c r="B956" s="2">
        <v>3</v>
      </c>
      <c r="C956" s="2">
        <v>1</v>
      </c>
      <c r="D956" s="2">
        <v>2020</v>
      </c>
      <c r="E956" s="1" t="s">
        <v>94</v>
      </c>
      <c r="F956" s="2">
        <v>74.400000000000006</v>
      </c>
    </row>
    <row r="957" spans="1:6" x14ac:dyDescent="0.2">
      <c r="A957" s="2" t="s">
        <v>91</v>
      </c>
      <c r="B957" s="2">
        <v>5</v>
      </c>
      <c r="C957" s="2">
        <v>7</v>
      </c>
      <c r="D957" s="2">
        <v>2020</v>
      </c>
      <c r="E957" s="2">
        <v>66.650000000000006</v>
      </c>
      <c r="F957" s="2">
        <v>74.400000000000006</v>
      </c>
    </row>
    <row r="958" spans="1:6" x14ac:dyDescent="0.2">
      <c r="A958" s="2" t="s">
        <v>81</v>
      </c>
      <c r="B958" s="2">
        <v>19</v>
      </c>
      <c r="C958" s="2">
        <v>8</v>
      </c>
      <c r="D958" s="2">
        <v>2020</v>
      </c>
      <c r="E958" s="2">
        <v>53.94</v>
      </c>
      <c r="F958" s="2">
        <v>74.400000000000006</v>
      </c>
    </row>
    <row r="959" spans="1:6" x14ac:dyDescent="0.2">
      <c r="A959" s="2" t="s">
        <v>38</v>
      </c>
      <c r="B959" s="2">
        <v>21</v>
      </c>
      <c r="C959" s="2">
        <v>5</v>
      </c>
      <c r="D959" s="2">
        <v>2020</v>
      </c>
      <c r="E959" s="2">
        <v>34.1</v>
      </c>
      <c r="F959" s="2">
        <v>74.400000000000006</v>
      </c>
    </row>
    <row r="960" spans="1:6" x14ac:dyDescent="0.2">
      <c r="A960" s="2" t="s">
        <v>63</v>
      </c>
      <c r="B960" s="2">
        <v>25</v>
      </c>
      <c r="C960" s="2">
        <v>7</v>
      </c>
      <c r="D960" s="2">
        <v>2020</v>
      </c>
      <c r="E960" s="2">
        <v>34.1</v>
      </c>
      <c r="F960" s="2">
        <v>74.400000000000006</v>
      </c>
    </row>
    <row r="961" spans="1:6" x14ac:dyDescent="0.2">
      <c r="A961" s="2" t="s">
        <v>43</v>
      </c>
      <c r="B961" s="2">
        <v>15</v>
      </c>
      <c r="C961" s="2">
        <v>5</v>
      </c>
      <c r="D961" s="2">
        <v>2020</v>
      </c>
      <c r="E961" s="2">
        <v>29.76</v>
      </c>
      <c r="F961" s="2">
        <v>74.400000000000006</v>
      </c>
    </row>
    <row r="962" spans="1:6" x14ac:dyDescent="0.2">
      <c r="A962" s="2" t="s">
        <v>39</v>
      </c>
      <c r="B962" s="2">
        <v>22</v>
      </c>
      <c r="C962" s="2">
        <v>8</v>
      </c>
      <c r="D962" s="2">
        <v>2020</v>
      </c>
      <c r="E962" s="2">
        <v>20.46</v>
      </c>
      <c r="F962" s="2">
        <v>74.400000000000006</v>
      </c>
    </row>
    <row r="963" spans="1:6" x14ac:dyDescent="0.2">
      <c r="A963" s="2" t="s">
        <v>44</v>
      </c>
      <c r="B963" s="2">
        <v>1</v>
      </c>
      <c r="C963" s="2">
        <v>2</v>
      </c>
      <c r="D963" s="2">
        <v>2020</v>
      </c>
      <c r="E963" s="2">
        <v>93.24</v>
      </c>
      <c r="F963" s="2">
        <v>74.2</v>
      </c>
    </row>
    <row r="964" spans="1:6" x14ac:dyDescent="0.2">
      <c r="A964" s="2" t="s">
        <v>64</v>
      </c>
      <c r="B964" s="2">
        <v>21</v>
      </c>
      <c r="C964" s="2">
        <v>4</v>
      </c>
      <c r="D964" s="2">
        <v>2020</v>
      </c>
      <c r="E964" s="2">
        <v>71.099999999999994</v>
      </c>
      <c r="F964" s="2">
        <v>74.099999999999994</v>
      </c>
    </row>
    <row r="965" spans="1:6" x14ac:dyDescent="0.2">
      <c r="A965" s="2" t="s">
        <v>45</v>
      </c>
      <c r="B965" s="2">
        <v>18</v>
      </c>
      <c r="C965" s="2">
        <v>4</v>
      </c>
      <c r="D965" s="2">
        <v>2020</v>
      </c>
      <c r="E965" s="2">
        <v>59.4</v>
      </c>
      <c r="F965" s="2">
        <v>74.099999999999994</v>
      </c>
    </row>
    <row r="966" spans="1:6" x14ac:dyDescent="0.2">
      <c r="A966" s="2" t="s">
        <v>87</v>
      </c>
      <c r="B966" s="2">
        <v>1</v>
      </c>
      <c r="C966" s="2">
        <v>6</v>
      </c>
      <c r="D966" s="2">
        <v>2020</v>
      </c>
      <c r="E966" s="2">
        <v>51.3</v>
      </c>
      <c r="F966" s="2">
        <v>74.099999999999994</v>
      </c>
    </row>
    <row r="967" spans="1:6" x14ac:dyDescent="0.2">
      <c r="A967" s="2" t="s">
        <v>38</v>
      </c>
      <c r="B967" s="2">
        <v>21</v>
      </c>
      <c r="C967" s="2">
        <v>1</v>
      </c>
      <c r="D967" s="2">
        <v>2020</v>
      </c>
      <c r="E967" s="2">
        <v>77.5</v>
      </c>
      <c r="F967" s="2">
        <v>74.09</v>
      </c>
    </row>
    <row r="968" spans="1:6" x14ac:dyDescent="0.2">
      <c r="A968" s="2" t="s">
        <v>45</v>
      </c>
      <c r="B968" s="2">
        <v>18</v>
      </c>
      <c r="C968" s="2">
        <v>3</v>
      </c>
      <c r="D968" s="2">
        <v>2020</v>
      </c>
      <c r="E968" s="2">
        <v>62</v>
      </c>
      <c r="F968" s="2">
        <v>74.09</v>
      </c>
    </row>
    <row r="969" spans="1:6" x14ac:dyDescent="0.2">
      <c r="A969" s="2" t="s">
        <v>85</v>
      </c>
      <c r="B969" s="2">
        <v>3</v>
      </c>
      <c r="C969" s="2">
        <v>8</v>
      </c>
      <c r="D969" s="2">
        <v>2020</v>
      </c>
      <c r="E969" s="2">
        <v>49.91</v>
      </c>
      <c r="F969" s="2">
        <v>74.09</v>
      </c>
    </row>
    <row r="970" spans="1:6" x14ac:dyDescent="0.2">
      <c r="A970" s="2" t="s">
        <v>38</v>
      </c>
      <c r="B970" s="2">
        <v>21</v>
      </c>
      <c r="C970" s="2">
        <v>8</v>
      </c>
      <c r="D970" s="2">
        <v>2020</v>
      </c>
      <c r="E970" s="2">
        <v>30.38</v>
      </c>
      <c r="F970" s="2">
        <v>74.09</v>
      </c>
    </row>
    <row r="971" spans="1:6" x14ac:dyDescent="0.2">
      <c r="A971" s="2" t="s">
        <v>34</v>
      </c>
      <c r="B971" s="2">
        <v>4</v>
      </c>
      <c r="C971" s="2">
        <v>5</v>
      </c>
      <c r="D971" s="2">
        <v>2020</v>
      </c>
      <c r="E971" s="2">
        <v>24.49</v>
      </c>
      <c r="F971" s="2">
        <v>74.09</v>
      </c>
    </row>
    <row r="972" spans="1:6" x14ac:dyDescent="0.2">
      <c r="A972" s="2" t="s">
        <v>40</v>
      </c>
      <c r="B972" s="2">
        <v>15</v>
      </c>
      <c r="C972" s="2">
        <v>7</v>
      </c>
      <c r="D972" s="2">
        <v>2020</v>
      </c>
      <c r="E972" s="2">
        <v>20.77</v>
      </c>
      <c r="F972" s="2">
        <v>74.09</v>
      </c>
    </row>
    <row r="973" spans="1:6" x14ac:dyDescent="0.2">
      <c r="A973" s="2" t="s">
        <v>42</v>
      </c>
      <c r="B973" s="2">
        <v>12</v>
      </c>
      <c r="C973" s="2">
        <v>2</v>
      </c>
      <c r="D973" s="2">
        <v>2020</v>
      </c>
      <c r="E973" s="2">
        <v>91.84</v>
      </c>
      <c r="F973" s="2">
        <v>73.92</v>
      </c>
    </row>
    <row r="974" spans="1:6" x14ac:dyDescent="0.2">
      <c r="A974" s="2" t="s">
        <v>75</v>
      </c>
      <c r="B974" s="2">
        <v>2</v>
      </c>
      <c r="C974" s="2">
        <v>11</v>
      </c>
      <c r="D974" s="2">
        <v>2020</v>
      </c>
      <c r="E974" s="2">
        <v>95.7</v>
      </c>
      <c r="F974" s="2">
        <v>73.8</v>
      </c>
    </row>
    <row r="975" spans="1:6" x14ac:dyDescent="0.2">
      <c r="A975" s="2" t="s">
        <v>46</v>
      </c>
      <c r="B975" s="2">
        <v>9</v>
      </c>
      <c r="C975" s="2">
        <v>12</v>
      </c>
      <c r="D975" s="2">
        <v>2020</v>
      </c>
      <c r="E975" s="2">
        <v>99.51</v>
      </c>
      <c r="F975" s="2">
        <v>73.78</v>
      </c>
    </row>
    <row r="976" spans="1:6" x14ac:dyDescent="0.2">
      <c r="A976" s="2" t="s">
        <v>89</v>
      </c>
      <c r="B976" s="2">
        <v>2</v>
      </c>
      <c r="C976" s="2">
        <v>5</v>
      </c>
      <c r="D976" s="2">
        <v>2020</v>
      </c>
      <c r="E976" s="2">
        <v>62</v>
      </c>
      <c r="F976" s="2">
        <v>73.78</v>
      </c>
    </row>
    <row r="977" spans="1:6" x14ac:dyDescent="0.2">
      <c r="A977" s="2" t="s">
        <v>78</v>
      </c>
      <c r="B977" s="2">
        <v>18</v>
      </c>
      <c r="C977" s="2">
        <v>5</v>
      </c>
      <c r="D977" s="2">
        <v>2020</v>
      </c>
      <c r="E977" s="2">
        <v>52.39</v>
      </c>
      <c r="F977" s="2">
        <v>73.78</v>
      </c>
    </row>
    <row r="978" spans="1:6" x14ac:dyDescent="0.2">
      <c r="A978" s="2" t="s">
        <v>39</v>
      </c>
      <c r="B978" s="2">
        <v>22</v>
      </c>
      <c r="C978" s="2">
        <v>5</v>
      </c>
      <c r="D978" s="2">
        <v>2020</v>
      </c>
      <c r="E978" s="2">
        <v>34.1</v>
      </c>
      <c r="F978" s="2">
        <v>73.78</v>
      </c>
    </row>
    <row r="979" spans="1:6" x14ac:dyDescent="0.2">
      <c r="A979" s="2" t="s">
        <v>48</v>
      </c>
      <c r="B979" s="2">
        <v>24</v>
      </c>
      <c r="C979" s="2">
        <v>5</v>
      </c>
      <c r="D979" s="2">
        <v>2020</v>
      </c>
      <c r="E979" s="2">
        <v>31.93</v>
      </c>
      <c r="F979" s="2">
        <v>73.78</v>
      </c>
    </row>
    <row r="980" spans="1:6" x14ac:dyDescent="0.2">
      <c r="A980" s="2" t="s">
        <v>40</v>
      </c>
      <c r="B980" s="2">
        <v>15</v>
      </c>
      <c r="C980" s="2">
        <v>5</v>
      </c>
      <c r="D980" s="2">
        <v>2020</v>
      </c>
      <c r="E980" s="2">
        <v>28.21</v>
      </c>
      <c r="F980" s="2">
        <v>73.78</v>
      </c>
    </row>
    <row r="981" spans="1:6" x14ac:dyDescent="0.2">
      <c r="A981" s="2" t="s">
        <v>55</v>
      </c>
      <c r="B981" s="2">
        <v>18</v>
      </c>
      <c r="C981" s="2">
        <v>2</v>
      </c>
      <c r="D981" s="2">
        <v>2020</v>
      </c>
      <c r="E981" s="2">
        <v>99.12</v>
      </c>
      <c r="F981" s="2">
        <v>73.64</v>
      </c>
    </row>
    <row r="982" spans="1:6" x14ac:dyDescent="0.2">
      <c r="A982" s="2" t="s">
        <v>38</v>
      </c>
      <c r="B982" s="2">
        <v>21</v>
      </c>
      <c r="C982" s="2">
        <v>2</v>
      </c>
      <c r="D982" s="2">
        <v>2020</v>
      </c>
      <c r="E982" s="2">
        <v>82.32</v>
      </c>
      <c r="F982" s="2">
        <v>73.64</v>
      </c>
    </row>
    <row r="983" spans="1:6" x14ac:dyDescent="0.2">
      <c r="A983" s="2" t="s">
        <v>60</v>
      </c>
      <c r="B983" s="2">
        <v>20</v>
      </c>
      <c r="C983" s="2">
        <v>1</v>
      </c>
      <c r="D983" s="2">
        <v>2020</v>
      </c>
      <c r="E983" s="2">
        <v>114.08</v>
      </c>
      <c r="F983" s="2">
        <v>73.47</v>
      </c>
    </row>
    <row r="984" spans="1:6" x14ac:dyDescent="0.2">
      <c r="A984" s="2" t="s">
        <v>0</v>
      </c>
      <c r="B984" s="2">
        <v>25</v>
      </c>
      <c r="C984" s="2">
        <v>6</v>
      </c>
      <c r="D984" s="2">
        <v>2020</v>
      </c>
      <c r="E984" s="1" t="s">
        <v>94</v>
      </c>
      <c r="F984" s="2">
        <v>73.2</v>
      </c>
    </row>
    <row r="985" spans="1:6" x14ac:dyDescent="0.2">
      <c r="A985" s="2" t="s">
        <v>33</v>
      </c>
      <c r="B985" s="2">
        <v>21</v>
      </c>
      <c r="C985" s="2">
        <v>11</v>
      </c>
      <c r="D985" s="2">
        <v>2020</v>
      </c>
      <c r="E985" s="2">
        <v>95.4</v>
      </c>
      <c r="F985" s="2">
        <v>73.2</v>
      </c>
    </row>
    <row r="986" spans="1:6" x14ac:dyDescent="0.2">
      <c r="A986" s="2" t="s">
        <v>95</v>
      </c>
      <c r="B986" s="2">
        <v>24</v>
      </c>
      <c r="C986" s="2">
        <v>1</v>
      </c>
      <c r="D986" s="2">
        <v>2020</v>
      </c>
      <c r="E986" s="1" t="s">
        <v>94</v>
      </c>
      <c r="F986" s="2">
        <v>73.16</v>
      </c>
    </row>
    <row r="987" spans="1:6" x14ac:dyDescent="0.2">
      <c r="A987" s="2" t="s">
        <v>39</v>
      </c>
      <c r="B987" s="2">
        <v>22</v>
      </c>
      <c r="C987" s="2">
        <v>10</v>
      </c>
      <c r="D987" s="2">
        <v>2020</v>
      </c>
      <c r="E987" s="2">
        <v>55.49</v>
      </c>
      <c r="F987" s="2">
        <v>73.16</v>
      </c>
    </row>
    <row r="988" spans="1:6" x14ac:dyDescent="0.2">
      <c r="A988" s="2" t="s">
        <v>48</v>
      </c>
      <c r="B988" s="2">
        <v>24</v>
      </c>
      <c r="C988" s="2">
        <v>7</v>
      </c>
      <c r="D988" s="2">
        <v>2020</v>
      </c>
      <c r="E988" s="2">
        <v>35.03</v>
      </c>
      <c r="F988" s="2">
        <v>73.16</v>
      </c>
    </row>
    <row r="989" spans="1:6" x14ac:dyDescent="0.2">
      <c r="A989" s="2" t="s">
        <v>56</v>
      </c>
      <c r="B989" s="2">
        <v>14</v>
      </c>
      <c r="C989" s="2">
        <v>4</v>
      </c>
      <c r="D989" s="2">
        <v>2020</v>
      </c>
      <c r="E989" s="2">
        <v>60.3</v>
      </c>
      <c r="F989" s="2">
        <v>72.900000000000006</v>
      </c>
    </row>
    <row r="990" spans="1:6" x14ac:dyDescent="0.2">
      <c r="A990" s="2" t="s">
        <v>82</v>
      </c>
      <c r="B990" s="2">
        <v>8</v>
      </c>
      <c r="C990" s="2">
        <v>9</v>
      </c>
      <c r="D990" s="2">
        <v>2020</v>
      </c>
      <c r="E990" s="2">
        <v>55.5</v>
      </c>
      <c r="F990" s="2">
        <v>72.900000000000006</v>
      </c>
    </row>
    <row r="991" spans="1:6" x14ac:dyDescent="0.2">
      <c r="A991" s="2" t="s">
        <v>53</v>
      </c>
      <c r="B991" s="2">
        <v>18</v>
      </c>
      <c r="C991" s="2">
        <v>1</v>
      </c>
      <c r="D991" s="2">
        <v>2020</v>
      </c>
      <c r="E991" s="2">
        <v>121.83</v>
      </c>
      <c r="F991" s="2">
        <v>72.849999999999994</v>
      </c>
    </row>
    <row r="992" spans="1:6" x14ac:dyDescent="0.2">
      <c r="A992" s="2" t="s">
        <v>53</v>
      </c>
      <c r="B992" s="2">
        <v>18</v>
      </c>
      <c r="C992" s="2">
        <v>8</v>
      </c>
      <c r="D992" s="2">
        <v>2020</v>
      </c>
      <c r="E992" s="2">
        <v>28.83</v>
      </c>
      <c r="F992" s="2">
        <v>72.849999999999994</v>
      </c>
    </row>
    <row r="993" spans="1:6" x14ac:dyDescent="0.2">
      <c r="A993" s="2" t="s">
        <v>53</v>
      </c>
      <c r="B993" s="2">
        <v>18</v>
      </c>
      <c r="C993" s="2">
        <v>4</v>
      </c>
      <c r="D993" s="2">
        <v>2020</v>
      </c>
      <c r="E993" s="2">
        <v>62.4</v>
      </c>
      <c r="F993" s="2">
        <v>72.599999999999994</v>
      </c>
    </row>
    <row r="994" spans="1:6" x14ac:dyDescent="0.2">
      <c r="A994" s="2" t="s">
        <v>56</v>
      </c>
      <c r="B994" s="2">
        <v>14</v>
      </c>
      <c r="C994" s="2">
        <v>6</v>
      </c>
      <c r="D994" s="2">
        <v>2020</v>
      </c>
      <c r="E994" s="2">
        <v>39</v>
      </c>
      <c r="F994" s="2">
        <v>72.599999999999994</v>
      </c>
    </row>
    <row r="995" spans="1:6" x14ac:dyDescent="0.2">
      <c r="A995" s="2" t="s">
        <v>57</v>
      </c>
      <c r="B995" s="2">
        <v>17</v>
      </c>
      <c r="C995" s="2">
        <v>6</v>
      </c>
      <c r="D995" s="2">
        <v>2020</v>
      </c>
      <c r="E995" s="2">
        <v>30.6</v>
      </c>
      <c r="F995" s="2">
        <v>72.599999999999994</v>
      </c>
    </row>
    <row r="996" spans="1:6" x14ac:dyDescent="0.2">
      <c r="A996" s="2" t="s">
        <v>95</v>
      </c>
      <c r="B996" s="2">
        <v>24</v>
      </c>
      <c r="C996" s="2">
        <v>12</v>
      </c>
      <c r="D996" s="2">
        <v>2020</v>
      </c>
      <c r="E996" s="1" t="s">
        <v>94</v>
      </c>
      <c r="F996" s="2">
        <v>72.540000000000006</v>
      </c>
    </row>
    <row r="997" spans="1:6" x14ac:dyDescent="0.2">
      <c r="A997" s="2" t="s">
        <v>55</v>
      </c>
      <c r="B997" s="2">
        <v>18</v>
      </c>
      <c r="C997" s="2">
        <v>3</v>
      </c>
      <c r="D997" s="2">
        <v>2020</v>
      </c>
      <c r="E997" s="2">
        <v>70.06</v>
      </c>
      <c r="F997" s="2">
        <v>72.540000000000006</v>
      </c>
    </row>
    <row r="998" spans="1:6" x14ac:dyDescent="0.2">
      <c r="A998" s="2" t="s">
        <v>91</v>
      </c>
      <c r="B998" s="2">
        <v>5</v>
      </c>
      <c r="C998" s="2">
        <v>8</v>
      </c>
      <c r="D998" s="2">
        <v>2020</v>
      </c>
      <c r="E998" s="2">
        <v>60.14</v>
      </c>
      <c r="F998" s="2">
        <v>72.540000000000006</v>
      </c>
    </row>
    <row r="999" spans="1:6" x14ac:dyDescent="0.2">
      <c r="A999" s="2" t="s">
        <v>37</v>
      </c>
      <c r="B999" s="2">
        <v>12</v>
      </c>
      <c r="C999" s="2">
        <v>5</v>
      </c>
      <c r="D999" s="2">
        <v>2020</v>
      </c>
      <c r="E999" s="2">
        <v>36.270000000000003</v>
      </c>
      <c r="F999" s="2">
        <v>72.540000000000006</v>
      </c>
    </row>
    <row r="1000" spans="1:6" x14ac:dyDescent="0.2">
      <c r="A1000" s="2" t="s">
        <v>0</v>
      </c>
      <c r="B1000" s="2">
        <v>25</v>
      </c>
      <c r="C1000" s="2">
        <v>2</v>
      </c>
      <c r="D1000" s="2">
        <v>2020</v>
      </c>
      <c r="E1000" s="1" t="s">
        <v>94</v>
      </c>
      <c r="F1000" s="2">
        <v>72.52</v>
      </c>
    </row>
    <row r="1001" spans="1:6" x14ac:dyDescent="0.2">
      <c r="A1001" s="2" t="s">
        <v>92</v>
      </c>
      <c r="B1001" s="2">
        <v>7</v>
      </c>
      <c r="C1001" s="2">
        <v>2</v>
      </c>
      <c r="D1001" s="2">
        <v>2020</v>
      </c>
      <c r="E1001" s="2">
        <v>143.63999999999999</v>
      </c>
      <c r="F1001" s="2">
        <v>72.52</v>
      </c>
    </row>
    <row r="1002" spans="1:6" x14ac:dyDescent="0.2">
      <c r="A1002" s="2" t="s">
        <v>42</v>
      </c>
      <c r="B1002" s="2">
        <v>12</v>
      </c>
      <c r="C1002" s="2">
        <v>9</v>
      </c>
      <c r="D1002" s="2">
        <v>2020</v>
      </c>
      <c r="E1002" s="2">
        <v>39.6</v>
      </c>
      <c r="F1002" s="2">
        <v>72.3</v>
      </c>
    </row>
    <row r="1003" spans="1:6" x14ac:dyDescent="0.2">
      <c r="A1003" s="2" t="s">
        <v>52</v>
      </c>
      <c r="B1003" s="2">
        <v>1</v>
      </c>
      <c r="C1003" s="2">
        <v>6</v>
      </c>
      <c r="D1003" s="2">
        <v>2020</v>
      </c>
      <c r="E1003" s="2">
        <v>33.6</v>
      </c>
      <c r="F1003" s="2">
        <v>72.3</v>
      </c>
    </row>
    <row r="1004" spans="1:6" x14ac:dyDescent="0.2">
      <c r="A1004" s="2" t="s">
        <v>95</v>
      </c>
      <c r="B1004" s="2">
        <v>24</v>
      </c>
      <c r="C1004" s="2">
        <v>10</v>
      </c>
      <c r="D1004" s="2">
        <v>2020</v>
      </c>
      <c r="E1004" s="1" t="s">
        <v>94</v>
      </c>
      <c r="F1004" s="2">
        <v>72.23</v>
      </c>
    </row>
    <row r="1005" spans="1:6" x14ac:dyDescent="0.2">
      <c r="A1005" s="2" t="s">
        <v>56</v>
      </c>
      <c r="B1005" s="2">
        <v>14</v>
      </c>
      <c r="C1005" s="2">
        <v>1</v>
      </c>
      <c r="D1005" s="2">
        <v>2020</v>
      </c>
      <c r="E1005" s="2">
        <v>95.48</v>
      </c>
      <c r="F1005" s="2">
        <v>72.23</v>
      </c>
    </row>
    <row r="1006" spans="1:6" x14ac:dyDescent="0.2">
      <c r="A1006" s="2" t="s">
        <v>59</v>
      </c>
      <c r="B1006" s="2">
        <v>11</v>
      </c>
      <c r="C1006" s="2">
        <v>3</v>
      </c>
      <c r="D1006" s="2">
        <v>2020</v>
      </c>
      <c r="E1006" s="2">
        <v>64.790000000000006</v>
      </c>
      <c r="F1006" s="2">
        <v>72.23</v>
      </c>
    </row>
    <row r="1007" spans="1:6" x14ac:dyDescent="0.2">
      <c r="A1007" s="2" t="s">
        <v>78</v>
      </c>
      <c r="B1007" s="2">
        <v>18</v>
      </c>
      <c r="C1007" s="2">
        <v>7</v>
      </c>
      <c r="D1007" s="2">
        <v>2020</v>
      </c>
      <c r="E1007" s="2">
        <v>44.33</v>
      </c>
      <c r="F1007" s="2">
        <v>72.23</v>
      </c>
    </row>
    <row r="1008" spans="1:6" x14ac:dyDescent="0.2">
      <c r="A1008" s="2" t="s">
        <v>48</v>
      </c>
      <c r="B1008" s="2">
        <v>24</v>
      </c>
      <c r="C1008" s="2">
        <v>11</v>
      </c>
      <c r="D1008" s="2">
        <v>2020</v>
      </c>
      <c r="E1008" s="2">
        <v>104.4</v>
      </c>
      <c r="F1008" s="2">
        <v>72</v>
      </c>
    </row>
    <row r="1009" spans="1:6" x14ac:dyDescent="0.2">
      <c r="A1009" s="2" t="s">
        <v>47</v>
      </c>
      <c r="B1009" s="2">
        <v>19</v>
      </c>
      <c r="C1009" s="2">
        <v>4</v>
      </c>
      <c r="D1009" s="2">
        <v>2020</v>
      </c>
      <c r="E1009" s="2">
        <v>62.1</v>
      </c>
      <c r="F1009" s="2">
        <v>72</v>
      </c>
    </row>
    <row r="1010" spans="1:6" x14ac:dyDescent="0.2">
      <c r="A1010" s="2" t="s">
        <v>39</v>
      </c>
      <c r="B1010" s="2">
        <v>22</v>
      </c>
      <c r="C1010" s="2">
        <v>2</v>
      </c>
      <c r="D1010" s="2">
        <v>2020</v>
      </c>
      <c r="E1010" s="2">
        <v>80.08</v>
      </c>
      <c r="F1010" s="2">
        <v>71.959999999999994</v>
      </c>
    </row>
    <row r="1011" spans="1:6" x14ac:dyDescent="0.2">
      <c r="A1011" s="2" t="s">
        <v>75</v>
      </c>
      <c r="B1011" s="2">
        <v>2</v>
      </c>
      <c r="C1011" s="2">
        <v>12</v>
      </c>
      <c r="D1011" s="2">
        <v>2020</v>
      </c>
      <c r="E1011" s="2">
        <v>119.97</v>
      </c>
      <c r="F1011" s="2">
        <v>71.92</v>
      </c>
    </row>
    <row r="1012" spans="1:6" x14ac:dyDescent="0.2">
      <c r="A1012" s="2" t="s">
        <v>62</v>
      </c>
      <c r="B1012" s="2">
        <v>1</v>
      </c>
      <c r="C1012" s="2">
        <v>10</v>
      </c>
      <c r="D1012" s="2">
        <v>2020</v>
      </c>
      <c r="E1012" s="2">
        <v>80.290000000000006</v>
      </c>
      <c r="F1012" s="2">
        <v>71.92</v>
      </c>
    </row>
    <row r="1013" spans="1:6" x14ac:dyDescent="0.2">
      <c r="A1013" s="2" t="s">
        <v>60</v>
      </c>
      <c r="B1013" s="2">
        <v>20</v>
      </c>
      <c r="C1013" s="2">
        <v>10</v>
      </c>
      <c r="D1013" s="2">
        <v>2020</v>
      </c>
      <c r="E1013" s="2">
        <v>70.37</v>
      </c>
      <c r="F1013" s="2">
        <v>71.92</v>
      </c>
    </row>
    <row r="1014" spans="1:6" x14ac:dyDescent="0.2">
      <c r="A1014" s="2" t="s">
        <v>89</v>
      </c>
      <c r="B1014" s="2">
        <v>2</v>
      </c>
      <c r="C1014" s="2">
        <v>7</v>
      </c>
      <c r="D1014" s="2">
        <v>2020</v>
      </c>
      <c r="E1014" s="2">
        <v>57.35</v>
      </c>
      <c r="F1014" s="2">
        <v>71.92</v>
      </c>
    </row>
    <row r="1015" spans="1:6" x14ac:dyDescent="0.2">
      <c r="A1015" s="2" t="s">
        <v>38</v>
      </c>
      <c r="B1015" s="2">
        <v>21</v>
      </c>
      <c r="C1015" s="2">
        <v>10</v>
      </c>
      <c r="D1015" s="2">
        <v>2020</v>
      </c>
      <c r="E1015" s="2">
        <v>51.77</v>
      </c>
      <c r="F1015" s="2">
        <v>71.92</v>
      </c>
    </row>
    <row r="1016" spans="1:6" x14ac:dyDescent="0.2">
      <c r="A1016" s="2" t="s">
        <v>67</v>
      </c>
      <c r="B1016" s="2">
        <v>13</v>
      </c>
      <c r="C1016" s="2">
        <v>8</v>
      </c>
      <c r="D1016" s="2">
        <v>2020</v>
      </c>
      <c r="E1016" s="2">
        <v>38.130000000000003</v>
      </c>
      <c r="F1016" s="2">
        <v>71.92</v>
      </c>
    </row>
    <row r="1017" spans="1:6" x14ac:dyDescent="0.2">
      <c r="A1017" s="2" t="s">
        <v>33</v>
      </c>
      <c r="B1017" s="2">
        <v>21</v>
      </c>
      <c r="C1017" s="2">
        <v>8</v>
      </c>
      <c r="D1017" s="2">
        <v>2020</v>
      </c>
      <c r="E1017" s="2">
        <v>9.92</v>
      </c>
      <c r="F1017" s="2">
        <v>71.92</v>
      </c>
    </row>
    <row r="1018" spans="1:6" x14ac:dyDescent="0.2">
      <c r="A1018" s="2" t="s">
        <v>46</v>
      </c>
      <c r="B1018" s="2">
        <v>9</v>
      </c>
      <c r="C1018" s="2">
        <v>9</v>
      </c>
      <c r="D1018" s="2">
        <v>2020</v>
      </c>
      <c r="E1018" s="2">
        <v>39.6</v>
      </c>
      <c r="F1018" s="2">
        <v>71.7</v>
      </c>
    </row>
    <row r="1019" spans="1:6" x14ac:dyDescent="0.2">
      <c r="A1019" s="2" t="s">
        <v>33</v>
      </c>
      <c r="B1019" s="2">
        <v>21</v>
      </c>
      <c r="C1019" s="2">
        <v>10</v>
      </c>
      <c r="D1019" s="2">
        <v>2020</v>
      </c>
      <c r="E1019" s="2">
        <v>50.84</v>
      </c>
      <c r="F1019" s="2">
        <v>71.61</v>
      </c>
    </row>
    <row r="1020" spans="1:6" x14ac:dyDescent="0.2">
      <c r="A1020" s="2" t="s">
        <v>82</v>
      </c>
      <c r="B1020" s="2">
        <v>8</v>
      </c>
      <c r="C1020" s="2">
        <v>5</v>
      </c>
      <c r="D1020" s="2">
        <v>2020</v>
      </c>
      <c r="E1020" s="2">
        <v>50.22</v>
      </c>
      <c r="F1020" s="2">
        <v>71.61</v>
      </c>
    </row>
    <row r="1021" spans="1:6" x14ac:dyDescent="0.2">
      <c r="A1021" s="2" t="s">
        <v>51</v>
      </c>
      <c r="B1021" s="2">
        <v>16</v>
      </c>
      <c r="C1021" s="2">
        <v>11</v>
      </c>
      <c r="D1021" s="2">
        <v>2020</v>
      </c>
      <c r="E1021" s="2">
        <v>95.7</v>
      </c>
      <c r="F1021" s="2">
        <v>71.400000000000006</v>
      </c>
    </row>
    <row r="1022" spans="1:6" x14ac:dyDescent="0.2">
      <c r="A1022" s="2" t="s">
        <v>37</v>
      </c>
      <c r="B1022" s="2">
        <v>12</v>
      </c>
      <c r="C1022" s="2">
        <v>2</v>
      </c>
      <c r="D1022" s="2">
        <v>2020</v>
      </c>
      <c r="E1022" s="2">
        <v>78.12</v>
      </c>
      <c r="F1022" s="2">
        <v>71.400000000000006</v>
      </c>
    </row>
    <row r="1023" spans="1:6" x14ac:dyDescent="0.2">
      <c r="A1023" s="2" t="s">
        <v>75</v>
      </c>
      <c r="B1023" s="2">
        <v>2</v>
      </c>
      <c r="C1023" s="2">
        <v>4</v>
      </c>
      <c r="D1023" s="2">
        <v>2020</v>
      </c>
      <c r="E1023" s="2">
        <v>77.400000000000006</v>
      </c>
      <c r="F1023" s="2">
        <v>71.400000000000006</v>
      </c>
    </row>
    <row r="1024" spans="1:6" x14ac:dyDescent="0.2">
      <c r="A1024" s="2" t="s">
        <v>67</v>
      </c>
      <c r="B1024" s="2">
        <v>13</v>
      </c>
      <c r="C1024" s="2">
        <v>6</v>
      </c>
      <c r="D1024" s="2">
        <v>2020</v>
      </c>
      <c r="E1024" s="2">
        <v>35.700000000000003</v>
      </c>
      <c r="F1024" s="2">
        <v>71.400000000000006</v>
      </c>
    </row>
    <row r="1025" spans="1:6" x14ac:dyDescent="0.2">
      <c r="A1025" s="2" t="s">
        <v>46</v>
      </c>
      <c r="B1025" s="2">
        <v>9</v>
      </c>
      <c r="C1025" s="2">
        <v>1</v>
      </c>
      <c r="D1025" s="2">
        <v>2020</v>
      </c>
      <c r="E1025" s="2">
        <v>112.84</v>
      </c>
      <c r="F1025" s="2">
        <v>71.3</v>
      </c>
    </row>
    <row r="1026" spans="1:6" x14ac:dyDescent="0.2">
      <c r="A1026" s="2" t="s">
        <v>38</v>
      </c>
      <c r="B1026" s="2">
        <v>21</v>
      </c>
      <c r="C1026" s="2">
        <v>3</v>
      </c>
      <c r="D1026" s="2">
        <v>2020</v>
      </c>
      <c r="E1026" s="2">
        <v>60.14</v>
      </c>
      <c r="F1026" s="2">
        <v>71.3</v>
      </c>
    </row>
    <row r="1027" spans="1:6" x14ac:dyDescent="0.2">
      <c r="A1027" s="2" t="s">
        <v>85</v>
      </c>
      <c r="B1027" s="2">
        <v>3</v>
      </c>
      <c r="C1027" s="2">
        <v>11</v>
      </c>
      <c r="D1027" s="2">
        <v>2020</v>
      </c>
      <c r="E1027" s="2">
        <v>114.3</v>
      </c>
      <c r="F1027" s="2">
        <v>71.099999999999994</v>
      </c>
    </row>
    <row r="1028" spans="1:6" x14ac:dyDescent="0.2">
      <c r="A1028" s="2" t="s">
        <v>62</v>
      </c>
      <c r="B1028" s="2">
        <v>1</v>
      </c>
      <c r="C1028" s="2">
        <v>9</v>
      </c>
      <c r="D1028" s="2">
        <v>2020</v>
      </c>
      <c r="E1028" s="2">
        <v>46.2</v>
      </c>
      <c r="F1028" s="2">
        <v>71.099999999999994</v>
      </c>
    </row>
    <row r="1029" spans="1:6" x14ac:dyDescent="0.2">
      <c r="A1029" s="2" t="s">
        <v>51</v>
      </c>
      <c r="B1029" s="2">
        <v>16</v>
      </c>
      <c r="C1029" s="2">
        <v>1</v>
      </c>
      <c r="D1029" s="2">
        <v>2020</v>
      </c>
      <c r="E1029" s="2">
        <v>103.85</v>
      </c>
      <c r="F1029" s="2">
        <v>70.989999999999995</v>
      </c>
    </row>
    <row r="1030" spans="1:6" x14ac:dyDescent="0.2">
      <c r="A1030" s="2" t="s">
        <v>34</v>
      </c>
      <c r="B1030" s="2">
        <v>4</v>
      </c>
      <c r="C1030" s="2">
        <v>1</v>
      </c>
      <c r="D1030" s="2">
        <v>2020</v>
      </c>
      <c r="E1030" s="2">
        <v>91.76</v>
      </c>
      <c r="F1030" s="2">
        <v>70.989999999999995</v>
      </c>
    </row>
    <row r="1031" spans="1:6" x14ac:dyDescent="0.2">
      <c r="A1031" s="2" t="s">
        <v>62</v>
      </c>
      <c r="B1031" s="2">
        <v>1</v>
      </c>
      <c r="C1031" s="2">
        <v>3</v>
      </c>
      <c r="D1031" s="2">
        <v>2020</v>
      </c>
      <c r="E1031" s="2">
        <v>83.39</v>
      </c>
      <c r="F1031" s="2">
        <v>70.989999999999995</v>
      </c>
    </row>
    <row r="1032" spans="1:6" x14ac:dyDescent="0.2">
      <c r="A1032" s="2" t="s">
        <v>75</v>
      </c>
      <c r="B1032" s="2">
        <v>2</v>
      </c>
      <c r="C1032" s="2">
        <v>5</v>
      </c>
      <c r="D1032" s="2">
        <v>2020</v>
      </c>
      <c r="E1032" s="2">
        <v>46.19</v>
      </c>
      <c r="F1032" s="2">
        <v>70.989999999999995</v>
      </c>
    </row>
    <row r="1033" spans="1:6" x14ac:dyDescent="0.2">
      <c r="A1033" s="2" t="s">
        <v>45</v>
      </c>
      <c r="B1033" s="2">
        <v>18</v>
      </c>
      <c r="C1033" s="2">
        <v>5</v>
      </c>
      <c r="D1033" s="2">
        <v>2020</v>
      </c>
      <c r="E1033" s="2">
        <v>40.299999999999997</v>
      </c>
      <c r="F1033" s="2">
        <v>70.989999999999995</v>
      </c>
    </row>
    <row r="1034" spans="1:6" x14ac:dyDescent="0.2">
      <c r="A1034" s="2" t="s">
        <v>76</v>
      </c>
      <c r="B1034" s="2">
        <v>9</v>
      </c>
      <c r="C1034" s="2">
        <v>7</v>
      </c>
      <c r="D1034" s="2">
        <v>2020</v>
      </c>
      <c r="E1034" s="2">
        <v>40.299999999999997</v>
      </c>
      <c r="F1034" s="2">
        <v>70.989999999999995</v>
      </c>
    </row>
    <row r="1035" spans="1:6" x14ac:dyDescent="0.2">
      <c r="A1035" s="2" t="s">
        <v>50</v>
      </c>
      <c r="B1035" s="2">
        <v>24</v>
      </c>
      <c r="C1035" s="2">
        <v>5</v>
      </c>
      <c r="D1035" s="2">
        <v>2020</v>
      </c>
      <c r="E1035" s="2">
        <v>35.96</v>
      </c>
      <c r="F1035" s="2">
        <v>70.989999999999995</v>
      </c>
    </row>
    <row r="1036" spans="1:6" x14ac:dyDescent="0.2">
      <c r="A1036" s="2" t="s">
        <v>95</v>
      </c>
      <c r="B1036" s="2">
        <v>24</v>
      </c>
      <c r="C1036" s="2">
        <v>11</v>
      </c>
      <c r="D1036" s="2">
        <v>2020</v>
      </c>
      <c r="E1036" s="1" t="s">
        <v>94</v>
      </c>
      <c r="F1036" s="2">
        <v>70.8</v>
      </c>
    </row>
    <row r="1037" spans="1:6" x14ac:dyDescent="0.2">
      <c r="A1037" s="2" t="s">
        <v>80</v>
      </c>
      <c r="B1037" s="2">
        <v>12</v>
      </c>
      <c r="C1037" s="2">
        <v>9</v>
      </c>
      <c r="D1037" s="2">
        <v>2020</v>
      </c>
      <c r="E1037" s="2">
        <v>57.9</v>
      </c>
      <c r="F1037" s="2">
        <v>70.8</v>
      </c>
    </row>
    <row r="1038" spans="1:6" x14ac:dyDescent="0.2">
      <c r="A1038" s="2" t="s">
        <v>42</v>
      </c>
      <c r="B1038" s="2">
        <v>12</v>
      </c>
      <c r="C1038" s="2">
        <v>10</v>
      </c>
      <c r="D1038" s="2">
        <v>2020</v>
      </c>
      <c r="E1038" s="2">
        <v>59.52</v>
      </c>
      <c r="F1038" s="2">
        <v>70.680000000000007</v>
      </c>
    </row>
    <row r="1039" spans="1:6" x14ac:dyDescent="0.2">
      <c r="A1039" s="2" t="s">
        <v>62</v>
      </c>
      <c r="B1039" s="2">
        <v>1</v>
      </c>
      <c r="C1039" s="2">
        <v>7</v>
      </c>
      <c r="D1039" s="2">
        <v>2020</v>
      </c>
      <c r="E1039" s="2">
        <v>37.51</v>
      </c>
      <c r="F1039" s="2">
        <v>70.680000000000007</v>
      </c>
    </row>
    <row r="1040" spans="1:6" x14ac:dyDescent="0.2">
      <c r="A1040" s="2" t="s">
        <v>33</v>
      </c>
      <c r="B1040" s="2">
        <v>21</v>
      </c>
      <c r="C1040" s="2">
        <v>7</v>
      </c>
      <c r="D1040" s="2">
        <v>2020</v>
      </c>
      <c r="E1040" s="2">
        <v>18.600000000000001</v>
      </c>
      <c r="F1040" s="2">
        <v>70.680000000000007</v>
      </c>
    </row>
    <row r="1041" spans="1:6" x14ac:dyDescent="0.2">
      <c r="A1041" s="2" t="s">
        <v>85</v>
      </c>
      <c r="B1041" s="2">
        <v>3</v>
      </c>
      <c r="C1041" s="2">
        <v>6</v>
      </c>
      <c r="D1041" s="2">
        <v>2020</v>
      </c>
      <c r="E1041" s="2">
        <v>48.3</v>
      </c>
      <c r="F1041" s="2">
        <v>70.5</v>
      </c>
    </row>
    <row r="1042" spans="1:6" x14ac:dyDescent="0.2">
      <c r="A1042" s="2" t="s">
        <v>78</v>
      </c>
      <c r="B1042" s="2">
        <v>18</v>
      </c>
      <c r="C1042" s="2">
        <v>12</v>
      </c>
      <c r="D1042" s="2">
        <v>2020</v>
      </c>
      <c r="E1042" s="2">
        <v>109.43</v>
      </c>
      <c r="F1042" s="2">
        <v>70.37</v>
      </c>
    </row>
    <row r="1043" spans="1:6" x14ac:dyDescent="0.2">
      <c r="A1043" s="2" t="s">
        <v>73</v>
      </c>
      <c r="B1043" s="2">
        <v>5</v>
      </c>
      <c r="C1043" s="2">
        <v>10</v>
      </c>
      <c r="D1043" s="2">
        <v>2020</v>
      </c>
      <c r="E1043" s="2">
        <v>79.05</v>
      </c>
      <c r="F1043" s="2">
        <v>70.37</v>
      </c>
    </row>
    <row r="1044" spans="1:6" x14ac:dyDescent="0.2">
      <c r="A1044" s="2" t="s">
        <v>76</v>
      </c>
      <c r="B1044" s="2">
        <v>9</v>
      </c>
      <c r="C1044" s="2">
        <v>5</v>
      </c>
      <c r="D1044" s="2">
        <v>2020</v>
      </c>
      <c r="E1044" s="2">
        <v>49.91</v>
      </c>
      <c r="F1044" s="2">
        <v>70.37</v>
      </c>
    </row>
    <row r="1045" spans="1:6" x14ac:dyDescent="0.2">
      <c r="A1045" s="2" t="s">
        <v>63</v>
      </c>
      <c r="B1045" s="2">
        <v>25</v>
      </c>
      <c r="C1045" s="2">
        <v>9</v>
      </c>
      <c r="D1045" s="2">
        <v>2020</v>
      </c>
      <c r="E1045" s="2">
        <v>36.299999999999997</v>
      </c>
      <c r="F1045" s="2">
        <v>70.2</v>
      </c>
    </row>
    <row r="1046" spans="1:6" x14ac:dyDescent="0.2">
      <c r="A1046" s="2" t="s">
        <v>82</v>
      </c>
      <c r="B1046" s="2">
        <v>8</v>
      </c>
      <c r="C1046" s="2">
        <v>12</v>
      </c>
      <c r="D1046" s="2">
        <v>2020</v>
      </c>
      <c r="E1046" s="2">
        <v>144.15</v>
      </c>
      <c r="F1046" s="2">
        <v>70.06</v>
      </c>
    </row>
    <row r="1047" spans="1:6" x14ac:dyDescent="0.2">
      <c r="A1047" s="2" t="s">
        <v>58</v>
      </c>
      <c r="B1047" s="2">
        <v>16</v>
      </c>
      <c r="C1047" s="2">
        <v>3</v>
      </c>
      <c r="D1047" s="2">
        <v>2020</v>
      </c>
      <c r="E1047" s="2">
        <v>75.33</v>
      </c>
      <c r="F1047" s="2">
        <v>70.06</v>
      </c>
    </row>
    <row r="1048" spans="1:6" x14ac:dyDescent="0.2">
      <c r="A1048" s="2" t="s">
        <v>37</v>
      </c>
      <c r="B1048" s="2">
        <v>12</v>
      </c>
      <c r="C1048" s="2">
        <v>3</v>
      </c>
      <c r="D1048" s="2">
        <v>2020</v>
      </c>
      <c r="E1048" s="2">
        <v>62.31</v>
      </c>
      <c r="F1048" s="2">
        <v>70.06</v>
      </c>
    </row>
    <row r="1049" spans="1:6" x14ac:dyDescent="0.2">
      <c r="A1049" s="2" t="s">
        <v>50</v>
      </c>
      <c r="B1049" s="2">
        <v>24</v>
      </c>
      <c r="C1049" s="2">
        <v>7</v>
      </c>
      <c r="D1049" s="2">
        <v>2020</v>
      </c>
      <c r="E1049" s="2">
        <v>31</v>
      </c>
      <c r="F1049" s="2">
        <v>70.06</v>
      </c>
    </row>
    <row r="1050" spans="1:6" x14ac:dyDescent="0.2">
      <c r="A1050" s="2" t="s">
        <v>51</v>
      </c>
      <c r="B1050" s="2">
        <v>16</v>
      </c>
      <c r="C1050" s="2">
        <v>6</v>
      </c>
      <c r="D1050" s="2">
        <v>2020</v>
      </c>
      <c r="E1050" s="2">
        <v>28.5</v>
      </c>
      <c r="F1050" s="2">
        <v>69.900000000000006</v>
      </c>
    </row>
    <row r="1051" spans="1:6" x14ac:dyDescent="0.2">
      <c r="A1051" s="2" t="s">
        <v>46</v>
      </c>
      <c r="B1051" s="2">
        <v>9</v>
      </c>
      <c r="C1051" s="2">
        <v>6</v>
      </c>
      <c r="D1051" s="2">
        <v>2020</v>
      </c>
      <c r="E1051" s="2">
        <v>25.8</v>
      </c>
      <c r="F1051" s="2">
        <v>69.900000000000006</v>
      </c>
    </row>
    <row r="1052" spans="1:6" x14ac:dyDescent="0.2">
      <c r="A1052" s="2" t="s">
        <v>55</v>
      </c>
      <c r="B1052" s="2">
        <v>18</v>
      </c>
      <c r="C1052" s="2">
        <v>12</v>
      </c>
      <c r="D1052" s="2">
        <v>2020</v>
      </c>
      <c r="E1052" s="2">
        <v>99.51</v>
      </c>
      <c r="F1052" s="2">
        <v>69.75</v>
      </c>
    </row>
    <row r="1053" spans="1:6" x14ac:dyDescent="0.2">
      <c r="A1053" s="2" t="s">
        <v>40</v>
      </c>
      <c r="B1053" s="2">
        <v>15</v>
      </c>
      <c r="C1053" s="2">
        <v>8</v>
      </c>
      <c r="D1053" s="2">
        <v>2020</v>
      </c>
      <c r="E1053" s="2">
        <v>25.73</v>
      </c>
      <c r="F1053" s="2">
        <v>69.75</v>
      </c>
    </row>
    <row r="1054" spans="1:6" x14ac:dyDescent="0.2">
      <c r="A1054" s="2" t="s">
        <v>55</v>
      </c>
      <c r="B1054" s="2">
        <v>18</v>
      </c>
      <c r="C1054" s="2">
        <v>4</v>
      </c>
      <c r="D1054" s="2">
        <v>2020</v>
      </c>
      <c r="E1054" s="2">
        <v>61.2</v>
      </c>
      <c r="F1054" s="2">
        <v>69.599999999999994</v>
      </c>
    </row>
    <row r="1055" spans="1:6" x14ac:dyDescent="0.2">
      <c r="A1055" s="2" t="s">
        <v>34</v>
      </c>
      <c r="B1055" s="2">
        <v>4</v>
      </c>
      <c r="C1055" s="2">
        <v>9</v>
      </c>
      <c r="D1055" s="2">
        <v>2020</v>
      </c>
      <c r="E1055" s="2">
        <v>30.9</v>
      </c>
      <c r="F1055" s="2">
        <v>69.599999999999994</v>
      </c>
    </row>
    <row r="1056" spans="1:6" x14ac:dyDescent="0.2">
      <c r="A1056" s="2" t="s">
        <v>75</v>
      </c>
      <c r="B1056" s="2">
        <v>2</v>
      </c>
      <c r="C1056" s="2">
        <v>2</v>
      </c>
      <c r="D1056" s="2">
        <v>2020</v>
      </c>
      <c r="E1056" s="2">
        <v>97.72</v>
      </c>
      <c r="F1056" s="2">
        <v>69.44</v>
      </c>
    </row>
    <row r="1057" spans="1:6" x14ac:dyDescent="0.2">
      <c r="A1057" s="2" t="s">
        <v>45</v>
      </c>
      <c r="B1057" s="2">
        <v>18</v>
      </c>
      <c r="C1057" s="2">
        <v>1</v>
      </c>
      <c r="D1057" s="2">
        <v>2020</v>
      </c>
      <c r="E1057" s="2">
        <v>93.93</v>
      </c>
      <c r="F1057" s="2">
        <v>69.44</v>
      </c>
    </row>
    <row r="1058" spans="1:6" x14ac:dyDescent="0.2">
      <c r="A1058" s="2" t="s">
        <v>46</v>
      </c>
      <c r="B1058" s="2">
        <v>9</v>
      </c>
      <c r="C1058" s="2">
        <v>10</v>
      </c>
      <c r="D1058" s="2">
        <v>2020</v>
      </c>
      <c r="E1058" s="2">
        <v>72.23</v>
      </c>
      <c r="F1058" s="2">
        <v>69.44</v>
      </c>
    </row>
    <row r="1059" spans="1:6" x14ac:dyDescent="0.2">
      <c r="A1059" s="2" t="s">
        <v>46</v>
      </c>
      <c r="B1059" s="2">
        <v>9</v>
      </c>
      <c r="C1059" s="2">
        <v>3</v>
      </c>
      <c r="D1059" s="2">
        <v>2020</v>
      </c>
      <c r="E1059" s="2">
        <v>64.17</v>
      </c>
      <c r="F1059" s="2">
        <v>69.44</v>
      </c>
    </row>
    <row r="1060" spans="1:6" x14ac:dyDescent="0.2">
      <c r="A1060" s="2" t="s">
        <v>55</v>
      </c>
      <c r="B1060" s="2">
        <v>18</v>
      </c>
      <c r="C1060" s="2">
        <v>8</v>
      </c>
      <c r="D1060" s="2">
        <v>2020</v>
      </c>
      <c r="E1060" s="2">
        <v>31</v>
      </c>
      <c r="F1060" s="2">
        <v>69.44</v>
      </c>
    </row>
    <row r="1061" spans="1:6" x14ac:dyDescent="0.2">
      <c r="A1061" s="2" t="s">
        <v>0</v>
      </c>
      <c r="B1061" s="2">
        <v>25</v>
      </c>
      <c r="C1061" s="2">
        <v>3</v>
      </c>
      <c r="D1061" s="2">
        <v>2020</v>
      </c>
      <c r="E1061" s="1"/>
      <c r="F1061" s="2">
        <v>69.44</v>
      </c>
    </row>
    <row r="1062" spans="1:6" x14ac:dyDescent="0.2">
      <c r="A1062" s="2" t="s">
        <v>95</v>
      </c>
      <c r="B1062" s="2">
        <v>24</v>
      </c>
      <c r="C1062" s="2">
        <v>4</v>
      </c>
      <c r="D1062" s="2">
        <v>2020</v>
      </c>
      <c r="E1062" s="1" t="s">
        <v>94</v>
      </c>
      <c r="F1062" s="2">
        <v>69.3</v>
      </c>
    </row>
    <row r="1063" spans="1:6" x14ac:dyDescent="0.2">
      <c r="A1063" s="2" t="s">
        <v>55</v>
      </c>
      <c r="B1063" s="2">
        <v>18</v>
      </c>
      <c r="C1063" s="2">
        <v>9</v>
      </c>
      <c r="D1063" s="2">
        <v>2020</v>
      </c>
      <c r="E1063" s="2">
        <v>41.1</v>
      </c>
      <c r="F1063" s="2">
        <v>69.3</v>
      </c>
    </row>
    <row r="1064" spans="1:6" x14ac:dyDescent="0.2">
      <c r="A1064" s="2" t="s">
        <v>95</v>
      </c>
      <c r="B1064" s="2">
        <v>24</v>
      </c>
      <c r="C1064" s="2">
        <v>3</v>
      </c>
      <c r="D1064" s="2">
        <v>2020</v>
      </c>
      <c r="E1064" s="1" t="s">
        <v>94</v>
      </c>
      <c r="F1064" s="2">
        <v>69.13</v>
      </c>
    </row>
    <row r="1065" spans="1:6" x14ac:dyDescent="0.2">
      <c r="A1065" s="2" t="s">
        <v>85</v>
      </c>
      <c r="B1065" s="2">
        <v>3</v>
      </c>
      <c r="C1065" s="2">
        <v>5</v>
      </c>
      <c r="D1065" s="2">
        <v>2020</v>
      </c>
      <c r="E1065" s="2">
        <v>65.72</v>
      </c>
      <c r="F1065" s="2">
        <v>69.13</v>
      </c>
    </row>
    <row r="1066" spans="1:6" x14ac:dyDescent="0.2">
      <c r="A1066" s="2" t="s">
        <v>74</v>
      </c>
      <c r="B1066" s="2">
        <v>5</v>
      </c>
      <c r="C1066" s="2">
        <v>5</v>
      </c>
      <c r="D1066" s="2">
        <v>2020</v>
      </c>
      <c r="E1066" s="2">
        <v>48.05</v>
      </c>
      <c r="F1066" s="2">
        <v>69.13</v>
      </c>
    </row>
    <row r="1067" spans="1:6" x14ac:dyDescent="0.2">
      <c r="A1067" s="2" t="s">
        <v>50</v>
      </c>
      <c r="B1067" s="2">
        <v>24</v>
      </c>
      <c r="C1067" s="2">
        <v>8</v>
      </c>
      <c r="D1067" s="2">
        <v>2020</v>
      </c>
      <c r="E1067" s="2">
        <v>36.58</v>
      </c>
      <c r="F1067" s="2">
        <v>69.13</v>
      </c>
    </row>
    <row r="1068" spans="1:6" x14ac:dyDescent="0.2">
      <c r="A1068" s="2" t="s">
        <v>96</v>
      </c>
      <c r="B1068" s="2">
        <v>3</v>
      </c>
      <c r="C1068" s="2">
        <v>4</v>
      </c>
      <c r="D1068" s="2">
        <v>2020</v>
      </c>
      <c r="E1068" s="1" t="s">
        <v>94</v>
      </c>
      <c r="F1068" s="2">
        <v>69</v>
      </c>
    </row>
    <row r="1069" spans="1:6" x14ac:dyDescent="0.2">
      <c r="A1069" s="2" t="s">
        <v>62</v>
      </c>
      <c r="B1069" s="2">
        <v>1</v>
      </c>
      <c r="C1069" s="2">
        <v>4</v>
      </c>
      <c r="D1069" s="2">
        <v>2020</v>
      </c>
      <c r="E1069" s="2">
        <v>87.3</v>
      </c>
      <c r="F1069" s="2">
        <v>69</v>
      </c>
    </row>
    <row r="1070" spans="1:6" x14ac:dyDescent="0.2">
      <c r="A1070" s="2" t="s">
        <v>38</v>
      </c>
      <c r="B1070" s="2">
        <v>21</v>
      </c>
      <c r="C1070" s="2">
        <v>4</v>
      </c>
      <c r="D1070" s="2">
        <v>2020</v>
      </c>
      <c r="E1070" s="2">
        <v>57.3</v>
      </c>
      <c r="F1070" s="2">
        <v>69</v>
      </c>
    </row>
    <row r="1071" spans="1:6" x14ac:dyDescent="0.2">
      <c r="A1071" s="2" t="s">
        <v>38</v>
      </c>
      <c r="B1071" s="2">
        <v>21</v>
      </c>
      <c r="C1071" s="2">
        <v>9</v>
      </c>
      <c r="D1071" s="2">
        <v>2020</v>
      </c>
      <c r="E1071" s="2">
        <v>27.3</v>
      </c>
      <c r="F1071" s="2">
        <v>69</v>
      </c>
    </row>
    <row r="1072" spans="1:6" x14ac:dyDescent="0.2">
      <c r="A1072" s="2" t="s">
        <v>64</v>
      </c>
      <c r="B1072" s="2">
        <v>21</v>
      </c>
      <c r="C1072" s="2">
        <v>2</v>
      </c>
      <c r="D1072" s="2">
        <v>2020</v>
      </c>
      <c r="E1072" s="2">
        <v>87.92</v>
      </c>
      <c r="F1072" s="2">
        <v>68.88</v>
      </c>
    </row>
    <row r="1073" spans="1:6" x14ac:dyDescent="0.2">
      <c r="A1073" s="2" t="s">
        <v>42</v>
      </c>
      <c r="B1073" s="2">
        <v>12</v>
      </c>
      <c r="C1073" s="2">
        <v>1</v>
      </c>
      <c r="D1073" s="2">
        <v>2020</v>
      </c>
      <c r="E1073" s="2">
        <v>93.62</v>
      </c>
      <c r="F1073" s="2">
        <v>68.819999999999993</v>
      </c>
    </row>
    <row r="1074" spans="1:6" x14ac:dyDescent="0.2">
      <c r="A1074" s="2" t="s">
        <v>47</v>
      </c>
      <c r="B1074" s="2">
        <v>19</v>
      </c>
      <c r="C1074" s="2">
        <v>10</v>
      </c>
      <c r="D1074" s="2">
        <v>2020</v>
      </c>
      <c r="E1074" s="2">
        <v>58.28</v>
      </c>
      <c r="F1074" s="2">
        <v>68.819999999999993</v>
      </c>
    </row>
    <row r="1075" spans="1:6" x14ac:dyDescent="0.2">
      <c r="A1075" s="2" t="s">
        <v>51</v>
      </c>
      <c r="B1075" s="2">
        <v>16</v>
      </c>
      <c r="C1075" s="2">
        <v>4</v>
      </c>
      <c r="D1075" s="2">
        <v>2020</v>
      </c>
      <c r="E1075" s="2">
        <v>70.8</v>
      </c>
      <c r="F1075" s="2">
        <v>68.7</v>
      </c>
    </row>
    <row r="1076" spans="1:6" x14ac:dyDescent="0.2">
      <c r="A1076" s="2" t="s">
        <v>67</v>
      </c>
      <c r="B1076" s="2">
        <v>13</v>
      </c>
      <c r="C1076" s="2">
        <v>9</v>
      </c>
      <c r="D1076" s="2">
        <v>2020</v>
      </c>
      <c r="E1076" s="2">
        <v>43.5</v>
      </c>
      <c r="F1076" s="2">
        <v>68.7</v>
      </c>
    </row>
    <row r="1077" spans="1:6" x14ac:dyDescent="0.2">
      <c r="A1077" s="2" t="s">
        <v>75</v>
      </c>
      <c r="B1077" s="2">
        <v>2</v>
      </c>
      <c r="C1077" s="2">
        <v>1</v>
      </c>
      <c r="D1077" s="2">
        <v>2020</v>
      </c>
      <c r="E1077" s="2">
        <v>114.08</v>
      </c>
      <c r="F1077" s="2">
        <v>68.510000000000005</v>
      </c>
    </row>
    <row r="1078" spans="1:6" x14ac:dyDescent="0.2">
      <c r="A1078" s="2" t="s">
        <v>63</v>
      </c>
      <c r="B1078" s="2">
        <v>25</v>
      </c>
      <c r="C1078" s="2">
        <v>6</v>
      </c>
      <c r="D1078" s="2">
        <v>2020</v>
      </c>
      <c r="E1078" s="2">
        <v>36.299999999999997</v>
      </c>
      <c r="F1078" s="2">
        <v>68.400000000000006</v>
      </c>
    </row>
    <row r="1079" spans="1:6" x14ac:dyDescent="0.2">
      <c r="A1079" s="2" t="s">
        <v>48</v>
      </c>
      <c r="B1079" s="2">
        <v>24</v>
      </c>
      <c r="C1079" s="2">
        <v>9</v>
      </c>
      <c r="D1079" s="2">
        <v>2020</v>
      </c>
      <c r="E1079" s="2">
        <v>30</v>
      </c>
      <c r="F1079" s="2">
        <v>68.400000000000006</v>
      </c>
    </row>
    <row r="1080" spans="1:6" x14ac:dyDescent="0.2">
      <c r="A1080" s="2" t="s">
        <v>95</v>
      </c>
      <c r="B1080" s="2">
        <v>24</v>
      </c>
      <c r="C1080" s="2">
        <v>5</v>
      </c>
      <c r="D1080" s="2">
        <v>2020</v>
      </c>
      <c r="E1080" s="1" t="s">
        <v>94</v>
      </c>
      <c r="F1080" s="2">
        <v>68.2</v>
      </c>
    </row>
    <row r="1081" spans="1:6" x14ac:dyDescent="0.2">
      <c r="A1081" s="2" t="s">
        <v>42</v>
      </c>
      <c r="B1081" s="2">
        <v>12</v>
      </c>
      <c r="C1081" s="2">
        <v>3</v>
      </c>
      <c r="D1081" s="2">
        <v>2020</v>
      </c>
      <c r="E1081" s="2">
        <v>67.27</v>
      </c>
      <c r="F1081" s="2">
        <v>68.2</v>
      </c>
    </row>
    <row r="1082" spans="1:6" x14ac:dyDescent="0.2">
      <c r="A1082" s="2" t="s">
        <v>39</v>
      </c>
      <c r="B1082" s="2">
        <v>22</v>
      </c>
      <c r="C1082" s="2">
        <v>11</v>
      </c>
      <c r="D1082" s="2">
        <v>2020</v>
      </c>
      <c r="E1082" s="2">
        <v>104.1</v>
      </c>
      <c r="F1082" s="2">
        <v>68.099999999999994</v>
      </c>
    </row>
    <row r="1083" spans="1:6" x14ac:dyDescent="0.2">
      <c r="A1083" s="2" t="s">
        <v>89</v>
      </c>
      <c r="B1083" s="2">
        <v>2</v>
      </c>
      <c r="C1083" s="2">
        <v>6</v>
      </c>
      <c r="D1083" s="2">
        <v>2020</v>
      </c>
      <c r="E1083" s="2">
        <v>60.6</v>
      </c>
      <c r="F1083" s="2">
        <v>68.099999999999994</v>
      </c>
    </row>
    <row r="1084" spans="1:6" x14ac:dyDescent="0.2">
      <c r="A1084" s="2" t="s">
        <v>82</v>
      </c>
      <c r="B1084" s="2">
        <v>8</v>
      </c>
      <c r="C1084" s="2">
        <v>2</v>
      </c>
      <c r="D1084" s="2">
        <v>2020</v>
      </c>
      <c r="E1084" s="2">
        <v>114.8</v>
      </c>
      <c r="F1084" s="2">
        <v>68.040000000000006</v>
      </c>
    </row>
    <row r="1085" spans="1:6" x14ac:dyDescent="0.2">
      <c r="A1085" s="2" t="s">
        <v>76</v>
      </c>
      <c r="B1085" s="2">
        <v>9</v>
      </c>
      <c r="C1085" s="2">
        <v>3</v>
      </c>
      <c r="D1085" s="2">
        <v>2020</v>
      </c>
      <c r="E1085" s="2">
        <v>76.88</v>
      </c>
      <c r="F1085" s="2">
        <v>67.89</v>
      </c>
    </row>
    <row r="1086" spans="1:6" x14ac:dyDescent="0.2">
      <c r="A1086" s="2" t="s">
        <v>35</v>
      </c>
      <c r="B1086" s="2">
        <v>9</v>
      </c>
      <c r="C1086" s="2">
        <v>4</v>
      </c>
      <c r="D1086" s="2">
        <v>2020</v>
      </c>
      <c r="E1086" s="2">
        <v>53.7</v>
      </c>
      <c r="F1086" s="2">
        <v>67.8</v>
      </c>
    </row>
    <row r="1087" spans="1:6" x14ac:dyDescent="0.2">
      <c r="A1087" s="2" t="s">
        <v>82</v>
      </c>
      <c r="B1087" s="2">
        <v>8</v>
      </c>
      <c r="C1087" s="2">
        <v>6</v>
      </c>
      <c r="D1087" s="2">
        <v>2020</v>
      </c>
      <c r="E1087" s="2">
        <v>48</v>
      </c>
      <c r="F1087" s="2">
        <v>67.8</v>
      </c>
    </row>
    <row r="1088" spans="1:6" x14ac:dyDescent="0.2">
      <c r="A1088" s="2" t="s">
        <v>50</v>
      </c>
      <c r="B1088" s="2">
        <v>24</v>
      </c>
      <c r="C1088" s="2">
        <v>6</v>
      </c>
      <c r="D1088" s="2">
        <v>2020</v>
      </c>
      <c r="E1088" s="2">
        <v>27</v>
      </c>
      <c r="F1088" s="2">
        <v>67.8</v>
      </c>
    </row>
    <row r="1089" spans="1:6" x14ac:dyDescent="0.2">
      <c r="A1089" s="2" t="s">
        <v>35</v>
      </c>
      <c r="B1089" s="2">
        <v>9</v>
      </c>
      <c r="C1089" s="2">
        <v>6</v>
      </c>
      <c r="D1089" s="2">
        <v>2020</v>
      </c>
      <c r="E1089" s="2">
        <v>20.399999999999999</v>
      </c>
      <c r="F1089" s="2">
        <v>67.8</v>
      </c>
    </row>
    <row r="1090" spans="1:6" x14ac:dyDescent="0.2">
      <c r="A1090" s="2" t="s">
        <v>74</v>
      </c>
      <c r="B1090" s="2">
        <v>5</v>
      </c>
      <c r="C1090" s="2">
        <v>3</v>
      </c>
      <c r="D1090" s="2">
        <v>2020</v>
      </c>
      <c r="E1090" s="2">
        <v>77.81</v>
      </c>
      <c r="F1090" s="2">
        <v>67.58</v>
      </c>
    </row>
    <row r="1091" spans="1:6" x14ac:dyDescent="0.2">
      <c r="A1091" s="2" t="s">
        <v>62</v>
      </c>
      <c r="B1091" s="2">
        <v>1</v>
      </c>
      <c r="C1091" s="2">
        <v>2</v>
      </c>
      <c r="D1091" s="2">
        <v>2020</v>
      </c>
      <c r="E1091" s="2">
        <v>107.52</v>
      </c>
      <c r="F1091" s="2">
        <v>67.48</v>
      </c>
    </row>
    <row r="1092" spans="1:6" x14ac:dyDescent="0.2">
      <c r="A1092" s="2" t="s">
        <v>78</v>
      </c>
      <c r="B1092" s="2">
        <v>18</v>
      </c>
      <c r="C1092" s="2">
        <v>2</v>
      </c>
      <c r="D1092" s="2">
        <v>2020</v>
      </c>
      <c r="E1092" s="2">
        <v>133.84</v>
      </c>
      <c r="F1092" s="2">
        <v>67.2</v>
      </c>
    </row>
    <row r="1093" spans="1:6" x14ac:dyDescent="0.2">
      <c r="A1093" s="2" t="s">
        <v>78</v>
      </c>
      <c r="B1093" s="2">
        <v>18</v>
      </c>
      <c r="C1093" s="2">
        <v>11</v>
      </c>
      <c r="D1093" s="2">
        <v>2020</v>
      </c>
      <c r="E1093" s="2">
        <v>122.4</v>
      </c>
      <c r="F1093" s="2">
        <v>67.2</v>
      </c>
    </row>
    <row r="1094" spans="1:6" x14ac:dyDescent="0.2">
      <c r="A1094" s="2" t="s">
        <v>58</v>
      </c>
      <c r="B1094" s="2">
        <v>16</v>
      </c>
      <c r="C1094" s="2">
        <v>11</v>
      </c>
      <c r="D1094" s="2">
        <v>2020</v>
      </c>
      <c r="E1094" s="2">
        <v>95.1</v>
      </c>
      <c r="F1094" s="2">
        <v>67.2</v>
      </c>
    </row>
    <row r="1095" spans="1:6" x14ac:dyDescent="0.2">
      <c r="A1095" s="2" t="s">
        <v>34</v>
      </c>
      <c r="B1095" s="2">
        <v>4</v>
      </c>
      <c r="C1095" s="2">
        <v>6</v>
      </c>
      <c r="D1095" s="2">
        <v>2020</v>
      </c>
      <c r="E1095" s="2">
        <v>16.5</v>
      </c>
      <c r="F1095" s="2">
        <v>67.2</v>
      </c>
    </row>
    <row r="1096" spans="1:6" x14ac:dyDescent="0.2">
      <c r="A1096" s="2" t="s">
        <v>89</v>
      </c>
      <c r="B1096" s="2">
        <v>2</v>
      </c>
      <c r="C1096" s="2">
        <v>1</v>
      </c>
      <c r="D1096" s="2">
        <v>2020</v>
      </c>
      <c r="E1096" s="2">
        <v>153.13999999999999</v>
      </c>
      <c r="F1096" s="2">
        <v>66.959999999999994</v>
      </c>
    </row>
    <row r="1097" spans="1:6" x14ac:dyDescent="0.2">
      <c r="A1097" s="2" t="s">
        <v>47</v>
      </c>
      <c r="B1097" s="2">
        <v>19</v>
      </c>
      <c r="C1097" s="2">
        <v>1</v>
      </c>
      <c r="D1097" s="2">
        <v>2020</v>
      </c>
      <c r="E1097" s="2">
        <v>105.09</v>
      </c>
      <c r="F1097" s="2">
        <v>66.959999999999994</v>
      </c>
    </row>
    <row r="1098" spans="1:6" x14ac:dyDescent="0.2">
      <c r="A1098" s="2" t="s">
        <v>37</v>
      </c>
      <c r="B1098" s="2">
        <v>12</v>
      </c>
      <c r="C1098" s="2">
        <v>12</v>
      </c>
      <c r="D1098" s="2">
        <v>2020</v>
      </c>
      <c r="E1098" s="2">
        <v>99.51</v>
      </c>
      <c r="F1098" s="2">
        <v>66.959999999999994</v>
      </c>
    </row>
    <row r="1099" spans="1:6" x14ac:dyDescent="0.2">
      <c r="A1099" s="2" t="s">
        <v>89</v>
      </c>
      <c r="B1099" s="2">
        <v>2</v>
      </c>
      <c r="C1099" s="2">
        <v>10</v>
      </c>
      <c r="D1099" s="2">
        <v>2020</v>
      </c>
      <c r="E1099" s="2">
        <v>91.14</v>
      </c>
      <c r="F1099" s="2">
        <v>66.650000000000006</v>
      </c>
    </row>
    <row r="1100" spans="1:6" x14ac:dyDescent="0.2">
      <c r="A1100" s="2" t="s">
        <v>64</v>
      </c>
      <c r="B1100" s="2">
        <v>21</v>
      </c>
      <c r="C1100" s="2">
        <v>5</v>
      </c>
      <c r="D1100" s="2">
        <v>2020</v>
      </c>
      <c r="E1100" s="2">
        <v>51.46</v>
      </c>
      <c r="F1100" s="2">
        <v>66.650000000000006</v>
      </c>
    </row>
    <row r="1101" spans="1:6" x14ac:dyDescent="0.2">
      <c r="A1101" s="2" t="s">
        <v>64</v>
      </c>
      <c r="B1101" s="2">
        <v>21</v>
      </c>
      <c r="C1101" s="2">
        <v>9</v>
      </c>
      <c r="D1101" s="2">
        <v>2020</v>
      </c>
      <c r="E1101" s="2">
        <v>45</v>
      </c>
      <c r="F1101" s="2">
        <v>66.599999999999994</v>
      </c>
    </row>
    <row r="1102" spans="1:6" x14ac:dyDescent="0.2">
      <c r="A1102" s="2" t="s">
        <v>50</v>
      </c>
      <c r="B1102" s="2">
        <v>24</v>
      </c>
      <c r="C1102" s="2">
        <v>2</v>
      </c>
      <c r="D1102" s="2">
        <v>2020</v>
      </c>
      <c r="E1102" s="2">
        <v>115.64</v>
      </c>
      <c r="F1102" s="2">
        <v>66.36</v>
      </c>
    </row>
    <row r="1103" spans="1:6" x14ac:dyDescent="0.2">
      <c r="A1103" s="2" t="s">
        <v>42</v>
      </c>
      <c r="B1103" s="2">
        <v>12</v>
      </c>
      <c r="C1103" s="2">
        <v>8</v>
      </c>
      <c r="D1103" s="2">
        <v>2020</v>
      </c>
      <c r="E1103" s="2">
        <v>29.76</v>
      </c>
      <c r="F1103" s="2">
        <v>66.34</v>
      </c>
    </row>
    <row r="1104" spans="1:6" x14ac:dyDescent="0.2">
      <c r="A1104" s="2" t="s">
        <v>34</v>
      </c>
      <c r="B1104" s="2">
        <v>4</v>
      </c>
      <c r="C1104" s="2">
        <v>8</v>
      </c>
      <c r="D1104" s="2">
        <v>2020</v>
      </c>
      <c r="E1104" s="2">
        <v>24.49</v>
      </c>
      <c r="F1104" s="2">
        <v>66.34</v>
      </c>
    </row>
    <row r="1105" spans="1:6" x14ac:dyDescent="0.2">
      <c r="A1105" s="2" t="s">
        <v>58</v>
      </c>
      <c r="B1105" s="2">
        <v>16</v>
      </c>
      <c r="C1105" s="2">
        <v>9</v>
      </c>
      <c r="D1105" s="2">
        <v>2020</v>
      </c>
      <c r="E1105" s="2">
        <v>42.6</v>
      </c>
      <c r="F1105" s="2">
        <v>66.3</v>
      </c>
    </row>
    <row r="1106" spans="1:6" x14ac:dyDescent="0.2">
      <c r="A1106" s="2" t="s">
        <v>43</v>
      </c>
      <c r="B1106" s="2">
        <v>15</v>
      </c>
      <c r="C1106" s="2">
        <v>2</v>
      </c>
      <c r="D1106" s="2">
        <v>2020</v>
      </c>
      <c r="E1106" s="2">
        <v>96.88</v>
      </c>
      <c r="F1106" s="2">
        <v>66.08</v>
      </c>
    </row>
    <row r="1107" spans="1:6" x14ac:dyDescent="0.2">
      <c r="A1107" s="2" t="s">
        <v>36</v>
      </c>
      <c r="B1107" s="2">
        <v>12</v>
      </c>
      <c r="C1107" s="2">
        <v>10</v>
      </c>
      <c r="D1107" s="2">
        <v>2020</v>
      </c>
      <c r="E1107" s="2">
        <v>67.58</v>
      </c>
      <c r="F1107" s="2">
        <v>66.03</v>
      </c>
    </row>
    <row r="1108" spans="1:6" x14ac:dyDescent="0.2">
      <c r="A1108" s="2" t="s">
        <v>48</v>
      </c>
      <c r="B1108" s="2">
        <v>24</v>
      </c>
      <c r="C1108" s="2">
        <v>3</v>
      </c>
      <c r="D1108" s="2">
        <v>2020</v>
      </c>
      <c r="E1108" s="2">
        <v>65.72</v>
      </c>
      <c r="F1108" s="2">
        <v>66.03</v>
      </c>
    </row>
    <row r="1109" spans="1:6" x14ac:dyDescent="0.2">
      <c r="A1109" s="2" t="s">
        <v>46</v>
      </c>
      <c r="B1109" s="2">
        <v>9</v>
      </c>
      <c r="C1109" s="2">
        <v>4</v>
      </c>
      <c r="D1109" s="2">
        <v>2020</v>
      </c>
      <c r="E1109" s="2">
        <v>60</v>
      </c>
      <c r="F1109" s="2">
        <v>66</v>
      </c>
    </row>
    <row r="1110" spans="1:6" x14ac:dyDescent="0.2">
      <c r="A1110" s="2" t="s">
        <v>47</v>
      </c>
      <c r="B1110" s="2">
        <v>19</v>
      </c>
      <c r="C1110" s="2">
        <v>6</v>
      </c>
      <c r="D1110" s="2">
        <v>2020</v>
      </c>
      <c r="E1110" s="2">
        <v>33</v>
      </c>
      <c r="F1110" s="2">
        <v>66</v>
      </c>
    </row>
    <row r="1111" spans="1:6" x14ac:dyDescent="0.2">
      <c r="A1111" s="2" t="s">
        <v>95</v>
      </c>
      <c r="B1111" s="2">
        <v>24</v>
      </c>
      <c r="C1111" s="2">
        <v>7</v>
      </c>
      <c r="D1111" s="2">
        <v>2020</v>
      </c>
      <c r="E1111" s="1" t="s">
        <v>94</v>
      </c>
      <c r="F1111" s="2">
        <v>65.72</v>
      </c>
    </row>
    <row r="1112" spans="1:6" x14ac:dyDescent="0.2">
      <c r="A1112" s="2" t="s">
        <v>51</v>
      </c>
      <c r="B1112" s="2">
        <v>16</v>
      </c>
      <c r="C1112" s="2">
        <v>3</v>
      </c>
      <c r="D1112" s="2">
        <v>2020</v>
      </c>
      <c r="E1112" s="2">
        <v>68.819999999999993</v>
      </c>
      <c r="F1112" s="2">
        <v>65.72</v>
      </c>
    </row>
    <row r="1113" spans="1:6" x14ac:dyDescent="0.2">
      <c r="A1113" s="2" t="s">
        <v>42</v>
      </c>
      <c r="B1113" s="2">
        <v>12</v>
      </c>
      <c r="C1113" s="2">
        <v>7</v>
      </c>
      <c r="D1113" s="2">
        <v>2020</v>
      </c>
      <c r="E1113" s="2">
        <v>25.73</v>
      </c>
      <c r="F1113" s="2">
        <v>65.72</v>
      </c>
    </row>
    <row r="1114" spans="1:6" x14ac:dyDescent="0.2">
      <c r="A1114" s="2" t="s">
        <v>46</v>
      </c>
      <c r="B1114" s="2">
        <v>9</v>
      </c>
      <c r="C1114" s="2">
        <v>11</v>
      </c>
      <c r="D1114" s="2">
        <v>2020</v>
      </c>
      <c r="E1114" s="2">
        <v>107.7</v>
      </c>
      <c r="F1114" s="2">
        <v>65.7</v>
      </c>
    </row>
    <row r="1115" spans="1:6" x14ac:dyDescent="0.2">
      <c r="A1115" s="2" t="s">
        <v>37</v>
      </c>
      <c r="B1115" s="2">
        <v>12</v>
      </c>
      <c r="C1115" s="2">
        <v>4</v>
      </c>
      <c r="D1115" s="2">
        <v>2020</v>
      </c>
      <c r="E1115" s="2">
        <v>64.2</v>
      </c>
      <c r="F1115" s="2">
        <v>65.7</v>
      </c>
    </row>
    <row r="1116" spans="1:6" x14ac:dyDescent="0.2">
      <c r="A1116" s="2" t="s">
        <v>75</v>
      </c>
      <c r="B1116" s="2">
        <v>2</v>
      </c>
      <c r="C1116" s="2">
        <v>6</v>
      </c>
      <c r="D1116" s="2">
        <v>2020</v>
      </c>
      <c r="E1116" s="2">
        <v>39</v>
      </c>
      <c r="F1116" s="2">
        <v>65.7</v>
      </c>
    </row>
    <row r="1117" spans="1:6" x14ac:dyDescent="0.2">
      <c r="A1117" s="2" t="s">
        <v>45</v>
      </c>
      <c r="B1117" s="2">
        <v>18</v>
      </c>
      <c r="C1117" s="2">
        <v>9</v>
      </c>
      <c r="D1117" s="2">
        <v>2020</v>
      </c>
      <c r="E1117" s="2">
        <v>37.799999999999997</v>
      </c>
      <c r="F1117" s="2">
        <v>65.7</v>
      </c>
    </row>
    <row r="1118" spans="1:6" x14ac:dyDescent="0.2">
      <c r="A1118" s="2" t="s">
        <v>62</v>
      </c>
      <c r="B1118" s="2">
        <v>1</v>
      </c>
      <c r="C1118" s="2">
        <v>1</v>
      </c>
      <c r="D1118" s="2">
        <v>2020</v>
      </c>
      <c r="E1118" s="2">
        <v>142.6</v>
      </c>
      <c r="F1118" s="2">
        <v>65.41</v>
      </c>
    </row>
    <row r="1119" spans="1:6" x14ac:dyDescent="0.2">
      <c r="A1119" s="2" t="s">
        <v>58</v>
      </c>
      <c r="B1119" s="2">
        <v>16</v>
      </c>
      <c r="C1119" s="2">
        <v>1</v>
      </c>
      <c r="D1119" s="2">
        <v>2020</v>
      </c>
      <c r="E1119" s="2">
        <v>110.36</v>
      </c>
      <c r="F1119" s="2">
        <v>65.41</v>
      </c>
    </row>
    <row r="1120" spans="1:6" x14ac:dyDescent="0.2">
      <c r="A1120" s="2" t="s">
        <v>37</v>
      </c>
      <c r="B1120" s="2">
        <v>12</v>
      </c>
      <c r="C1120" s="2">
        <v>11</v>
      </c>
      <c r="D1120" s="2">
        <v>2020</v>
      </c>
      <c r="E1120" s="2">
        <v>106.2</v>
      </c>
      <c r="F1120" s="2">
        <v>65.400000000000006</v>
      </c>
    </row>
    <row r="1121" spans="1:6" x14ac:dyDescent="0.2">
      <c r="A1121" s="2" t="s">
        <v>76</v>
      </c>
      <c r="B1121" s="2">
        <v>9</v>
      </c>
      <c r="C1121" s="2">
        <v>1</v>
      </c>
      <c r="D1121" s="2">
        <v>2020</v>
      </c>
      <c r="E1121" s="2">
        <v>134.54</v>
      </c>
      <c r="F1121" s="2">
        <v>65.099999999999994</v>
      </c>
    </row>
    <row r="1122" spans="1:6" x14ac:dyDescent="0.2">
      <c r="A1122" s="2" t="s">
        <v>35</v>
      </c>
      <c r="B1122" s="2">
        <v>9</v>
      </c>
      <c r="C1122" s="2">
        <v>11</v>
      </c>
      <c r="D1122" s="2">
        <v>2020</v>
      </c>
      <c r="E1122" s="2">
        <v>90.9</v>
      </c>
      <c r="F1122" s="2">
        <v>65.099999999999994</v>
      </c>
    </row>
    <row r="1123" spans="1:6" x14ac:dyDescent="0.2">
      <c r="A1123" s="2" t="s">
        <v>33</v>
      </c>
      <c r="B1123" s="2">
        <v>21</v>
      </c>
      <c r="C1123" s="2">
        <v>12</v>
      </c>
      <c r="D1123" s="2">
        <v>2020</v>
      </c>
      <c r="E1123" s="2">
        <v>84.01</v>
      </c>
      <c r="F1123" s="2">
        <v>65.099999999999994</v>
      </c>
    </row>
    <row r="1124" spans="1:6" x14ac:dyDescent="0.2">
      <c r="A1124" s="2" t="s">
        <v>64</v>
      </c>
      <c r="B1124" s="2">
        <v>21</v>
      </c>
      <c r="C1124" s="2">
        <v>8</v>
      </c>
      <c r="D1124" s="2">
        <v>2020</v>
      </c>
      <c r="E1124" s="2">
        <v>44.64</v>
      </c>
      <c r="F1124" s="2">
        <v>65.099999999999994</v>
      </c>
    </row>
    <row r="1125" spans="1:6" x14ac:dyDescent="0.2">
      <c r="A1125" s="2" t="s">
        <v>50</v>
      </c>
      <c r="B1125" s="2">
        <v>24</v>
      </c>
      <c r="C1125" s="2">
        <v>9</v>
      </c>
      <c r="D1125" s="2">
        <v>2020</v>
      </c>
      <c r="E1125" s="2">
        <v>44.1</v>
      </c>
      <c r="F1125" s="2">
        <v>65.099999999999994</v>
      </c>
    </row>
    <row r="1126" spans="1:6" x14ac:dyDescent="0.2">
      <c r="A1126" s="2" t="s">
        <v>89</v>
      </c>
      <c r="B1126" s="2">
        <v>2</v>
      </c>
      <c r="C1126" s="2">
        <v>2</v>
      </c>
      <c r="D1126" s="2">
        <v>2020</v>
      </c>
      <c r="E1126" s="2">
        <v>127.96</v>
      </c>
      <c r="F1126" s="2">
        <v>64.959999999999994</v>
      </c>
    </row>
    <row r="1127" spans="1:6" x14ac:dyDescent="0.2">
      <c r="A1127" s="2" t="s">
        <v>80</v>
      </c>
      <c r="B1127" s="2">
        <v>12</v>
      </c>
      <c r="C1127" s="2">
        <v>2</v>
      </c>
      <c r="D1127" s="2">
        <v>2020</v>
      </c>
      <c r="E1127" s="2">
        <v>108.36</v>
      </c>
      <c r="F1127" s="2">
        <v>64.959999999999994</v>
      </c>
    </row>
    <row r="1128" spans="1:6" x14ac:dyDescent="0.2">
      <c r="A1128" s="2" t="s">
        <v>47</v>
      </c>
      <c r="B1128" s="2">
        <v>19</v>
      </c>
      <c r="C1128" s="2">
        <v>11</v>
      </c>
      <c r="D1128" s="2">
        <v>2020</v>
      </c>
      <c r="E1128" s="2">
        <v>90</v>
      </c>
      <c r="F1128" s="2">
        <v>64.8</v>
      </c>
    </row>
    <row r="1129" spans="1:6" x14ac:dyDescent="0.2">
      <c r="A1129" s="2" t="s">
        <v>62</v>
      </c>
      <c r="B1129" s="2">
        <v>1</v>
      </c>
      <c r="C1129" s="2">
        <v>12</v>
      </c>
      <c r="D1129" s="2">
        <v>2020</v>
      </c>
      <c r="E1129" s="2">
        <v>129.27000000000001</v>
      </c>
      <c r="F1129" s="2">
        <v>64.790000000000006</v>
      </c>
    </row>
    <row r="1130" spans="1:6" x14ac:dyDescent="0.2">
      <c r="A1130" s="2" t="s">
        <v>91</v>
      </c>
      <c r="B1130" s="2">
        <v>5</v>
      </c>
      <c r="C1130" s="2">
        <v>10</v>
      </c>
      <c r="D1130" s="2">
        <v>2020</v>
      </c>
      <c r="E1130" s="2">
        <v>94.86</v>
      </c>
      <c r="F1130" s="2">
        <v>64.790000000000006</v>
      </c>
    </row>
    <row r="1131" spans="1:6" x14ac:dyDescent="0.2">
      <c r="A1131" s="2" t="s">
        <v>46</v>
      </c>
      <c r="B1131" s="2">
        <v>9</v>
      </c>
      <c r="C1131" s="2">
        <v>7</v>
      </c>
      <c r="D1131" s="2">
        <v>2020</v>
      </c>
      <c r="E1131" s="2">
        <v>31</v>
      </c>
      <c r="F1131" s="2">
        <v>64.790000000000006</v>
      </c>
    </row>
    <row r="1132" spans="1:6" x14ac:dyDescent="0.2">
      <c r="A1132" s="2" t="s">
        <v>51</v>
      </c>
      <c r="B1132" s="2">
        <v>16</v>
      </c>
      <c r="C1132" s="2">
        <v>9</v>
      </c>
      <c r="D1132" s="2">
        <v>2020</v>
      </c>
      <c r="E1132" s="2">
        <v>41.7</v>
      </c>
      <c r="F1132" s="2">
        <v>64.5</v>
      </c>
    </row>
    <row r="1133" spans="1:6" x14ac:dyDescent="0.2">
      <c r="A1133" s="2" t="s">
        <v>33</v>
      </c>
      <c r="B1133" s="2">
        <v>21</v>
      </c>
      <c r="C1133" s="2">
        <v>9</v>
      </c>
      <c r="D1133" s="2">
        <v>2020</v>
      </c>
      <c r="E1133" s="2">
        <v>16.2</v>
      </c>
      <c r="F1133" s="2">
        <v>64.5</v>
      </c>
    </row>
    <row r="1134" spans="1:6" x14ac:dyDescent="0.2">
      <c r="A1134" s="2" t="s">
        <v>35</v>
      </c>
      <c r="B1134" s="2">
        <v>9</v>
      </c>
      <c r="C1134" s="2">
        <v>7</v>
      </c>
      <c r="D1134" s="2">
        <v>2020</v>
      </c>
      <c r="E1134" s="2">
        <v>19.22</v>
      </c>
      <c r="F1134" s="2">
        <v>64.48</v>
      </c>
    </row>
    <row r="1135" spans="1:6" x14ac:dyDescent="0.2">
      <c r="A1135" s="2" t="s">
        <v>89</v>
      </c>
      <c r="B1135" s="2">
        <v>2</v>
      </c>
      <c r="C1135" s="2">
        <v>11</v>
      </c>
      <c r="D1135" s="2">
        <v>2020</v>
      </c>
      <c r="E1135" s="2">
        <v>139.80000000000001</v>
      </c>
      <c r="F1135" s="2">
        <v>64.2</v>
      </c>
    </row>
    <row r="1136" spans="1:6" x14ac:dyDescent="0.2">
      <c r="A1136" s="2" t="s">
        <v>34</v>
      </c>
      <c r="B1136" s="2">
        <v>4</v>
      </c>
      <c r="C1136" s="2">
        <v>4</v>
      </c>
      <c r="D1136" s="2">
        <v>2020</v>
      </c>
      <c r="E1136" s="2">
        <v>54.6</v>
      </c>
      <c r="F1136" s="2">
        <v>64.2</v>
      </c>
    </row>
    <row r="1137" spans="1:6" x14ac:dyDescent="0.2">
      <c r="A1137" s="2" t="s">
        <v>51</v>
      </c>
      <c r="B1137" s="2">
        <v>16</v>
      </c>
      <c r="C1137" s="2">
        <v>7</v>
      </c>
      <c r="D1137" s="2">
        <v>2020</v>
      </c>
      <c r="E1137" s="2">
        <v>31.31</v>
      </c>
      <c r="F1137" s="2">
        <v>64.17</v>
      </c>
    </row>
    <row r="1138" spans="1:6" x14ac:dyDescent="0.2">
      <c r="A1138" s="2" t="s">
        <v>59</v>
      </c>
      <c r="B1138" s="2">
        <v>11</v>
      </c>
      <c r="C1138" s="2">
        <v>2</v>
      </c>
      <c r="D1138" s="2">
        <v>2020</v>
      </c>
      <c r="E1138" s="2">
        <v>89.04</v>
      </c>
      <c r="F1138" s="2">
        <v>64.12</v>
      </c>
    </row>
    <row r="1139" spans="1:6" x14ac:dyDescent="0.2">
      <c r="A1139" s="2" t="s">
        <v>89</v>
      </c>
      <c r="B1139" s="2">
        <v>2</v>
      </c>
      <c r="C1139" s="2">
        <v>9</v>
      </c>
      <c r="D1139" s="2">
        <v>2020</v>
      </c>
      <c r="E1139" s="2">
        <v>63.6</v>
      </c>
      <c r="F1139" s="2">
        <v>63.9</v>
      </c>
    </row>
    <row r="1140" spans="1:6" x14ac:dyDescent="0.2">
      <c r="A1140" s="2" t="s">
        <v>47</v>
      </c>
      <c r="B1140" s="2">
        <v>19</v>
      </c>
      <c r="C1140" s="2">
        <v>8</v>
      </c>
      <c r="D1140" s="2">
        <v>2020</v>
      </c>
      <c r="E1140" s="2">
        <v>24.8</v>
      </c>
      <c r="F1140" s="2">
        <v>63.86</v>
      </c>
    </row>
    <row r="1141" spans="1:6" x14ac:dyDescent="0.2">
      <c r="A1141" s="2" t="s">
        <v>76</v>
      </c>
      <c r="B1141" s="2">
        <v>9</v>
      </c>
      <c r="C1141" s="2">
        <v>9</v>
      </c>
      <c r="D1141" s="2">
        <v>2020</v>
      </c>
      <c r="E1141" s="2">
        <v>45.3</v>
      </c>
      <c r="F1141" s="2">
        <v>63.6</v>
      </c>
    </row>
    <row r="1142" spans="1:6" x14ac:dyDescent="0.2">
      <c r="A1142" s="2" t="s">
        <v>63</v>
      </c>
      <c r="B1142" s="2">
        <v>25</v>
      </c>
      <c r="C1142" s="2">
        <v>2</v>
      </c>
      <c r="D1142" s="2">
        <v>2020</v>
      </c>
      <c r="E1142" s="2">
        <v>93.24</v>
      </c>
      <c r="F1142" s="2">
        <v>63.56</v>
      </c>
    </row>
    <row r="1143" spans="1:6" x14ac:dyDescent="0.2">
      <c r="A1143" s="2" t="s">
        <v>39</v>
      </c>
      <c r="B1143" s="2">
        <v>22</v>
      </c>
      <c r="C1143" s="2">
        <v>12</v>
      </c>
      <c r="D1143" s="2">
        <v>2020</v>
      </c>
      <c r="E1143" s="2">
        <v>107.57</v>
      </c>
      <c r="F1143" s="2">
        <v>63.55</v>
      </c>
    </row>
    <row r="1144" spans="1:6" x14ac:dyDescent="0.2">
      <c r="A1144" s="2" t="s">
        <v>42</v>
      </c>
      <c r="B1144" s="2">
        <v>12</v>
      </c>
      <c r="C1144" s="2">
        <v>11</v>
      </c>
      <c r="D1144" s="2">
        <v>2020</v>
      </c>
      <c r="E1144" s="2">
        <v>93.9</v>
      </c>
      <c r="F1144" s="2">
        <v>63.3</v>
      </c>
    </row>
    <row r="1145" spans="1:6" x14ac:dyDescent="0.2">
      <c r="A1145" s="2" t="s">
        <v>75</v>
      </c>
      <c r="B1145" s="2">
        <v>2</v>
      </c>
      <c r="C1145" s="2">
        <v>9</v>
      </c>
      <c r="D1145" s="2">
        <v>2020</v>
      </c>
      <c r="E1145" s="2">
        <v>48.6</v>
      </c>
      <c r="F1145" s="2">
        <v>63.3</v>
      </c>
    </row>
    <row r="1146" spans="1:6" x14ac:dyDescent="0.2">
      <c r="A1146" s="2" t="s">
        <v>85</v>
      </c>
      <c r="B1146" s="2">
        <v>3</v>
      </c>
      <c r="C1146" s="2">
        <v>2</v>
      </c>
      <c r="D1146" s="2">
        <v>2020</v>
      </c>
      <c r="E1146" s="2">
        <v>105.28</v>
      </c>
      <c r="F1146" s="2">
        <v>63.28</v>
      </c>
    </row>
    <row r="1147" spans="1:6" x14ac:dyDescent="0.2">
      <c r="A1147" s="2" t="s">
        <v>74</v>
      </c>
      <c r="B1147" s="2">
        <v>5</v>
      </c>
      <c r="C1147" s="2">
        <v>2</v>
      </c>
      <c r="D1147" s="2">
        <v>2020</v>
      </c>
      <c r="E1147" s="2">
        <v>98</v>
      </c>
      <c r="F1147" s="2">
        <v>63.28</v>
      </c>
    </row>
    <row r="1148" spans="1:6" x14ac:dyDescent="0.2">
      <c r="A1148" s="2" t="s">
        <v>35</v>
      </c>
      <c r="B1148" s="2">
        <v>9</v>
      </c>
      <c r="C1148" s="2">
        <v>2</v>
      </c>
      <c r="D1148" s="2">
        <v>2020</v>
      </c>
      <c r="E1148" s="2">
        <v>103.32</v>
      </c>
      <c r="F1148" s="2">
        <v>63</v>
      </c>
    </row>
    <row r="1149" spans="1:6" x14ac:dyDescent="0.2">
      <c r="A1149" s="2" t="s">
        <v>47</v>
      </c>
      <c r="B1149" s="2">
        <v>19</v>
      </c>
      <c r="C1149" s="2">
        <v>2</v>
      </c>
      <c r="D1149" s="2">
        <v>2020</v>
      </c>
      <c r="E1149" s="2">
        <v>87.08</v>
      </c>
      <c r="F1149" s="2">
        <v>63</v>
      </c>
    </row>
    <row r="1150" spans="1:6" x14ac:dyDescent="0.2">
      <c r="A1150" s="2" t="s">
        <v>37</v>
      </c>
      <c r="B1150" s="2">
        <v>12</v>
      </c>
      <c r="C1150" s="2">
        <v>7</v>
      </c>
      <c r="D1150" s="2">
        <v>2020</v>
      </c>
      <c r="E1150" s="2">
        <v>25.42</v>
      </c>
      <c r="F1150" s="2">
        <v>62.93</v>
      </c>
    </row>
    <row r="1151" spans="1:6" x14ac:dyDescent="0.2">
      <c r="A1151" s="2" t="s">
        <v>95</v>
      </c>
      <c r="B1151" s="2">
        <v>24</v>
      </c>
      <c r="C1151" s="2">
        <v>6</v>
      </c>
      <c r="D1151" s="2">
        <v>2020</v>
      </c>
      <c r="E1151" s="1" t="s">
        <v>94</v>
      </c>
      <c r="F1151" s="2">
        <v>62.7</v>
      </c>
    </row>
    <row r="1152" spans="1:6" x14ac:dyDescent="0.2">
      <c r="A1152" s="2" t="s">
        <v>91</v>
      </c>
      <c r="B1152" s="2">
        <v>5</v>
      </c>
      <c r="C1152" s="2">
        <v>4</v>
      </c>
      <c r="D1152" s="2">
        <v>2020</v>
      </c>
      <c r="E1152" s="2">
        <v>102</v>
      </c>
      <c r="F1152" s="2">
        <v>62.7</v>
      </c>
    </row>
    <row r="1153" spans="1:6" x14ac:dyDescent="0.2">
      <c r="A1153" s="2" t="s">
        <v>39</v>
      </c>
      <c r="B1153" s="2">
        <v>22</v>
      </c>
      <c r="C1153" s="2">
        <v>9</v>
      </c>
      <c r="D1153" s="2">
        <v>2020</v>
      </c>
      <c r="E1153" s="2">
        <v>37.200000000000003</v>
      </c>
      <c r="F1153" s="2">
        <v>62.7</v>
      </c>
    </row>
    <row r="1154" spans="1:6" x14ac:dyDescent="0.2">
      <c r="A1154" s="2" t="s">
        <v>45</v>
      </c>
      <c r="B1154" s="2">
        <v>18</v>
      </c>
      <c r="C1154" s="2">
        <v>2</v>
      </c>
      <c r="D1154" s="2">
        <v>2020</v>
      </c>
      <c r="E1154" s="2">
        <v>104.16</v>
      </c>
      <c r="F1154" s="2">
        <v>62.44</v>
      </c>
    </row>
    <row r="1155" spans="1:6" x14ac:dyDescent="0.2">
      <c r="A1155" s="2" t="s">
        <v>36</v>
      </c>
      <c r="B1155" s="2">
        <v>12</v>
      </c>
      <c r="C1155" s="2">
        <v>6</v>
      </c>
      <c r="D1155" s="2">
        <v>2020</v>
      </c>
      <c r="E1155" s="2">
        <v>27</v>
      </c>
      <c r="F1155" s="2">
        <v>62.4</v>
      </c>
    </row>
    <row r="1156" spans="1:6" x14ac:dyDescent="0.2">
      <c r="A1156" s="2" t="s">
        <v>45</v>
      </c>
      <c r="B1156" s="2">
        <v>18</v>
      </c>
      <c r="C1156" s="2">
        <v>11</v>
      </c>
      <c r="D1156" s="2">
        <v>2020</v>
      </c>
      <c r="E1156" s="2">
        <v>110.7</v>
      </c>
      <c r="F1156" s="2">
        <v>62.1</v>
      </c>
    </row>
    <row r="1157" spans="1:6" x14ac:dyDescent="0.2">
      <c r="A1157" s="2" t="s">
        <v>37</v>
      </c>
      <c r="B1157" s="2">
        <v>12</v>
      </c>
      <c r="C1157" s="2">
        <v>6</v>
      </c>
      <c r="D1157" s="2">
        <v>2020</v>
      </c>
      <c r="E1157" s="2">
        <v>19.5</v>
      </c>
      <c r="F1157" s="2">
        <v>62.1</v>
      </c>
    </row>
    <row r="1158" spans="1:6" x14ac:dyDescent="0.2">
      <c r="A1158" s="2" t="s">
        <v>34</v>
      </c>
      <c r="B1158" s="2">
        <v>4</v>
      </c>
      <c r="C1158" s="2">
        <v>3</v>
      </c>
      <c r="D1158" s="2">
        <v>2020</v>
      </c>
      <c r="E1158" s="2">
        <v>64.790000000000006</v>
      </c>
      <c r="F1158" s="2">
        <v>61.69</v>
      </c>
    </row>
    <row r="1159" spans="1:6" x14ac:dyDescent="0.2">
      <c r="A1159" s="2" t="s">
        <v>34</v>
      </c>
      <c r="B1159" s="2">
        <v>4</v>
      </c>
      <c r="C1159" s="2">
        <v>2</v>
      </c>
      <c r="D1159" s="2">
        <v>2020</v>
      </c>
      <c r="E1159" s="2">
        <v>88.48</v>
      </c>
      <c r="F1159" s="2">
        <v>61.32</v>
      </c>
    </row>
    <row r="1160" spans="1:6" x14ac:dyDescent="0.2">
      <c r="A1160" s="2" t="s">
        <v>46</v>
      </c>
      <c r="B1160" s="2">
        <v>9</v>
      </c>
      <c r="C1160" s="2">
        <v>8</v>
      </c>
      <c r="D1160" s="2">
        <v>2020</v>
      </c>
      <c r="E1160" s="2">
        <v>31.62</v>
      </c>
      <c r="F1160" s="2">
        <v>60.76</v>
      </c>
    </row>
    <row r="1161" spans="1:6" x14ac:dyDescent="0.2">
      <c r="A1161" s="2" t="s">
        <v>39</v>
      </c>
      <c r="B1161" s="2">
        <v>22</v>
      </c>
      <c r="C1161" s="2">
        <v>4</v>
      </c>
      <c r="D1161" s="2">
        <v>2020</v>
      </c>
      <c r="E1161" s="2">
        <v>53.1</v>
      </c>
      <c r="F1161" s="2">
        <v>60.6</v>
      </c>
    </row>
    <row r="1162" spans="1:6" x14ac:dyDescent="0.2">
      <c r="A1162" s="2" t="s">
        <v>37</v>
      </c>
      <c r="B1162" s="2">
        <v>12</v>
      </c>
      <c r="C1162" s="2">
        <v>9</v>
      </c>
      <c r="D1162" s="2">
        <v>2020</v>
      </c>
      <c r="E1162" s="2">
        <v>29.1</v>
      </c>
      <c r="F1162" s="2">
        <v>60.6</v>
      </c>
    </row>
    <row r="1163" spans="1:6" x14ac:dyDescent="0.2">
      <c r="A1163" s="2" t="s">
        <v>51</v>
      </c>
      <c r="B1163" s="2">
        <v>16</v>
      </c>
      <c r="C1163" s="2">
        <v>2</v>
      </c>
      <c r="D1163" s="2">
        <v>2020</v>
      </c>
      <c r="E1163" s="2">
        <v>84</v>
      </c>
      <c r="F1163" s="2">
        <v>60.48</v>
      </c>
    </row>
    <row r="1164" spans="1:6" x14ac:dyDescent="0.2">
      <c r="A1164" s="2" t="s">
        <v>49</v>
      </c>
      <c r="B1164" s="2">
        <v>3</v>
      </c>
      <c r="C1164" s="2">
        <v>1</v>
      </c>
      <c r="D1164" s="2">
        <v>2020</v>
      </c>
      <c r="E1164" s="2">
        <v>106.95</v>
      </c>
      <c r="F1164" s="2">
        <v>60.45</v>
      </c>
    </row>
    <row r="1165" spans="1:6" x14ac:dyDescent="0.2">
      <c r="A1165" s="2" t="s">
        <v>37</v>
      </c>
      <c r="B1165" s="2">
        <v>12</v>
      </c>
      <c r="C1165" s="2">
        <v>1</v>
      </c>
      <c r="D1165" s="2">
        <v>2020</v>
      </c>
      <c r="E1165" s="2">
        <v>88.35</v>
      </c>
      <c r="F1165" s="2">
        <v>60.45</v>
      </c>
    </row>
    <row r="1166" spans="1:6" x14ac:dyDescent="0.2">
      <c r="A1166" s="2" t="s">
        <v>39</v>
      </c>
      <c r="B1166" s="2">
        <v>22</v>
      </c>
      <c r="C1166" s="2">
        <v>1</v>
      </c>
      <c r="D1166" s="2">
        <v>2020</v>
      </c>
      <c r="E1166" s="2">
        <v>85.56</v>
      </c>
      <c r="F1166" s="2">
        <v>60.45</v>
      </c>
    </row>
    <row r="1167" spans="1:6" x14ac:dyDescent="0.2">
      <c r="A1167" s="2" t="s">
        <v>39</v>
      </c>
      <c r="B1167" s="2">
        <v>22</v>
      </c>
      <c r="C1167" s="2">
        <v>3</v>
      </c>
      <c r="D1167" s="2">
        <v>2020</v>
      </c>
      <c r="E1167" s="2">
        <v>64.48</v>
      </c>
      <c r="F1167" s="2">
        <v>60.45</v>
      </c>
    </row>
    <row r="1168" spans="1:6" x14ac:dyDescent="0.2">
      <c r="A1168" s="2" t="s">
        <v>49</v>
      </c>
      <c r="B1168" s="2">
        <v>3</v>
      </c>
      <c r="C1168" s="2">
        <v>3</v>
      </c>
      <c r="D1168" s="2">
        <v>2020</v>
      </c>
      <c r="E1168" s="2">
        <v>65.41</v>
      </c>
      <c r="F1168" s="2">
        <v>60.14</v>
      </c>
    </row>
    <row r="1169" spans="1:6" x14ac:dyDescent="0.2">
      <c r="A1169" s="2" t="s">
        <v>47</v>
      </c>
      <c r="B1169" s="2">
        <v>19</v>
      </c>
      <c r="C1169" s="2">
        <v>7</v>
      </c>
      <c r="D1169" s="2">
        <v>2020</v>
      </c>
      <c r="E1169" s="2">
        <v>32.86</v>
      </c>
      <c r="F1169" s="2">
        <v>60.14</v>
      </c>
    </row>
    <row r="1170" spans="1:6" x14ac:dyDescent="0.2">
      <c r="A1170" s="2" t="s">
        <v>45</v>
      </c>
      <c r="B1170" s="2">
        <v>18</v>
      </c>
      <c r="C1170" s="2">
        <v>7</v>
      </c>
      <c r="D1170" s="2">
        <v>2020</v>
      </c>
      <c r="E1170" s="2">
        <v>30.38</v>
      </c>
      <c r="F1170" s="2">
        <v>60.14</v>
      </c>
    </row>
    <row r="1171" spans="1:6" x14ac:dyDescent="0.2">
      <c r="A1171" s="2" t="s">
        <v>95</v>
      </c>
      <c r="B1171" s="2">
        <v>24</v>
      </c>
      <c r="C1171" s="2">
        <v>8</v>
      </c>
      <c r="D1171" s="2">
        <v>2020</v>
      </c>
      <c r="E1171" s="1" t="s">
        <v>94</v>
      </c>
      <c r="F1171" s="2">
        <v>59.83</v>
      </c>
    </row>
    <row r="1172" spans="1:6" x14ac:dyDescent="0.2">
      <c r="A1172" s="2" t="s">
        <v>45</v>
      </c>
      <c r="B1172" s="2">
        <v>18</v>
      </c>
      <c r="C1172" s="2">
        <v>10</v>
      </c>
      <c r="D1172" s="2">
        <v>2020</v>
      </c>
      <c r="E1172" s="2">
        <v>63.86</v>
      </c>
      <c r="F1172" s="2">
        <v>59.83</v>
      </c>
    </row>
    <row r="1173" spans="1:6" x14ac:dyDescent="0.2">
      <c r="A1173" s="2" t="s">
        <v>45</v>
      </c>
      <c r="B1173" s="2">
        <v>18</v>
      </c>
      <c r="C1173" s="2">
        <v>6</v>
      </c>
      <c r="D1173" s="2">
        <v>2020</v>
      </c>
      <c r="E1173" s="2">
        <v>34.200000000000003</v>
      </c>
      <c r="F1173" s="2">
        <v>58.8</v>
      </c>
    </row>
    <row r="1174" spans="1:6" x14ac:dyDescent="0.2">
      <c r="A1174" s="2" t="s">
        <v>39</v>
      </c>
      <c r="B1174" s="2">
        <v>22</v>
      </c>
      <c r="C1174" s="2">
        <v>6</v>
      </c>
      <c r="D1174" s="2">
        <v>2020</v>
      </c>
      <c r="E1174" s="2">
        <v>25.5</v>
      </c>
      <c r="F1174" s="2">
        <v>58.8</v>
      </c>
    </row>
    <row r="1175" spans="1:6" x14ac:dyDescent="0.2">
      <c r="A1175" s="2" t="s">
        <v>49</v>
      </c>
      <c r="B1175" s="2">
        <v>3</v>
      </c>
      <c r="C1175" s="2">
        <v>5</v>
      </c>
      <c r="D1175" s="2">
        <v>2020</v>
      </c>
      <c r="E1175" s="2">
        <v>37.82</v>
      </c>
      <c r="F1175" s="2">
        <v>58.59</v>
      </c>
    </row>
    <row r="1176" spans="1:6" x14ac:dyDescent="0.2">
      <c r="A1176" s="2" t="s">
        <v>49</v>
      </c>
      <c r="B1176" s="2">
        <v>3</v>
      </c>
      <c r="C1176" s="2">
        <v>11</v>
      </c>
      <c r="D1176" s="2">
        <v>2020</v>
      </c>
      <c r="E1176" s="2">
        <v>108.9</v>
      </c>
      <c r="F1176" s="2">
        <v>58.2</v>
      </c>
    </row>
    <row r="1177" spans="1:6" x14ac:dyDescent="0.2">
      <c r="A1177" s="2" t="s">
        <v>89</v>
      </c>
      <c r="B1177" s="2">
        <v>2</v>
      </c>
      <c r="C1177" s="2">
        <v>4</v>
      </c>
      <c r="D1177" s="2">
        <v>2020</v>
      </c>
      <c r="E1177" s="2">
        <v>91.5</v>
      </c>
      <c r="F1177" s="2">
        <v>58.2</v>
      </c>
    </row>
    <row r="1178" spans="1:6" x14ac:dyDescent="0.2">
      <c r="A1178" s="2" t="s">
        <v>34</v>
      </c>
      <c r="B1178" s="2">
        <v>4</v>
      </c>
      <c r="C1178" s="2">
        <v>11</v>
      </c>
      <c r="D1178" s="2">
        <v>2020</v>
      </c>
      <c r="E1178" s="2">
        <v>90.9</v>
      </c>
      <c r="F1178" s="2">
        <v>58.2</v>
      </c>
    </row>
    <row r="1179" spans="1:6" x14ac:dyDescent="0.2">
      <c r="A1179" s="2" t="s">
        <v>91</v>
      </c>
      <c r="B1179" s="2">
        <v>5</v>
      </c>
      <c r="C1179" s="2">
        <v>3</v>
      </c>
      <c r="D1179" s="2">
        <v>2020</v>
      </c>
      <c r="E1179" s="2">
        <v>102.92</v>
      </c>
      <c r="F1179" s="2">
        <v>57.97</v>
      </c>
    </row>
    <row r="1180" spans="1:6" x14ac:dyDescent="0.2">
      <c r="A1180" s="2" t="s">
        <v>47</v>
      </c>
      <c r="B1180" s="2">
        <v>19</v>
      </c>
      <c r="C1180" s="2">
        <v>9</v>
      </c>
      <c r="D1180" s="2">
        <v>2020</v>
      </c>
      <c r="E1180" s="2">
        <v>37.5</v>
      </c>
      <c r="F1180" s="2">
        <v>57.9</v>
      </c>
    </row>
    <row r="1181" spans="1:6" x14ac:dyDescent="0.2">
      <c r="A1181" s="2" t="s">
        <v>91</v>
      </c>
      <c r="B1181" s="2">
        <v>5</v>
      </c>
      <c r="C1181" s="2">
        <v>11</v>
      </c>
      <c r="D1181" s="2">
        <v>2020</v>
      </c>
      <c r="E1181" s="2">
        <v>147.6</v>
      </c>
      <c r="F1181" s="2">
        <v>57.6</v>
      </c>
    </row>
    <row r="1182" spans="1:6" x14ac:dyDescent="0.2">
      <c r="A1182" s="2" t="s">
        <v>46</v>
      </c>
      <c r="B1182" s="2">
        <v>9</v>
      </c>
      <c r="C1182" s="2">
        <v>2</v>
      </c>
      <c r="D1182" s="2">
        <v>2020</v>
      </c>
      <c r="E1182" s="2">
        <v>97.72</v>
      </c>
      <c r="F1182" s="2">
        <v>57.12</v>
      </c>
    </row>
    <row r="1183" spans="1:6" x14ac:dyDescent="0.2">
      <c r="A1183" s="2" t="s">
        <v>33</v>
      </c>
      <c r="B1183" s="2">
        <v>21</v>
      </c>
      <c r="C1183" s="2">
        <v>2</v>
      </c>
      <c r="D1183" s="2">
        <v>2020</v>
      </c>
      <c r="E1183" s="2">
        <v>89.04</v>
      </c>
      <c r="F1183" s="2">
        <v>57.12</v>
      </c>
    </row>
    <row r="1184" spans="1:6" x14ac:dyDescent="0.2">
      <c r="A1184" s="2" t="s">
        <v>48</v>
      </c>
      <c r="B1184" s="2">
        <v>24</v>
      </c>
      <c r="C1184" s="2">
        <v>2</v>
      </c>
      <c r="D1184" s="2">
        <v>2020</v>
      </c>
      <c r="E1184" s="2">
        <v>85.12</v>
      </c>
      <c r="F1184" s="2">
        <v>56.28</v>
      </c>
    </row>
    <row r="1185" spans="1:6" x14ac:dyDescent="0.2">
      <c r="A1185" s="2" t="s">
        <v>49</v>
      </c>
      <c r="B1185" s="2">
        <v>3</v>
      </c>
      <c r="C1185" s="2">
        <v>12</v>
      </c>
      <c r="D1185" s="2">
        <v>2020</v>
      </c>
      <c r="E1185" s="2">
        <v>107.26</v>
      </c>
      <c r="F1185" s="2">
        <v>55.8</v>
      </c>
    </row>
    <row r="1186" spans="1:6" x14ac:dyDescent="0.2">
      <c r="A1186" s="2" t="s">
        <v>89</v>
      </c>
      <c r="B1186" s="2">
        <v>2</v>
      </c>
      <c r="C1186" s="2">
        <v>12</v>
      </c>
      <c r="D1186" s="2">
        <v>2020</v>
      </c>
      <c r="E1186" s="2">
        <v>132.06</v>
      </c>
      <c r="F1186" s="2">
        <v>55.18</v>
      </c>
    </row>
    <row r="1187" spans="1:6" x14ac:dyDescent="0.2">
      <c r="A1187" s="2" t="s">
        <v>91</v>
      </c>
      <c r="B1187" s="2">
        <v>5</v>
      </c>
      <c r="C1187" s="2">
        <v>12</v>
      </c>
      <c r="D1187" s="2">
        <v>2020</v>
      </c>
      <c r="E1187" s="2">
        <v>136.4</v>
      </c>
      <c r="F1187" s="2">
        <v>54.87</v>
      </c>
    </row>
    <row r="1188" spans="1:6" x14ac:dyDescent="0.2">
      <c r="A1188" s="2" t="s">
        <v>91</v>
      </c>
      <c r="B1188" s="2">
        <v>5</v>
      </c>
      <c r="C1188" s="2">
        <v>5</v>
      </c>
      <c r="D1188" s="2">
        <v>2020</v>
      </c>
      <c r="E1188" s="2">
        <v>69.75</v>
      </c>
      <c r="F1188" s="2">
        <v>54.56</v>
      </c>
    </row>
    <row r="1189" spans="1:6" x14ac:dyDescent="0.2">
      <c r="A1189" s="2" t="s">
        <v>91</v>
      </c>
      <c r="B1189" s="2">
        <v>5</v>
      </c>
      <c r="C1189" s="2">
        <v>1</v>
      </c>
      <c r="D1189" s="2">
        <v>2020</v>
      </c>
      <c r="E1189" s="2">
        <v>122.76</v>
      </c>
      <c r="F1189" s="2">
        <v>53.94</v>
      </c>
    </row>
    <row r="1190" spans="1:6" x14ac:dyDescent="0.2">
      <c r="A1190" s="2" t="s">
        <v>95</v>
      </c>
      <c r="B1190" s="2">
        <v>24</v>
      </c>
      <c r="C1190" s="2">
        <v>2</v>
      </c>
      <c r="D1190" s="2">
        <v>2020</v>
      </c>
      <c r="E1190" s="1" t="s">
        <v>94</v>
      </c>
      <c r="F1190" s="2">
        <v>53.76</v>
      </c>
    </row>
    <row r="1191" spans="1:6" x14ac:dyDescent="0.2">
      <c r="A1191" s="2" t="s">
        <v>95</v>
      </c>
      <c r="B1191" s="2">
        <v>24</v>
      </c>
      <c r="C1191" s="2">
        <v>9</v>
      </c>
      <c r="D1191" s="2">
        <v>2020</v>
      </c>
      <c r="E1191" s="1" t="s">
        <v>94</v>
      </c>
      <c r="F1191" s="2">
        <v>53.7</v>
      </c>
    </row>
    <row r="1192" spans="1:6" x14ac:dyDescent="0.2">
      <c r="A1192" s="2" t="s">
        <v>91</v>
      </c>
      <c r="B1192" s="2">
        <v>5</v>
      </c>
      <c r="C1192" s="2">
        <v>6</v>
      </c>
      <c r="D1192" s="2">
        <v>2020</v>
      </c>
      <c r="E1192" s="2">
        <v>65.7</v>
      </c>
      <c r="F1192" s="2">
        <v>53.4</v>
      </c>
    </row>
    <row r="1193" spans="1:6" x14ac:dyDescent="0.2">
      <c r="A1193" s="2" t="s">
        <v>91</v>
      </c>
      <c r="B1193" s="2">
        <v>5</v>
      </c>
      <c r="C1193" s="2">
        <v>2</v>
      </c>
      <c r="D1193" s="2">
        <v>2020</v>
      </c>
      <c r="E1193" s="2">
        <v>129.91999999999999</v>
      </c>
      <c r="F1193" s="2">
        <v>53.2</v>
      </c>
    </row>
    <row r="1194" spans="1:6" x14ac:dyDescent="0.2">
      <c r="A1194" s="2" t="s">
        <v>49</v>
      </c>
      <c r="B1194" s="2">
        <v>3</v>
      </c>
      <c r="C1194" s="2">
        <v>8</v>
      </c>
      <c r="D1194" s="2">
        <v>2020</v>
      </c>
      <c r="E1194" s="2">
        <v>28.83</v>
      </c>
      <c r="F1194" s="2">
        <v>53.01</v>
      </c>
    </row>
    <row r="1195" spans="1:6" x14ac:dyDescent="0.2">
      <c r="A1195" s="2" t="s">
        <v>49</v>
      </c>
      <c r="B1195" s="2">
        <v>3</v>
      </c>
      <c r="C1195" s="2">
        <v>7</v>
      </c>
      <c r="D1195" s="2">
        <v>2020</v>
      </c>
      <c r="E1195" s="2">
        <v>34.409999999999997</v>
      </c>
      <c r="F1195" s="2">
        <v>52.7</v>
      </c>
    </row>
    <row r="1196" spans="1:6" x14ac:dyDescent="0.2">
      <c r="A1196" s="2" t="s">
        <v>49</v>
      </c>
      <c r="B1196" s="2">
        <v>3</v>
      </c>
      <c r="C1196" s="2">
        <v>10</v>
      </c>
      <c r="D1196" s="2">
        <v>2020</v>
      </c>
      <c r="E1196" s="2">
        <v>68.510000000000005</v>
      </c>
      <c r="F1196" s="2">
        <v>52.39</v>
      </c>
    </row>
    <row r="1197" spans="1:6" x14ac:dyDescent="0.2">
      <c r="A1197" s="2" t="s">
        <v>91</v>
      </c>
      <c r="B1197" s="2">
        <v>5</v>
      </c>
      <c r="C1197" s="2">
        <v>9</v>
      </c>
      <c r="D1197" s="2">
        <v>2020</v>
      </c>
      <c r="E1197" s="2">
        <v>69</v>
      </c>
      <c r="F1197" s="2">
        <v>51.9</v>
      </c>
    </row>
    <row r="1198" spans="1:6" x14ac:dyDescent="0.2">
      <c r="A1198" s="2" t="s">
        <v>49</v>
      </c>
      <c r="B1198" s="2">
        <v>3</v>
      </c>
      <c r="C1198" s="2">
        <v>9</v>
      </c>
      <c r="D1198" s="2">
        <v>2020</v>
      </c>
      <c r="E1198" s="2">
        <v>45.6</v>
      </c>
      <c r="F1198" s="2">
        <v>51.3</v>
      </c>
    </row>
    <row r="1199" spans="1:6" x14ac:dyDescent="0.2">
      <c r="A1199" s="2" t="s">
        <v>49</v>
      </c>
      <c r="B1199" s="2">
        <v>3</v>
      </c>
      <c r="C1199" s="2">
        <v>2</v>
      </c>
      <c r="D1199" s="2">
        <v>2020</v>
      </c>
      <c r="E1199" s="2">
        <v>95.76</v>
      </c>
      <c r="F1199" s="2">
        <v>50.96</v>
      </c>
    </row>
    <row r="1200" spans="1:6" x14ac:dyDescent="0.2">
      <c r="A1200" s="2" t="s">
        <v>49</v>
      </c>
      <c r="B1200" s="2">
        <v>3</v>
      </c>
      <c r="C1200" s="2">
        <v>6</v>
      </c>
      <c r="D1200" s="2">
        <v>2020</v>
      </c>
      <c r="E1200" s="2">
        <v>34.200000000000003</v>
      </c>
      <c r="F1200" s="2">
        <v>49.8</v>
      </c>
    </row>
    <row r="1201" spans="1:6" x14ac:dyDescent="0.2">
      <c r="A1201" s="2" t="s">
        <v>49</v>
      </c>
      <c r="B1201" s="2">
        <v>3</v>
      </c>
      <c r="C1201" s="2">
        <v>4</v>
      </c>
      <c r="D1201" s="2">
        <v>2020</v>
      </c>
      <c r="E1201" s="2">
        <v>71.7</v>
      </c>
      <c r="F1201" s="2">
        <v>48.3</v>
      </c>
    </row>
    <row r="1202" spans="1:6" x14ac:dyDescent="0.2">
      <c r="E1202">
        <f>AVERAGE(E2:E1201)</f>
        <v>50.783465909090928</v>
      </c>
      <c r="F1202">
        <f>AVERAGE(F2:F1201)</f>
        <v>104.87085833333322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AF2D-C01B-9F49-B5EC-DF5F933811A7}">
  <dimension ref="A1:J1202"/>
  <sheetViews>
    <sheetView tabSelected="1" topLeftCell="A1171" workbookViewId="0">
      <selection activeCell="A1202" sqref="A1202"/>
    </sheetView>
  </sheetViews>
  <sheetFormatPr baseColWidth="10" defaultRowHeight="16" x14ac:dyDescent="0.2"/>
  <sheetData>
    <row r="1" spans="1:6" x14ac:dyDescent="0.2">
      <c r="A1" s="2" t="s">
        <v>110</v>
      </c>
      <c r="B1" s="2" t="s">
        <v>109</v>
      </c>
      <c r="C1" s="2" t="s">
        <v>108</v>
      </c>
      <c r="D1" s="2" t="s">
        <v>107</v>
      </c>
      <c r="E1" s="2" t="s">
        <v>106</v>
      </c>
      <c r="F1" s="2" t="s">
        <v>105</v>
      </c>
    </row>
    <row r="2" spans="1:6" x14ac:dyDescent="0.2">
      <c r="A2" s="2" t="s">
        <v>32</v>
      </c>
      <c r="B2" s="2">
        <v>17</v>
      </c>
      <c r="C2" s="2">
        <v>12</v>
      </c>
      <c r="D2" s="2">
        <v>2021</v>
      </c>
      <c r="E2" s="1" t="s">
        <v>94</v>
      </c>
      <c r="F2" s="2">
        <v>272.49</v>
      </c>
    </row>
    <row r="3" spans="1:6" x14ac:dyDescent="0.2">
      <c r="A3" s="2" t="s">
        <v>32</v>
      </c>
      <c r="B3" s="2">
        <v>17</v>
      </c>
      <c r="C3" s="2">
        <v>1</v>
      </c>
      <c r="D3" s="2">
        <v>2021</v>
      </c>
      <c r="E3" s="2">
        <v>0</v>
      </c>
      <c r="F3" s="2">
        <v>256.37</v>
      </c>
    </row>
    <row r="4" spans="1:6" x14ac:dyDescent="0.2">
      <c r="A4" s="2" t="s">
        <v>30</v>
      </c>
      <c r="B4" s="2">
        <v>2</v>
      </c>
      <c r="C4" s="2">
        <v>1</v>
      </c>
      <c r="D4" s="2">
        <v>2021</v>
      </c>
      <c r="E4" s="2">
        <v>0</v>
      </c>
      <c r="F4" s="2">
        <v>246.45</v>
      </c>
    </row>
    <row r="5" spans="1:6" x14ac:dyDescent="0.2">
      <c r="A5" s="2" t="s">
        <v>30</v>
      </c>
      <c r="B5" s="2">
        <v>2</v>
      </c>
      <c r="C5" s="2">
        <v>12</v>
      </c>
      <c r="D5" s="2">
        <v>2021</v>
      </c>
      <c r="E5" s="2">
        <v>0</v>
      </c>
      <c r="F5" s="2">
        <v>243.35</v>
      </c>
    </row>
    <row r="6" spans="1:6" x14ac:dyDescent="0.2">
      <c r="A6" s="2" t="s">
        <v>32</v>
      </c>
      <c r="B6" s="2">
        <v>17</v>
      </c>
      <c r="C6" s="2">
        <v>11</v>
      </c>
      <c r="D6" s="2">
        <v>2021</v>
      </c>
      <c r="E6" s="2">
        <v>0</v>
      </c>
      <c r="F6" s="2">
        <v>237.9</v>
      </c>
    </row>
    <row r="7" spans="1:6" x14ac:dyDescent="0.2">
      <c r="A7" s="2" t="s">
        <v>31</v>
      </c>
      <c r="B7" s="2">
        <v>14</v>
      </c>
      <c r="C7" s="2">
        <v>1</v>
      </c>
      <c r="D7" s="2">
        <v>2021</v>
      </c>
      <c r="E7" s="2">
        <v>0</v>
      </c>
      <c r="F7" s="2">
        <v>233.74</v>
      </c>
    </row>
    <row r="8" spans="1:6" x14ac:dyDescent="0.2">
      <c r="A8" s="2" t="s">
        <v>26</v>
      </c>
      <c r="B8" s="2">
        <v>22</v>
      </c>
      <c r="C8" s="2">
        <v>11</v>
      </c>
      <c r="D8" s="2">
        <v>2021</v>
      </c>
      <c r="E8" s="2">
        <v>0</v>
      </c>
      <c r="F8" s="2">
        <v>231.9</v>
      </c>
    </row>
    <row r="9" spans="1:6" x14ac:dyDescent="0.2">
      <c r="A9" s="2" t="s">
        <v>30</v>
      </c>
      <c r="B9" s="2">
        <v>2</v>
      </c>
      <c r="C9" s="2">
        <v>11</v>
      </c>
      <c r="D9" s="2">
        <v>2021</v>
      </c>
      <c r="E9" s="1" t="s">
        <v>94</v>
      </c>
      <c r="F9" s="2">
        <v>226.8</v>
      </c>
    </row>
    <row r="10" spans="1:6" x14ac:dyDescent="0.2">
      <c r="A10" s="2" t="s">
        <v>28</v>
      </c>
      <c r="B10" s="2">
        <v>5</v>
      </c>
      <c r="C10" s="2">
        <v>11</v>
      </c>
      <c r="D10" s="2">
        <v>2021</v>
      </c>
      <c r="E10" s="2">
        <v>0</v>
      </c>
      <c r="F10" s="2">
        <v>224.1</v>
      </c>
    </row>
    <row r="11" spans="1:6" x14ac:dyDescent="0.2">
      <c r="A11" s="2" t="s">
        <v>28</v>
      </c>
      <c r="B11" s="2">
        <v>5</v>
      </c>
      <c r="C11" s="2">
        <v>12</v>
      </c>
      <c r="D11" s="2">
        <v>2021</v>
      </c>
      <c r="E11" s="1" t="s">
        <v>94</v>
      </c>
      <c r="F11" s="2">
        <v>222.89</v>
      </c>
    </row>
    <row r="12" spans="1:6" x14ac:dyDescent="0.2">
      <c r="A12" s="2" t="s">
        <v>27</v>
      </c>
      <c r="B12" s="2">
        <v>1</v>
      </c>
      <c r="C12" s="2">
        <v>1</v>
      </c>
      <c r="D12" s="2">
        <v>2021</v>
      </c>
      <c r="E12" s="2">
        <v>0</v>
      </c>
      <c r="F12" s="2">
        <v>222.89</v>
      </c>
    </row>
    <row r="13" spans="1:6" x14ac:dyDescent="0.2">
      <c r="A13" s="2" t="s">
        <v>23</v>
      </c>
      <c r="B13" s="2">
        <v>5</v>
      </c>
      <c r="C13" s="2">
        <v>12</v>
      </c>
      <c r="D13" s="2">
        <v>2021</v>
      </c>
      <c r="E13" s="2">
        <v>0</v>
      </c>
      <c r="F13" s="2">
        <v>221.03</v>
      </c>
    </row>
    <row r="14" spans="1:6" x14ac:dyDescent="0.2">
      <c r="A14" s="2" t="s">
        <v>28</v>
      </c>
      <c r="B14" s="2">
        <v>5</v>
      </c>
      <c r="C14" s="2">
        <v>1</v>
      </c>
      <c r="D14" s="2">
        <v>2021</v>
      </c>
      <c r="E14" s="2">
        <v>0</v>
      </c>
      <c r="F14" s="2">
        <v>219.17</v>
      </c>
    </row>
    <row r="15" spans="1:6" x14ac:dyDescent="0.2">
      <c r="A15" s="2" t="s">
        <v>16</v>
      </c>
      <c r="B15" s="2">
        <v>14</v>
      </c>
      <c r="C15" s="2">
        <v>1</v>
      </c>
      <c r="D15" s="2">
        <v>2021</v>
      </c>
      <c r="E15" s="2">
        <v>0</v>
      </c>
      <c r="F15" s="2">
        <v>218.86</v>
      </c>
    </row>
    <row r="16" spans="1:6" x14ac:dyDescent="0.2">
      <c r="A16" s="2" t="s">
        <v>11</v>
      </c>
      <c r="B16" s="2">
        <v>15</v>
      </c>
      <c r="C16" s="2">
        <v>11</v>
      </c>
      <c r="D16" s="2">
        <v>2021</v>
      </c>
      <c r="E16" s="2">
        <v>0</v>
      </c>
      <c r="F16" s="2">
        <v>216.9</v>
      </c>
    </row>
    <row r="17" spans="1:6" x14ac:dyDescent="0.2">
      <c r="A17" s="2" t="s">
        <v>32</v>
      </c>
      <c r="B17" s="2">
        <v>17</v>
      </c>
      <c r="C17" s="2">
        <v>2</v>
      </c>
      <c r="D17" s="2">
        <v>2021</v>
      </c>
      <c r="E17" s="2">
        <v>0</v>
      </c>
      <c r="F17" s="2">
        <v>214.48</v>
      </c>
    </row>
    <row r="18" spans="1:6" x14ac:dyDescent="0.2">
      <c r="A18" s="2" t="s">
        <v>18</v>
      </c>
      <c r="B18" s="2">
        <v>5</v>
      </c>
      <c r="C18" s="2">
        <v>11</v>
      </c>
      <c r="D18" s="2">
        <v>2021</v>
      </c>
      <c r="E18" s="2">
        <v>0</v>
      </c>
      <c r="F18" s="2">
        <v>213.9</v>
      </c>
    </row>
    <row r="19" spans="1:6" x14ac:dyDescent="0.2">
      <c r="A19" s="2" t="s">
        <v>27</v>
      </c>
      <c r="B19" s="2">
        <v>1</v>
      </c>
      <c r="C19" s="2">
        <v>12</v>
      </c>
      <c r="D19" s="2">
        <v>2021</v>
      </c>
      <c r="E19" s="1" t="s">
        <v>94</v>
      </c>
      <c r="F19" s="2">
        <v>211.73</v>
      </c>
    </row>
    <row r="20" spans="1:6" x14ac:dyDescent="0.2">
      <c r="A20" s="2" t="s">
        <v>12</v>
      </c>
      <c r="B20" s="2">
        <v>2</v>
      </c>
      <c r="C20" s="2">
        <v>1</v>
      </c>
      <c r="D20" s="2">
        <v>2021</v>
      </c>
      <c r="E20" s="2">
        <v>0</v>
      </c>
      <c r="F20" s="2">
        <v>208.01</v>
      </c>
    </row>
    <row r="21" spans="1:6" x14ac:dyDescent="0.2">
      <c r="A21" s="2" t="s">
        <v>20</v>
      </c>
      <c r="B21" s="2">
        <v>12</v>
      </c>
      <c r="C21" s="2">
        <v>12</v>
      </c>
      <c r="D21" s="2">
        <v>2021</v>
      </c>
      <c r="E21" s="2">
        <v>0</v>
      </c>
      <c r="F21" s="2">
        <v>206.77</v>
      </c>
    </row>
    <row r="22" spans="1:6" x14ac:dyDescent="0.2">
      <c r="A22" s="2" t="s">
        <v>27</v>
      </c>
      <c r="B22" s="2">
        <v>1</v>
      </c>
      <c r="C22" s="2">
        <v>11</v>
      </c>
      <c r="D22" s="2">
        <v>2021</v>
      </c>
      <c r="E22" s="2">
        <v>0</v>
      </c>
      <c r="F22" s="2">
        <v>206.1</v>
      </c>
    </row>
    <row r="23" spans="1:6" x14ac:dyDescent="0.2">
      <c r="A23" s="2" t="s">
        <v>8</v>
      </c>
      <c r="B23" s="2">
        <v>5</v>
      </c>
      <c r="C23" s="2">
        <v>12</v>
      </c>
      <c r="D23" s="2">
        <v>2021</v>
      </c>
      <c r="E23" s="2">
        <v>0</v>
      </c>
      <c r="F23" s="2">
        <v>205.53</v>
      </c>
    </row>
    <row r="24" spans="1:6" x14ac:dyDescent="0.2">
      <c r="A24" s="2" t="s">
        <v>22</v>
      </c>
      <c r="B24" s="2">
        <v>22</v>
      </c>
      <c r="C24" s="2">
        <v>1</v>
      </c>
      <c r="D24" s="2">
        <v>2021</v>
      </c>
      <c r="E24" s="2">
        <v>0</v>
      </c>
      <c r="F24" s="2">
        <v>205.22</v>
      </c>
    </row>
    <row r="25" spans="1:6" x14ac:dyDescent="0.2">
      <c r="A25" s="2" t="s">
        <v>20</v>
      </c>
      <c r="B25" s="2">
        <v>12</v>
      </c>
      <c r="C25" s="2">
        <v>1</v>
      </c>
      <c r="D25" s="2">
        <v>2021</v>
      </c>
      <c r="E25" s="2">
        <v>0</v>
      </c>
      <c r="F25" s="2">
        <v>203.05</v>
      </c>
    </row>
    <row r="26" spans="1:6" x14ac:dyDescent="0.2">
      <c r="A26" s="2" t="s">
        <v>31</v>
      </c>
      <c r="B26" s="2">
        <v>14</v>
      </c>
      <c r="C26" s="2">
        <v>11</v>
      </c>
      <c r="D26" s="2">
        <v>2021</v>
      </c>
      <c r="E26" s="2">
        <v>0</v>
      </c>
      <c r="F26" s="2">
        <v>202.5</v>
      </c>
    </row>
    <row r="27" spans="1:6" x14ac:dyDescent="0.2">
      <c r="A27" s="2" t="s">
        <v>23</v>
      </c>
      <c r="B27" s="2">
        <v>5</v>
      </c>
      <c r="C27" s="2">
        <v>1</v>
      </c>
      <c r="D27" s="2">
        <v>2021</v>
      </c>
      <c r="E27" s="1" t="s">
        <v>94</v>
      </c>
      <c r="F27" s="2">
        <v>201.5</v>
      </c>
    </row>
    <row r="28" spans="1:6" x14ac:dyDescent="0.2">
      <c r="A28" s="2" t="s">
        <v>21</v>
      </c>
      <c r="B28" s="2">
        <v>15</v>
      </c>
      <c r="C28" s="2">
        <v>12</v>
      </c>
      <c r="D28" s="2">
        <v>2021</v>
      </c>
      <c r="E28" s="2">
        <v>0</v>
      </c>
      <c r="F28" s="2">
        <v>200.26</v>
      </c>
    </row>
    <row r="29" spans="1:6" x14ac:dyDescent="0.2">
      <c r="A29" s="2" t="s">
        <v>26</v>
      </c>
      <c r="B29" s="2">
        <v>22</v>
      </c>
      <c r="C29" s="2">
        <v>1</v>
      </c>
      <c r="D29" s="2">
        <v>2021</v>
      </c>
      <c r="E29" s="2">
        <v>0</v>
      </c>
      <c r="F29" s="2">
        <v>199.95</v>
      </c>
    </row>
    <row r="30" spans="1:6" x14ac:dyDescent="0.2">
      <c r="A30" s="2" t="s">
        <v>31</v>
      </c>
      <c r="B30" s="2">
        <v>14</v>
      </c>
      <c r="C30" s="2">
        <v>2</v>
      </c>
      <c r="D30" s="2">
        <v>2021</v>
      </c>
      <c r="E30" s="1" t="s">
        <v>94</v>
      </c>
      <c r="F30" s="2">
        <v>199.92</v>
      </c>
    </row>
    <row r="31" spans="1:6" x14ac:dyDescent="0.2">
      <c r="A31" s="2" t="s">
        <v>31</v>
      </c>
      <c r="B31" s="2">
        <v>14</v>
      </c>
      <c r="C31" s="2">
        <v>12</v>
      </c>
      <c r="D31" s="2">
        <v>2021</v>
      </c>
      <c r="E31" s="2">
        <v>0</v>
      </c>
      <c r="F31" s="2">
        <v>199.33</v>
      </c>
    </row>
    <row r="32" spans="1:6" x14ac:dyDescent="0.2">
      <c r="A32" s="2" t="s">
        <v>30</v>
      </c>
      <c r="B32" s="2">
        <v>2</v>
      </c>
      <c r="C32" s="2">
        <v>2</v>
      </c>
      <c r="D32" s="2">
        <v>2021</v>
      </c>
      <c r="E32" s="2">
        <v>0</v>
      </c>
      <c r="F32" s="2">
        <v>198.8</v>
      </c>
    </row>
    <row r="33" spans="1:6" x14ac:dyDescent="0.2">
      <c r="A33" s="2" t="s">
        <v>8</v>
      </c>
      <c r="B33" s="2">
        <v>5</v>
      </c>
      <c r="C33" s="2">
        <v>1</v>
      </c>
      <c r="D33" s="2">
        <v>2021</v>
      </c>
      <c r="E33" s="2">
        <v>0</v>
      </c>
      <c r="F33" s="2">
        <v>198.71</v>
      </c>
    </row>
    <row r="34" spans="1:6" x14ac:dyDescent="0.2">
      <c r="A34" s="2" t="s">
        <v>32</v>
      </c>
      <c r="B34" s="2">
        <v>17</v>
      </c>
      <c r="C34" s="2">
        <v>10</v>
      </c>
      <c r="D34" s="2">
        <v>2021</v>
      </c>
      <c r="E34" s="2">
        <v>0</v>
      </c>
      <c r="F34" s="2">
        <v>198.71</v>
      </c>
    </row>
    <row r="35" spans="1:6" x14ac:dyDescent="0.2">
      <c r="A35" s="2" t="s">
        <v>11</v>
      </c>
      <c r="B35" s="2">
        <v>15</v>
      </c>
      <c r="C35" s="2">
        <v>1</v>
      </c>
      <c r="D35" s="2">
        <v>2021</v>
      </c>
      <c r="E35" s="1" t="s">
        <v>94</v>
      </c>
      <c r="F35" s="2">
        <v>198.4</v>
      </c>
    </row>
    <row r="36" spans="1:6" x14ac:dyDescent="0.2">
      <c r="A36" s="2" t="s">
        <v>11</v>
      </c>
      <c r="B36" s="2">
        <v>15</v>
      </c>
      <c r="C36" s="2">
        <v>12</v>
      </c>
      <c r="D36" s="2">
        <v>2021</v>
      </c>
      <c r="E36" s="2">
        <v>0</v>
      </c>
      <c r="F36" s="2">
        <v>197.78</v>
      </c>
    </row>
    <row r="37" spans="1:6" x14ac:dyDescent="0.2">
      <c r="A37" s="2" t="s">
        <v>98</v>
      </c>
      <c r="B37" s="2">
        <v>21</v>
      </c>
      <c r="C37" s="2">
        <v>12</v>
      </c>
      <c r="D37" s="2">
        <v>2021</v>
      </c>
      <c r="E37" s="1" t="s">
        <v>94</v>
      </c>
      <c r="F37" s="2">
        <v>197.47</v>
      </c>
    </row>
    <row r="38" spans="1:6" x14ac:dyDescent="0.2">
      <c r="A38" s="2" t="s">
        <v>23</v>
      </c>
      <c r="B38" s="2">
        <v>5</v>
      </c>
      <c r="C38" s="2">
        <v>11</v>
      </c>
      <c r="D38" s="2">
        <v>2021</v>
      </c>
      <c r="E38" s="2">
        <v>0</v>
      </c>
      <c r="F38" s="2">
        <v>197.1</v>
      </c>
    </row>
    <row r="39" spans="1:6" x14ac:dyDescent="0.2">
      <c r="A39" s="2" t="s">
        <v>15</v>
      </c>
      <c r="B39" s="2">
        <v>5</v>
      </c>
      <c r="C39" s="2">
        <v>12</v>
      </c>
      <c r="D39" s="2">
        <v>2021</v>
      </c>
      <c r="E39" s="2">
        <v>0</v>
      </c>
      <c r="F39" s="2">
        <v>196.85</v>
      </c>
    </row>
    <row r="40" spans="1:6" x14ac:dyDescent="0.2">
      <c r="A40" s="2" t="s">
        <v>32</v>
      </c>
      <c r="B40" s="2">
        <v>17</v>
      </c>
      <c r="C40" s="2">
        <v>3</v>
      </c>
      <c r="D40" s="2">
        <v>2021</v>
      </c>
      <c r="E40" s="2">
        <v>0</v>
      </c>
      <c r="F40" s="2">
        <v>196.54</v>
      </c>
    </row>
    <row r="41" spans="1:6" x14ac:dyDescent="0.2">
      <c r="A41" s="2" t="s">
        <v>30</v>
      </c>
      <c r="B41" s="2">
        <v>2</v>
      </c>
      <c r="C41" s="2">
        <v>4</v>
      </c>
      <c r="D41" s="2">
        <v>2021</v>
      </c>
      <c r="E41" s="2">
        <v>0</v>
      </c>
      <c r="F41" s="2">
        <v>196.5</v>
      </c>
    </row>
    <row r="42" spans="1:6" x14ac:dyDescent="0.2">
      <c r="A42" s="2" t="s">
        <v>17</v>
      </c>
      <c r="B42" s="2">
        <v>8</v>
      </c>
      <c r="C42" s="2">
        <v>1</v>
      </c>
      <c r="D42" s="2">
        <v>2021</v>
      </c>
      <c r="E42" s="1" t="s">
        <v>94</v>
      </c>
      <c r="F42" s="2">
        <v>195.92</v>
      </c>
    </row>
    <row r="43" spans="1:6" x14ac:dyDescent="0.2">
      <c r="A43" s="2" t="s">
        <v>9</v>
      </c>
      <c r="B43" s="2">
        <v>22</v>
      </c>
      <c r="C43" s="2">
        <v>1</v>
      </c>
      <c r="D43" s="2">
        <v>2021</v>
      </c>
      <c r="E43" s="2">
        <v>0</v>
      </c>
      <c r="F43" s="2">
        <v>195.92</v>
      </c>
    </row>
    <row r="44" spans="1:6" x14ac:dyDescent="0.2">
      <c r="A44" s="2" t="s">
        <v>18</v>
      </c>
      <c r="B44" s="2">
        <v>5</v>
      </c>
      <c r="C44" s="2">
        <v>12</v>
      </c>
      <c r="D44" s="2">
        <v>2021</v>
      </c>
      <c r="E44" s="2">
        <v>0</v>
      </c>
      <c r="F44" s="2">
        <v>195.3</v>
      </c>
    </row>
    <row r="45" spans="1:6" x14ac:dyDescent="0.2">
      <c r="A45" s="2" t="s">
        <v>22</v>
      </c>
      <c r="B45" s="2">
        <v>22</v>
      </c>
      <c r="C45" s="2">
        <v>2</v>
      </c>
      <c r="D45" s="2">
        <v>2021</v>
      </c>
      <c r="E45" s="2">
        <v>0</v>
      </c>
      <c r="F45" s="2">
        <v>194.88</v>
      </c>
    </row>
    <row r="46" spans="1:6" x14ac:dyDescent="0.2">
      <c r="A46" s="2" t="s">
        <v>9</v>
      </c>
      <c r="B46" s="2">
        <v>22</v>
      </c>
      <c r="C46" s="2">
        <v>11</v>
      </c>
      <c r="D46" s="2">
        <v>2021</v>
      </c>
      <c r="E46" s="2">
        <v>0</v>
      </c>
      <c r="F46" s="2">
        <v>194.4</v>
      </c>
    </row>
    <row r="47" spans="1:6" x14ac:dyDescent="0.2">
      <c r="A47" s="2" t="s">
        <v>6</v>
      </c>
      <c r="B47" s="2">
        <v>7</v>
      </c>
      <c r="C47" s="2">
        <v>12</v>
      </c>
      <c r="D47" s="2">
        <v>2021</v>
      </c>
      <c r="E47" s="1" t="s">
        <v>94</v>
      </c>
      <c r="F47" s="2">
        <v>193.75</v>
      </c>
    </row>
    <row r="48" spans="1:6" x14ac:dyDescent="0.2">
      <c r="A48" s="2" t="s">
        <v>27</v>
      </c>
      <c r="B48" s="2">
        <v>1</v>
      </c>
      <c r="C48" s="2">
        <v>2</v>
      </c>
      <c r="D48" s="2">
        <v>2021</v>
      </c>
      <c r="E48" s="2">
        <v>0</v>
      </c>
      <c r="F48" s="2">
        <v>193.48</v>
      </c>
    </row>
    <row r="49" spans="1:6" x14ac:dyDescent="0.2">
      <c r="A49" s="2" t="s">
        <v>20</v>
      </c>
      <c r="B49" s="2">
        <v>12</v>
      </c>
      <c r="C49" s="2">
        <v>11</v>
      </c>
      <c r="D49" s="2">
        <v>2021</v>
      </c>
      <c r="E49" s="1" t="s">
        <v>94</v>
      </c>
      <c r="F49" s="2">
        <v>192.9</v>
      </c>
    </row>
    <row r="50" spans="1:6" x14ac:dyDescent="0.2">
      <c r="A50" s="2" t="s">
        <v>22</v>
      </c>
      <c r="B50" s="2">
        <v>22</v>
      </c>
      <c r="C50" s="2">
        <v>12</v>
      </c>
      <c r="D50" s="2">
        <v>2021</v>
      </c>
      <c r="E50" s="1" t="s">
        <v>94</v>
      </c>
      <c r="F50" s="2">
        <v>192.82</v>
      </c>
    </row>
    <row r="51" spans="1:6" x14ac:dyDescent="0.2">
      <c r="A51" s="2" t="s">
        <v>6</v>
      </c>
      <c r="B51" s="2">
        <v>7</v>
      </c>
      <c r="C51" s="2">
        <v>1</v>
      </c>
      <c r="D51" s="2">
        <v>2021</v>
      </c>
      <c r="E51" s="2">
        <v>0</v>
      </c>
      <c r="F51" s="2">
        <v>192.82</v>
      </c>
    </row>
    <row r="52" spans="1:6" x14ac:dyDescent="0.2">
      <c r="A52" s="2" t="s">
        <v>14</v>
      </c>
      <c r="B52" s="2">
        <v>10</v>
      </c>
      <c r="C52" s="2">
        <v>12</v>
      </c>
      <c r="D52" s="2">
        <v>2021</v>
      </c>
      <c r="E52" s="2">
        <v>0</v>
      </c>
      <c r="F52" s="2">
        <v>192.51</v>
      </c>
    </row>
    <row r="53" spans="1:6" x14ac:dyDescent="0.2">
      <c r="A53" s="2" t="s">
        <v>27</v>
      </c>
      <c r="B53" s="2">
        <v>1</v>
      </c>
      <c r="C53" s="2">
        <v>10</v>
      </c>
      <c r="D53" s="2">
        <v>2021</v>
      </c>
      <c r="E53" s="2">
        <v>0</v>
      </c>
      <c r="F53" s="2">
        <v>191.89</v>
      </c>
    </row>
    <row r="54" spans="1:6" x14ac:dyDescent="0.2">
      <c r="A54" s="2" t="s">
        <v>5</v>
      </c>
      <c r="B54" s="2">
        <v>7</v>
      </c>
      <c r="C54" s="2">
        <v>12</v>
      </c>
      <c r="D54" s="2">
        <v>2021</v>
      </c>
      <c r="E54" s="2">
        <v>0</v>
      </c>
      <c r="F54" s="2">
        <v>190.65</v>
      </c>
    </row>
    <row r="55" spans="1:6" x14ac:dyDescent="0.2">
      <c r="A55" s="2" t="s">
        <v>20</v>
      </c>
      <c r="B55" s="2">
        <v>12</v>
      </c>
      <c r="C55" s="2">
        <v>2</v>
      </c>
      <c r="D55" s="2">
        <v>2021</v>
      </c>
      <c r="E55" s="2">
        <v>0</v>
      </c>
      <c r="F55" s="2">
        <v>188.16</v>
      </c>
    </row>
    <row r="56" spans="1:6" x14ac:dyDescent="0.2">
      <c r="A56" s="2" t="s">
        <v>29</v>
      </c>
      <c r="B56" s="2">
        <v>20</v>
      </c>
      <c r="C56" s="2">
        <v>12</v>
      </c>
      <c r="D56" s="2">
        <v>2021</v>
      </c>
      <c r="E56" s="2">
        <v>0</v>
      </c>
      <c r="F56" s="2">
        <v>187.86</v>
      </c>
    </row>
    <row r="57" spans="1:6" x14ac:dyDescent="0.2">
      <c r="A57" s="2" t="s">
        <v>25</v>
      </c>
      <c r="B57" s="2">
        <v>8</v>
      </c>
      <c r="C57" s="2">
        <v>2</v>
      </c>
      <c r="D57" s="2">
        <v>2021</v>
      </c>
      <c r="E57" s="2">
        <v>0</v>
      </c>
      <c r="F57" s="2">
        <v>187.6</v>
      </c>
    </row>
    <row r="58" spans="1:6" x14ac:dyDescent="0.2">
      <c r="A58" s="2" t="s">
        <v>31</v>
      </c>
      <c r="B58" s="2">
        <v>14</v>
      </c>
      <c r="C58" s="2">
        <v>10</v>
      </c>
      <c r="D58" s="2">
        <v>2021</v>
      </c>
      <c r="E58" s="2">
        <v>0</v>
      </c>
      <c r="F58" s="2">
        <v>187.55</v>
      </c>
    </row>
    <row r="59" spans="1:6" x14ac:dyDescent="0.2">
      <c r="A59" s="2" t="s">
        <v>26</v>
      </c>
      <c r="B59" s="2">
        <v>22</v>
      </c>
      <c r="C59" s="2">
        <v>12</v>
      </c>
      <c r="D59" s="2">
        <v>2021</v>
      </c>
      <c r="E59" s="2">
        <v>0</v>
      </c>
      <c r="F59" s="2">
        <v>186.93</v>
      </c>
    </row>
    <row r="60" spans="1:6" x14ac:dyDescent="0.2">
      <c r="A60" s="2" t="s">
        <v>22</v>
      </c>
      <c r="B60" s="2">
        <v>22</v>
      </c>
      <c r="C60" s="2">
        <v>11</v>
      </c>
      <c r="D60" s="2">
        <v>2021</v>
      </c>
      <c r="E60" s="1" t="s">
        <v>94</v>
      </c>
      <c r="F60" s="2">
        <v>186.9</v>
      </c>
    </row>
    <row r="61" spans="1:6" x14ac:dyDescent="0.2">
      <c r="A61" s="2" t="s">
        <v>28</v>
      </c>
      <c r="B61" s="2">
        <v>5</v>
      </c>
      <c r="C61" s="2">
        <v>3</v>
      </c>
      <c r="D61" s="2">
        <v>2021</v>
      </c>
      <c r="E61" s="2">
        <v>0</v>
      </c>
      <c r="F61" s="2">
        <v>186.62</v>
      </c>
    </row>
    <row r="62" spans="1:6" x14ac:dyDescent="0.2">
      <c r="A62" s="2" t="s">
        <v>19</v>
      </c>
      <c r="B62" s="2">
        <v>24</v>
      </c>
      <c r="C62" s="2">
        <v>11</v>
      </c>
      <c r="D62" s="2">
        <v>2021</v>
      </c>
      <c r="E62" s="1" t="s">
        <v>94</v>
      </c>
      <c r="F62" s="2">
        <v>186.6</v>
      </c>
    </row>
    <row r="63" spans="1:6" x14ac:dyDescent="0.2">
      <c r="A63" s="2" t="s">
        <v>98</v>
      </c>
      <c r="B63" s="2">
        <v>21</v>
      </c>
      <c r="C63" s="2">
        <v>2</v>
      </c>
      <c r="D63" s="2">
        <v>2021</v>
      </c>
      <c r="E63" s="1" t="s">
        <v>94</v>
      </c>
      <c r="F63" s="2">
        <v>186.2</v>
      </c>
    </row>
    <row r="64" spans="1:6" x14ac:dyDescent="0.2">
      <c r="A64" s="2" t="s">
        <v>24</v>
      </c>
      <c r="B64" s="2">
        <v>22</v>
      </c>
      <c r="C64" s="2">
        <v>12</v>
      </c>
      <c r="D64" s="2">
        <v>2021</v>
      </c>
      <c r="E64" s="2">
        <v>0</v>
      </c>
      <c r="F64" s="2">
        <v>186</v>
      </c>
    </row>
    <row r="65" spans="1:6" x14ac:dyDescent="0.2">
      <c r="A65" s="2" t="s">
        <v>32</v>
      </c>
      <c r="B65" s="2">
        <v>17</v>
      </c>
      <c r="C65" s="2">
        <v>4</v>
      </c>
      <c r="D65" s="2">
        <v>2021</v>
      </c>
      <c r="E65" s="2">
        <v>0</v>
      </c>
      <c r="F65" s="2">
        <v>185.7</v>
      </c>
    </row>
    <row r="66" spans="1:6" x14ac:dyDescent="0.2">
      <c r="A66" s="2" t="s">
        <v>29</v>
      </c>
      <c r="B66" s="2">
        <v>20</v>
      </c>
      <c r="C66" s="2">
        <v>11</v>
      </c>
      <c r="D66" s="2">
        <v>2021</v>
      </c>
      <c r="E66" s="2">
        <v>0</v>
      </c>
      <c r="F66" s="2">
        <v>185.4</v>
      </c>
    </row>
    <row r="67" spans="1:6" x14ac:dyDescent="0.2">
      <c r="A67" s="2" t="s">
        <v>25</v>
      </c>
      <c r="B67" s="2">
        <v>8</v>
      </c>
      <c r="C67" s="2">
        <v>11</v>
      </c>
      <c r="D67" s="2">
        <v>2021</v>
      </c>
      <c r="E67" s="2">
        <v>0</v>
      </c>
      <c r="F67" s="2">
        <v>185.1</v>
      </c>
    </row>
    <row r="68" spans="1:6" x14ac:dyDescent="0.2">
      <c r="A68" s="2" t="s">
        <v>23</v>
      </c>
      <c r="B68" s="2">
        <v>5</v>
      </c>
      <c r="C68" s="2">
        <v>2</v>
      </c>
      <c r="D68" s="2">
        <v>2021</v>
      </c>
      <c r="E68" s="2">
        <v>0</v>
      </c>
      <c r="F68" s="2">
        <v>184.8</v>
      </c>
    </row>
    <row r="69" spans="1:6" x14ac:dyDescent="0.2">
      <c r="A69" s="2" t="s">
        <v>12</v>
      </c>
      <c r="B69" s="2">
        <v>2</v>
      </c>
      <c r="C69" s="2">
        <v>12</v>
      </c>
      <c r="D69" s="2">
        <v>2021</v>
      </c>
      <c r="E69" s="2">
        <v>0</v>
      </c>
      <c r="F69" s="2">
        <v>184.14</v>
      </c>
    </row>
    <row r="70" spans="1:6" x14ac:dyDescent="0.2">
      <c r="A70" s="2" t="s">
        <v>14</v>
      </c>
      <c r="B70" s="2">
        <v>10</v>
      </c>
      <c r="C70" s="2">
        <v>11</v>
      </c>
      <c r="D70" s="2">
        <v>2021</v>
      </c>
      <c r="E70" s="2">
        <v>0</v>
      </c>
      <c r="F70" s="2">
        <v>183.9</v>
      </c>
    </row>
    <row r="71" spans="1:6" x14ac:dyDescent="0.2">
      <c r="A71" s="2" t="s">
        <v>30</v>
      </c>
      <c r="B71" s="2">
        <v>2</v>
      </c>
      <c r="C71" s="2">
        <v>3</v>
      </c>
      <c r="D71" s="2">
        <v>2021</v>
      </c>
      <c r="E71" s="2">
        <v>0</v>
      </c>
      <c r="F71" s="2">
        <v>183.83</v>
      </c>
    </row>
    <row r="72" spans="1:6" x14ac:dyDescent="0.2">
      <c r="A72" s="2" t="s">
        <v>27</v>
      </c>
      <c r="B72" s="2">
        <v>1</v>
      </c>
      <c r="C72" s="2">
        <v>4</v>
      </c>
      <c r="D72" s="2">
        <v>2021</v>
      </c>
      <c r="E72" s="2">
        <v>0</v>
      </c>
      <c r="F72" s="2">
        <v>183.3</v>
      </c>
    </row>
    <row r="73" spans="1:6" x14ac:dyDescent="0.2">
      <c r="A73" s="2" t="s">
        <v>18</v>
      </c>
      <c r="B73" s="2">
        <v>5</v>
      </c>
      <c r="C73" s="2">
        <v>1</v>
      </c>
      <c r="D73" s="2">
        <v>2021</v>
      </c>
      <c r="E73" s="1" t="s">
        <v>94</v>
      </c>
      <c r="F73" s="2">
        <v>182.9</v>
      </c>
    </row>
    <row r="74" spans="1:6" x14ac:dyDescent="0.2">
      <c r="A74" s="2" t="s">
        <v>6</v>
      </c>
      <c r="B74" s="2">
        <v>7</v>
      </c>
      <c r="C74" s="2">
        <v>2</v>
      </c>
      <c r="D74" s="2">
        <v>2021</v>
      </c>
      <c r="E74" s="2">
        <v>0</v>
      </c>
      <c r="F74" s="2">
        <v>182.84</v>
      </c>
    </row>
    <row r="75" spans="1:6" x14ac:dyDescent="0.2">
      <c r="A75" s="2" t="s">
        <v>21</v>
      </c>
      <c r="B75" s="2">
        <v>15</v>
      </c>
      <c r="C75" s="2">
        <v>1</v>
      </c>
      <c r="D75" s="2">
        <v>2021</v>
      </c>
      <c r="E75" s="2">
        <v>0</v>
      </c>
      <c r="F75" s="2">
        <v>182.28</v>
      </c>
    </row>
    <row r="76" spans="1:6" x14ac:dyDescent="0.2">
      <c r="A76" s="2" t="s">
        <v>31</v>
      </c>
      <c r="B76" s="2">
        <v>14</v>
      </c>
      <c r="C76" s="2">
        <v>3</v>
      </c>
      <c r="D76" s="2">
        <v>2021</v>
      </c>
      <c r="E76" s="2">
        <v>0</v>
      </c>
      <c r="F76" s="2">
        <v>181.97</v>
      </c>
    </row>
    <row r="77" spans="1:6" x14ac:dyDescent="0.2">
      <c r="A77" s="2" t="s">
        <v>29</v>
      </c>
      <c r="B77" s="2">
        <v>20</v>
      </c>
      <c r="C77" s="2">
        <v>1</v>
      </c>
      <c r="D77" s="2">
        <v>2021</v>
      </c>
      <c r="E77" s="2">
        <v>0</v>
      </c>
      <c r="F77" s="2">
        <v>181.66</v>
      </c>
    </row>
    <row r="78" spans="1:6" x14ac:dyDescent="0.2">
      <c r="A78" s="2" t="s">
        <v>30</v>
      </c>
      <c r="B78" s="2">
        <v>2</v>
      </c>
      <c r="C78" s="2">
        <v>10</v>
      </c>
      <c r="D78" s="2">
        <v>2021</v>
      </c>
      <c r="E78" s="2">
        <v>0</v>
      </c>
      <c r="F78" s="2">
        <v>181.66</v>
      </c>
    </row>
    <row r="79" spans="1:6" x14ac:dyDescent="0.2">
      <c r="A79" s="2" t="s">
        <v>32</v>
      </c>
      <c r="B79" s="2">
        <v>17</v>
      </c>
      <c r="C79" s="2">
        <v>9</v>
      </c>
      <c r="D79" s="2">
        <v>2021</v>
      </c>
      <c r="E79" s="2">
        <v>0</v>
      </c>
      <c r="F79" s="2">
        <v>181.2</v>
      </c>
    </row>
    <row r="80" spans="1:6" x14ac:dyDescent="0.2">
      <c r="A80" s="2" t="s">
        <v>26</v>
      </c>
      <c r="B80" s="2">
        <v>22</v>
      </c>
      <c r="C80" s="2">
        <v>2</v>
      </c>
      <c r="D80" s="2">
        <v>2021</v>
      </c>
      <c r="E80" s="2">
        <v>0</v>
      </c>
      <c r="F80" s="2">
        <v>180.88</v>
      </c>
    </row>
    <row r="81" spans="1:6" x14ac:dyDescent="0.2">
      <c r="A81" s="2" t="s">
        <v>99</v>
      </c>
      <c r="B81" s="2">
        <v>10</v>
      </c>
      <c r="C81" s="2">
        <v>1</v>
      </c>
      <c r="D81" s="2">
        <v>2021</v>
      </c>
      <c r="E81" s="1" t="s">
        <v>94</v>
      </c>
      <c r="F81" s="2">
        <v>180.73</v>
      </c>
    </row>
    <row r="82" spans="1:6" x14ac:dyDescent="0.2">
      <c r="A82" s="2" t="s">
        <v>28</v>
      </c>
      <c r="B82" s="2">
        <v>5</v>
      </c>
      <c r="C82" s="2">
        <v>2</v>
      </c>
      <c r="D82" s="2">
        <v>2021</v>
      </c>
      <c r="E82" s="2">
        <v>0</v>
      </c>
      <c r="F82" s="2">
        <v>180.32</v>
      </c>
    </row>
    <row r="83" spans="1:6" x14ac:dyDescent="0.2">
      <c r="A83" s="2" t="s">
        <v>98</v>
      </c>
      <c r="B83" s="2">
        <v>21</v>
      </c>
      <c r="C83" s="2">
        <v>11</v>
      </c>
      <c r="D83" s="2">
        <v>2021</v>
      </c>
      <c r="E83" s="1" t="s">
        <v>94</v>
      </c>
      <c r="F83" s="2">
        <v>180.3</v>
      </c>
    </row>
    <row r="84" spans="1:6" x14ac:dyDescent="0.2">
      <c r="A84" s="2" t="s">
        <v>17</v>
      </c>
      <c r="B84" s="2">
        <v>8</v>
      </c>
      <c r="C84" s="2">
        <v>2</v>
      </c>
      <c r="D84" s="2">
        <v>2021</v>
      </c>
      <c r="E84" s="2">
        <v>0</v>
      </c>
      <c r="F84" s="2">
        <v>180.04</v>
      </c>
    </row>
    <row r="85" spans="1:6" x14ac:dyDescent="0.2">
      <c r="A85" s="2" t="s">
        <v>21</v>
      </c>
      <c r="B85" s="2">
        <v>15</v>
      </c>
      <c r="C85" s="2">
        <v>2</v>
      </c>
      <c r="D85" s="2">
        <v>2021</v>
      </c>
      <c r="E85" s="2">
        <v>0</v>
      </c>
      <c r="F85" s="2">
        <v>179.48</v>
      </c>
    </row>
    <row r="86" spans="1:6" x14ac:dyDescent="0.2">
      <c r="A86" s="2" t="s">
        <v>22</v>
      </c>
      <c r="B86" s="2">
        <v>22</v>
      </c>
      <c r="C86" s="2">
        <v>4</v>
      </c>
      <c r="D86" s="2">
        <v>2021</v>
      </c>
      <c r="E86" s="2">
        <v>0</v>
      </c>
      <c r="F86" s="2">
        <v>179.4</v>
      </c>
    </row>
    <row r="87" spans="1:6" x14ac:dyDescent="0.2">
      <c r="A87" s="2" t="s">
        <v>19</v>
      </c>
      <c r="B87" s="2">
        <v>24</v>
      </c>
      <c r="C87" s="2">
        <v>12</v>
      </c>
      <c r="D87" s="2">
        <v>2021</v>
      </c>
      <c r="E87" s="2">
        <v>0</v>
      </c>
      <c r="F87" s="2">
        <v>179.18</v>
      </c>
    </row>
    <row r="88" spans="1:6" x14ac:dyDescent="0.2">
      <c r="A88" s="2" t="s">
        <v>24</v>
      </c>
      <c r="B88" s="2">
        <v>22</v>
      </c>
      <c r="C88" s="2">
        <v>11</v>
      </c>
      <c r="D88" s="2">
        <v>2021</v>
      </c>
      <c r="E88" s="2">
        <v>0</v>
      </c>
      <c r="F88" s="2">
        <v>179.1</v>
      </c>
    </row>
    <row r="89" spans="1:6" x14ac:dyDescent="0.2">
      <c r="A89" s="2" t="s">
        <v>27</v>
      </c>
      <c r="B89" s="2">
        <v>1</v>
      </c>
      <c r="C89" s="2">
        <v>3</v>
      </c>
      <c r="D89" s="2">
        <v>2021</v>
      </c>
      <c r="E89" s="2">
        <v>0</v>
      </c>
      <c r="F89" s="2">
        <v>178.25</v>
      </c>
    </row>
    <row r="90" spans="1:6" x14ac:dyDescent="0.2">
      <c r="A90" s="2" t="s">
        <v>24</v>
      </c>
      <c r="B90" s="2">
        <v>22</v>
      </c>
      <c r="C90" s="2">
        <v>1</v>
      </c>
      <c r="D90" s="2">
        <v>2021</v>
      </c>
      <c r="E90" s="2">
        <v>0</v>
      </c>
      <c r="F90" s="2">
        <v>177.94</v>
      </c>
    </row>
    <row r="91" spans="1:6" x14ac:dyDescent="0.2">
      <c r="A91" s="2" t="s">
        <v>8</v>
      </c>
      <c r="B91" s="2">
        <v>5</v>
      </c>
      <c r="C91" s="2">
        <v>2</v>
      </c>
      <c r="D91" s="2">
        <v>2021</v>
      </c>
      <c r="E91" s="2">
        <v>0</v>
      </c>
      <c r="F91" s="2">
        <v>177.8</v>
      </c>
    </row>
    <row r="92" spans="1:6" x14ac:dyDescent="0.2">
      <c r="A92" s="2" t="s">
        <v>18</v>
      </c>
      <c r="B92" s="2">
        <v>5</v>
      </c>
      <c r="C92" s="2">
        <v>2</v>
      </c>
      <c r="D92" s="2">
        <v>2021</v>
      </c>
      <c r="E92" s="2">
        <v>0</v>
      </c>
      <c r="F92" s="2">
        <v>177.8</v>
      </c>
    </row>
    <row r="93" spans="1:6" x14ac:dyDescent="0.2">
      <c r="A93" s="2" t="s">
        <v>12</v>
      </c>
      <c r="B93" s="2">
        <v>2</v>
      </c>
      <c r="C93" s="2">
        <v>2</v>
      </c>
      <c r="D93" s="2">
        <v>2021</v>
      </c>
      <c r="E93" s="2">
        <v>0</v>
      </c>
      <c r="F93" s="2">
        <v>177.52</v>
      </c>
    </row>
    <row r="94" spans="1:6" x14ac:dyDescent="0.2">
      <c r="A94" s="2" t="s">
        <v>16</v>
      </c>
      <c r="B94" s="2">
        <v>14</v>
      </c>
      <c r="C94" s="2">
        <v>12</v>
      </c>
      <c r="D94" s="2">
        <v>2021</v>
      </c>
      <c r="E94" s="1" t="s">
        <v>94</v>
      </c>
      <c r="F94" s="2">
        <v>177.32</v>
      </c>
    </row>
    <row r="95" spans="1:6" x14ac:dyDescent="0.2">
      <c r="A95" s="2" t="s">
        <v>21</v>
      </c>
      <c r="B95" s="2">
        <v>15</v>
      </c>
      <c r="C95" s="2">
        <v>11</v>
      </c>
      <c r="D95" s="2">
        <v>2021</v>
      </c>
      <c r="E95" s="2">
        <v>0</v>
      </c>
      <c r="F95" s="2">
        <v>176.7</v>
      </c>
    </row>
    <row r="96" spans="1:6" x14ac:dyDescent="0.2">
      <c r="A96" s="2" t="s">
        <v>10</v>
      </c>
      <c r="B96" s="2">
        <v>18</v>
      </c>
      <c r="C96" s="2">
        <v>12</v>
      </c>
      <c r="D96" s="2">
        <v>2021</v>
      </c>
      <c r="E96" s="2">
        <v>0</v>
      </c>
      <c r="F96" s="2">
        <v>176.7</v>
      </c>
    </row>
    <row r="97" spans="1:6" x14ac:dyDescent="0.2">
      <c r="A97" s="2" t="s">
        <v>98</v>
      </c>
      <c r="B97" s="2">
        <v>21</v>
      </c>
      <c r="C97" s="2">
        <v>1</v>
      </c>
      <c r="D97" s="2">
        <v>2021</v>
      </c>
      <c r="E97" s="1" t="s">
        <v>94</v>
      </c>
      <c r="F97" s="2">
        <v>176.39</v>
      </c>
    </row>
    <row r="98" spans="1:6" x14ac:dyDescent="0.2">
      <c r="A98" s="2" t="s">
        <v>8</v>
      </c>
      <c r="B98" s="2">
        <v>5</v>
      </c>
      <c r="C98" s="2">
        <v>11</v>
      </c>
      <c r="D98" s="2">
        <v>2021</v>
      </c>
      <c r="E98" s="2">
        <v>0</v>
      </c>
      <c r="F98" s="2">
        <v>176.1</v>
      </c>
    </row>
    <row r="99" spans="1:6" x14ac:dyDescent="0.2">
      <c r="A99" s="2" t="s">
        <v>15</v>
      </c>
      <c r="B99" s="2">
        <v>5</v>
      </c>
      <c r="C99" s="2">
        <v>1</v>
      </c>
      <c r="D99" s="2">
        <v>2021</v>
      </c>
      <c r="E99" s="1" t="s">
        <v>94</v>
      </c>
      <c r="F99" s="2">
        <v>176.08</v>
      </c>
    </row>
    <row r="100" spans="1:6" x14ac:dyDescent="0.2">
      <c r="A100" s="2" t="s">
        <v>7</v>
      </c>
      <c r="B100" s="2">
        <v>20</v>
      </c>
      <c r="C100" s="2">
        <v>1</v>
      </c>
      <c r="D100" s="2">
        <v>2021</v>
      </c>
      <c r="E100" s="2">
        <v>0</v>
      </c>
      <c r="F100" s="2">
        <v>176.08</v>
      </c>
    </row>
    <row r="101" spans="1:6" x14ac:dyDescent="0.2">
      <c r="A101" s="2" t="s">
        <v>15</v>
      </c>
      <c r="B101" s="2">
        <v>5</v>
      </c>
      <c r="C101" s="2">
        <v>2</v>
      </c>
      <c r="D101" s="2">
        <v>2021</v>
      </c>
      <c r="E101" s="2">
        <v>0</v>
      </c>
      <c r="F101" s="2">
        <v>175.84</v>
      </c>
    </row>
    <row r="102" spans="1:6" x14ac:dyDescent="0.2">
      <c r="A102" s="2" t="s">
        <v>9</v>
      </c>
      <c r="B102" s="2">
        <v>22</v>
      </c>
      <c r="C102" s="2">
        <v>12</v>
      </c>
      <c r="D102" s="2">
        <v>2021</v>
      </c>
      <c r="E102" s="2">
        <v>0</v>
      </c>
      <c r="F102" s="2">
        <v>175.77</v>
      </c>
    </row>
    <row r="103" spans="1:6" x14ac:dyDescent="0.2">
      <c r="A103" s="2" t="s">
        <v>25</v>
      </c>
      <c r="B103" s="2">
        <v>8</v>
      </c>
      <c r="C103" s="2">
        <v>1</v>
      </c>
      <c r="D103" s="2">
        <v>2021</v>
      </c>
      <c r="E103" s="2">
        <v>0</v>
      </c>
      <c r="F103" s="2">
        <v>175.46</v>
      </c>
    </row>
    <row r="104" spans="1:6" x14ac:dyDescent="0.2">
      <c r="A104" s="2" t="s">
        <v>31</v>
      </c>
      <c r="B104" s="2">
        <v>14</v>
      </c>
      <c r="C104" s="2">
        <v>4</v>
      </c>
      <c r="D104" s="2">
        <v>2021</v>
      </c>
      <c r="E104" s="2">
        <v>0</v>
      </c>
      <c r="F104" s="2">
        <v>174.9</v>
      </c>
    </row>
    <row r="105" spans="1:6" x14ac:dyDescent="0.2">
      <c r="A105" s="2" t="s">
        <v>13</v>
      </c>
      <c r="B105" s="2">
        <v>7</v>
      </c>
      <c r="C105" s="2">
        <v>1</v>
      </c>
      <c r="D105" s="2">
        <v>2021</v>
      </c>
      <c r="E105" s="1" t="s">
        <v>94</v>
      </c>
      <c r="F105" s="2">
        <v>174.84</v>
      </c>
    </row>
    <row r="106" spans="1:6" x14ac:dyDescent="0.2">
      <c r="A106" s="2" t="s">
        <v>26</v>
      </c>
      <c r="B106" s="2">
        <v>22</v>
      </c>
      <c r="C106" s="2">
        <v>4</v>
      </c>
      <c r="D106" s="2">
        <v>2021</v>
      </c>
      <c r="E106" s="2">
        <v>0</v>
      </c>
      <c r="F106" s="2">
        <v>174.6</v>
      </c>
    </row>
    <row r="107" spans="1:6" x14ac:dyDescent="0.2">
      <c r="A107" s="2" t="s">
        <v>3</v>
      </c>
      <c r="B107" s="2">
        <v>25</v>
      </c>
      <c r="C107" s="2">
        <v>11</v>
      </c>
      <c r="D107" s="2">
        <v>2021</v>
      </c>
      <c r="E107" s="2">
        <v>0</v>
      </c>
      <c r="F107" s="2">
        <v>174</v>
      </c>
    </row>
    <row r="108" spans="1:6" x14ac:dyDescent="0.2">
      <c r="A108" s="2" t="s">
        <v>5</v>
      </c>
      <c r="B108" s="2">
        <v>7</v>
      </c>
      <c r="C108" s="2">
        <v>11</v>
      </c>
      <c r="D108" s="2">
        <v>2021</v>
      </c>
      <c r="E108" s="1" t="s">
        <v>94</v>
      </c>
      <c r="F108" s="2">
        <v>173.1</v>
      </c>
    </row>
    <row r="109" spans="1:6" x14ac:dyDescent="0.2">
      <c r="A109" s="2" t="s">
        <v>100</v>
      </c>
      <c r="B109" s="2">
        <v>1</v>
      </c>
      <c r="C109" s="2">
        <v>12</v>
      </c>
      <c r="D109" s="2">
        <v>2021</v>
      </c>
      <c r="E109" s="1" t="s">
        <v>94</v>
      </c>
      <c r="F109" s="2">
        <v>172.67</v>
      </c>
    </row>
    <row r="110" spans="1:6" x14ac:dyDescent="0.2">
      <c r="A110" s="2" t="s">
        <v>24</v>
      </c>
      <c r="B110" s="2">
        <v>22</v>
      </c>
      <c r="C110" s="2">
        <v>2</v>
      </c>
      <c r="D110" s="2">
        <v>2021</v>
      </c>
      <c r="E110" s="2">
        <v>0</v>
      </c>
      <c r="F110" s="2">
        <v>172.48</v>
      </c>
    </row>
    <row r="111" spans="1:6" x14ac:dyDescent="0.2">
      <c r="A111" s="2" t="s">
        <v>15</v>
      </c>
      <c r="B111" s="2">
        <v>5</v>
      </c>
      <c r="C111" s="2">
        <v>10</v>
      </c>
      <c r="D111" s="2">
        <v>2021</v>
      </c>
      <c r="E111" s="2">
        <v>0</v>
      </c>
      <c r="F111" s="2">
        <v>172.36</v>
      </c>
    </row>
    <row r="112" spans="1:6" x14ac:dyDescent="0.2">
      <c r="A112" s="2" t="s">
        <v>99</v>
      </c>
      <c r="B112" s="2">
        <v>10</v>
      </c>
      <c r="C112" s="2">
        <v>11</v>
      </c>
      <c r="D112" s="2">
        <v>2021</v>
      </c>
      <c r="E112" s="1" t="s">
        <v>94</v>
      </c>
      <c r="F112" s="2">
        <v>172.2</v>
      </c>
    </row>
    <row r="113" spans="1:6" x14ac:dyDescent="0.2">
      <c r="A113" s="2" t="s">
        <v>12</v>
      </c>
      <c r="B113" s="2">
        <v>2</v>
      </c>
      <c r="C113" s="2">
        <v>11</v>
      </c>
      <c r="D113" s="2">
        <v>2021</v>
      </c>
      <c r="E113" s="2">
        <v>0</v>
      </c>
      <c r="F113" s="2">
        <v>171.9</v>
      </c>
    </row>
    <row r="114" spans="1:6" x14ac:dyDescent="0.2">
      <c r="A114" s="2" t="s">
        <v>15</v>
      </c>
      <c r="B114" s="2">
        <v>5</v>
      </c>
      <c r="C114" s="2">
        <v>11</v>
      </c>
      <c r="D114" s="2">
        <v>2021</v>
      </c>
      <c r="E114" s="2">
        <v>0</v>
      </c>
      <c r="F114" s="2">
        <v>171.6</v>
      </c>
    </row>
    <row r="115" spans="1:6" x14ac:dyDescent="0.2">
      <c r="A115" s="2" t="s">
        <v>13</v>
      </c>
      <c r="B115" s="2">
        <v>7</v>
      </c>
      <c r="C115" s="2">
        <v>11</v>
      </c>
      <c r="D115" s="2">
        <v>2021</v>
      </c>
      <c r="E115" s="2">
        <v>0</v>
      </c>
      <c r="F115" s="2">
        <v>171.6</v>
      </c>
    </row>
    <row r="116" spans="1:6" x14ac:dyDescent="0.2">
      <c r="A116" s="2" t="s">
        <v>7</v>
      </c>
      <c r="B116" s="2">
        <v>20</v>
      </c>
      <c r="C116" s="2">
        <v>12</v>
      </c>
      <c r="D116" s="2">
        <v>2021</v>
      </c>
      <c r="E116" s="2">
        <v>0</v>
      </c>
      <c r="F116" s="2">
        <v>171.43</v>
      </c>
    </row>
    <row r="117" spans="1:6" x14ac:dyDescent="0.2">
      <c r="A117" s="2" t="s">
        <v>6</v>
      </c>
      <c r="B117" s="2">
        <v>7</v>
      </c>
      <c r="C117" s="2">
        <v>11</v>
      </c>
      <c r="D117" s="2">
        <v>2021</v>
      </c>
      <c r="E117" s="2">
        <v>0</v>
      </c>
      <c r="F117" s="2">
        <v>171</v>
      </c>
    </row>
    <row r="118" spans="1:6" x14ac:dyDescent="0.2">
      <c r="A118" s="2" t="s">
        <v>5</v>
      </c>
      <c r="B118" s="2">
        <v>7</v>
      </c>
      <c r="C118" s="2">
        <v>2</v>
      </c>
      <c r="D118" s="2">
        <v>2021</v>
      </c>
      <c r="E118" s="2">
        <v>0</v>
      </c>
      <c r="F118" s="2">
        <v>170.8</v>
      </c>
    </row>
    <row r="119" spans="1:6" x14ac:dyDescent="0.2">
      <c r="A119" s="2" t="s">
        <v>13</v>
      </c>
      <c r="B119" s="2">
        <v>7</v>
      </c>
      <c r="C119" s="2">
        <v>12</v>
      </c>
      <c r="D119" s="2">
        <v>2021</v>
      </c>
      <c r="E119" s="2">
        <v>0</v>
      </c>
      <c r="F119" s="2">
        <v>170.5</v>
      </c>
    </row>
    <row r="120" spans="1:6" x14ac:dyDescent="0.2">
      <c r="A120" s="2" t="s">
        <v>25</v>
      </c>
      <c r="B120" s="2">
        <v>8</v>
      </c>
      <c r="C120" s="2">
        <v>12</v>
      </c>
      <c r="D120" s="2">
        <v>2021</v>
      </c>
      <c r="E120" s="2">
        <v>0</v>
      </c>
      <c r="F120" s="2">
        <v>170.5</v>
      </c>
    </row>
    <row r="121" spans="1:6" x14ac:dyDescent="0.2">
      <c r="A121" s="2" t="s">
        <v>10</v>
      </c>
      <c r="B121" s="2">
        <v>18</v>
      </c>
      <c r="C121" s="2">
        <v>2</v>
      </c>
      <c r="D121" s="2">
        <v>2021</v>
      </c>
      <c r="E121" s="2">
        <v>0</v>
      </c>
      <c r="F121" s="2">
        <v>170.24</v>
      </c>
    </row>
    <row r="122" spans="1:6" x14ac:dyDescent="0.2">
      <c r="A122" s="2" t="s">
        <v>16</v>
      </c>
      <c r="B122" s="2">
        <v>14</v>
      </c>
      <c r="C122" s="2">
        <v>11</v>
      </c>
      <c r="D122" s="2">
        <v>2021</v>
      </c>
      <c r="E122" s="2">
        <v>0</v>
      </c>
      <c r="F122" s="2">
        <v>168.6</v>
      </c>
    </row>
    <row r="123" spans="1:6" x14ac:dyDescent="0.2">
      <c r="A123" s="2" t="s">
        <v>9</v>
      </c>
      <c r="B123" s="2">
        <v>22</v>
      </c>
      <c r="C123" s="2">
        <v>2</v>
      </c>
      <c r="D123" s="2">
        <v>2021</v>
      </c>
      <c r="E123" s="1" t="s">
        <v>94</v>
      </c>
      <c r="F123" s="2">
        <v>168.56</v>
      </c>
    </row>
    <row r="124" spans="1:6" x14ac:dyDescent="0.2">
      <c r="A124" s="2" t="s">
        <v>19</v>
      </c>
      <c r="B124" s="2">
        <v>24</v>
      </c>
      <c r="C124" s="2">
        <v>1</v>
      </c>
      <c r="D124" s="2">
        <v>2021</v>
      </c>
      <c r="E124" s="2">
        <v>0</v>
      </c>
      <c r="F124" s="2">
        <v>168.02</v>
      </c>
    </row>
    <row r="125" spans="1:6" x14ac:dyDescent="0.2">
      <c r="A125" s="2" t="s">
        <v>10</v>
      </c>
      <c r="B125" s="2">
        <v>18</v>
      </c>
      <c r="C125" s="2">
        <v>1</v>
      </c>
      <c r="D125" s="2">
        <v>2021</v>
      </c>
      <c r="E125" s="2">
        <v>0</v>
      </c>
      <c r="F125" s="2">
        <v>167.4</v>
      </c>
    </row>
    <row r="126" spans="1:6" x14ac:dyDescent="0.2">
      <c r="A126" s="2" t="s">
        <v>4</v>
      </c>
      <c r="B126" s="2">
        <v>1</v>
      </c>
      <c r="C126" s="2">
        <v>12</v>
      </c>
      <c r="D126" s="2">
        <v>2021</v>
      </c>
      <c r="E126" s="1" t="s">
        <v>94</v>
      </c>
      <c r="F126" s="2">
        <v>167.09</v>
      </c>
    </row>
    <row r="127" spans="1:6" x14ac:dyDescent="0.2">
      <c r="A127" s="2" t="s">
        <v>25</v>
      </c>
      <c r="B127" s="2">
        <v>8</v>
      </c>
      <c r="C127" s="2">
        <v>10</v>
      </c>
      <c r="D127" s="2">
        <v>2021</v>
      </c>
      <c r="E127" s="2">
        <v>0</v>
      </c>
      <c r="F127" s="2">
        <v>167.09</v>
      </c>
    </row>
    <row r="128" spans="1:6" x14ac:dyDescent="0.2">
      <c r="A128" s="2" t="s">
        <v>14</v>
      </c>
      <c r="B128" s="2">
        <v>10</v>
      </c>
      <c r="C128" s="2">
        <v>1</v>
      </c>
      <c r="D128" s="2">
        <v>2021</v>
      </c>
      <c r="E128" s="2">
        <v>0</v>
      </c>
      <c r="F128" s="2">
        <v>166.78</v>
      </c>
    </row>
    <row r="129" spans="1:6" x14ac:dyDescent="0.2">
      <c r="A129" s="2" t="s">
        <v>32</v>
      </c>
      <c r="B129" s="2">
        <v>17</v>
      </c>
      <c r="C129" s="2">
        <v>6</v>
      </c>
      <c r="D129" s="2">
        <v>2021</v>
      </c>
      <c r="E129" s="2">
        <v>0</v>
      </c>
      <c r="F129" s="2">
        <v>166.5</v>
      </c>
    </row>
    <row r="130" spans="1:6" x14ac:dyDescent="0.2">
      <c r="A130" s="2" t="s">
        <v>16</v>
      </c>
      <c r="B130" s="2">
        <v>14</v>
      </c>
      <c r="C130" s="2">
        <v>10</v>
      </c>
      <c r="D130" s="2">
        <v>2021</v>
      </c>
      <c r="E130" s="2">
        <v>0</v>
      </c>
      <c r="F130" s="2">
        <v>166.47</v>
      </c>
    </row>
    <row r="131" spans="1:6" x14ac:dyDescent="0.2">
      <c r="A131" s="2" t="s">
        <v>14</v>
      </c>
      <c r="B131" s="2">
        <v>10</v>
      </c>
      <c r="C131" s="2">
        <v>2</v>
      </c>
      <c r="D131" s="2">
        <v>2021</v>
      </c>
      <c r="E131" s="2">
        <v>0</v>
      </c>
      <c r="F131" s="2">
        <v>166.32</v>
      </c>
    </row>
    <row r="132" spans="1:6" x14ac:dyDescent="0.2">
      <c r="A132" s="2" t="s">
        <v>31</v>
      </c>
      <c r="B132" s="2">
        <v>14</v>
      </c>
      <c r="C132" s="2">
        <v>9</v>
      </c>
      <c r="D132" s="2">
        <v>2021</v>
      </c>
      <c r="E132" s="2">
        <v>0</v>
      </c>
      <c r="F132" s="2">
        <v>165.9</v>
      </c>
    </row>
    <row r="133" spans="1:6" x14ac:dyDescent="0.2">
      <c r="A133" s="2" t="s">
        <v>20</v>
      </c>
      <c r="B133" s="2">
        <v>12</v>
      </c>
      <c r="C133" s="2">
        <v>3</v>
      </c>
      <c r="D133" s="2">
        <v>2021</v>
      </c>
      <c r="E133" s="2">
        <v>0</v>
      </c>
      <c r="F133" s="2">
        <v>165.85</v>
      </c>
    </row>
    <row r="134" spans="1:6" x14ac:dyDescent="0.2">
      <c r="A134" s="2" t="s">
        <v>26</v>
      </c>
      <c r="B134" s="2">
        <v>22</v>
      </c>
      <c r="C134" s="2">
        <v>3</v>
      </c>
      <c r="D134" s="2">
        <v>2021</v>
      </c>
      <c r="E134" s="1" t="s">
        <v>94</v>
      </c>
      <c r="F134" s="2">
        <v>165.54</v>
      </c>
    </row>
    <row r="135" spans="1:6" x14ac:dyDescent="0.2">
      <c r="A135" s="2" t="s">
        <v>28</v>
      </c>
      <c r="B135" s="2">
        <v>5</v>
      </c>
      <c r="C135" s="2">
        <v>10</v>
      </c>
      <c r="D135" s="2">
        <v>2021</v>
      </c>
      <c r="E135" s="2">
        <v>0</v>
      </c>
      <c r="F135" s="2">
        <v>165.54</v>
      </c>
    </row>
    <row r="136" spans="1:6" x14ac:dyDescent="0.2">
      <c r="A136" s="2" t="s">
        <v>22</v>
      </c>
      <c r="B136" s="2">
        <v>22</v>
      </c>
      <c r="C136" s="2">
        <v>10</v>
      </c>
      <c r="D136" s="2">
        <v>2021</v>
      </c>
      <c r="E136" s="2">
        <v>0</v>
      </c>
      <c r="F136" s="2">
        <v>165.54</v>
      </c>
    </row>
    <row r="137" spans="1:6" x14ac:dyDescent="0.2">
      <c r="A137" s="2" t="s">
        <v>23</v>
      </c>
      <c r="B137" s="2">
        <v>5</v>
      </c>
      <c r="C137" s="2">
        <v>4</v>
      </c>
      <c r="D137" s="2">
        <v>2021</v>
      </c>
      <c r="E137" s="2">
        <v>0</v>
      </c>
      <c r="F137" s="2">
        <v>165.3</v>
      </c>
    </row>
    <row r="138" spans="1:6" x14ac:dyDescent="0.2">
      <c r="A138" s="2" t="s">
        <v>99</v>
      </c>
      <c r="B138" s="2">
        <v>10</v>
      </c>
      <c r="C138" s="2">
        <v>12</v>
      </c>
      <c r="D138" s="2">
        <v>2021</v>
      </c>
      <c r="E138" s="1" t="s">
        <v>94</v>
      </c>
      <c r="F138" s="2">
        <v>165.23</v>
      </c>
    </row>
    <row r="139" spans="1:6" x14ac:dyDescent="0.2">
      <c r="A139" s="2" t="s">
        <v>17</v>
      </c>
      <c r="B139" s="2">
        <v>8</v>
      </c>
      <c r="C139" s="2">
        <v>12</v>
      </c>
      <c r="D139" s="2">
        <v>2021</v>
      </c>
      <c r="E139" s="2">
        <v>0</v>
      </c>
      <c r="F139" s="2">
        <v>165.23</v>
      </c>
    </row>
    <row r="140" spans="1:6" x14ac:dyDescent="0.2">
      <c r="A140" s="2" t="s">
        <v>13</v>
      </c>
      <c r="B140" s="2">
        <v>7</v>
      </c>
      <c r="C140" s="2">
        <v>2</v>
      </c>
      <c r="D140" s="2">
        <v>2021</v>
      </c>
      <c r="E140" s="2">
        <v>0</v>
      </c>
      <c r="F140" s="2">
        <v>165.2</v>
      </c>
    </row>
    <row r="141" spans="1:6" x14ac:dyDescent="0.2">
      <c r="A141" s="2" t="s">
        <v>28</v>
      </c>
      <c r="B141" s="2">
        <v>5</v>
      </c>
      <c r="C141" s="2">
        <v>7</v>
      </c>
      <c r="D141" s="2">
        <v>2021</v>
      </c>
      <c r="E141" s="2">
        <v>0</v>
      </c>
      <c r="F141" s="2">
        <v>164.92</v>
      </c>
    </row>
    <row r="142" spans="1:6" x14ac:dyDescent="0.2">
      <c r="A142" s="2" t="s">
        <v>11</v>
      </c>
      <c r="B142" s="2">
        <v>15</v>
      </c>
      <c r="C142" s="2">
        <v>2</v>
      </c>
      <c r="D142" s="2">
        <v>2021</v>
      </c>
      <c r="E142" s="2">
        <v>0</v>
      </c>
      <c r="F142" s="2">
        <v>164.64</v>
      </c>
    </row>
    <row r="143" spans="1:6" x14ac:dyDescent="0.2">
      <c r="A143" s="2" t="s">
        <v>15</v>
      </c>
      <c r="B143" s="2">
        <v>5</v>
      </c>
      <c r="C143" s="2">
        <v>3</v>
      </c>
      <c r="D143" s="2">
        <v>2021</v>
      </c>
      <c r="E143" s="2">
        <v>0</v>
      </c>
      <c r="F143" s="2">
        <v>164.61</v>
      </c>
    </row>
    <row r="144" spans="1:6" x14ac:dyDescent="0.2">
      <c r="A144" s="2" t="s">
        <v>32</v>
      </c>
      <c r="B144" s="2">
        <v>17</v>
      </c>
      <c r="C144" s="2">
        <v>5</v>
      </c>
      <c r="D144" s="2">
        <v>2021</v>
      </c>
      <c r="E144" s="2">
        <v>0</v>
      </c>
      <c r="F144" s="2">
        <v>164.61</v>
      </c>
    </row>
    <row r="145" spans="1:6" x14ac:dyDescent="0.2">
      <c r="A145" s="2" t="s">
        <v>32</v>
      </c>
      <c r="B145" s="2">
        <v>17</v>
      </c>
      <c r="C145" s="2">
        <v>7</v>
      </c>
      <c r="D145" s="2">
        <v>2021</v>
      </c>
      <c r="E145" s="2">
        <v>0</v>
      </c>
      <c r="F145" s="2">
        <v>163.99</v>
      </c>
    </row>
    <row r="146" spans="1:6" x14ac:dyDescent="0.2">
      <c r="A146" s="2" t="s">
        <v>19</v>
      </c>
      <c r="B146" s="2">
        <v>24</v>
      </c>
      <c r="C146" s="2">
        <v>2</v>
      </c>
      <c r="D146" s="2">
        <v>2021</v>
      </c>
      <c r="E146" s="2">
        <v>0</v>
      </c>
      <c r="F146" s="2">
        <v>163.80000000000001</v>
      </c>
    </row>
    <row r="147" spans="1:6" x14ac:dyDescent="0.2">
      <c r="A147" s="2" t="s">
        <v>98</v>
      </c>
      <c r="B147" s="2">
        <v>21</v>
      </c>
      <c r="C147" s="2">
        <v>3</v>
      </c>
      <c r="D147" s="2">
        <v>2021</v>
      </c>
      <c r="E147" s="1" t="s">
        <v>94</v>
      </c>
      <c r="F147" s="2">
        <v>163.68</v>
      </c>
    </row>
    <row r="148" spans="1:6" x14ac:dyDescent="0.2">
      <c r="A148" s="2" t="s">
        <v>97</v>
      </c>
      <c r="B148" s="2">
        <v>12</v>
      </c>
      <c r="C148" s="2">
        <v>12</v>
      </c>
      <c r="D148" s="2">
        <v>2021</v>
      </c>
      <c r="E148" s="1" t="s">
        <v>94</v>
      </c>
      <c r="F148" s="2">
        <v>163.68</v>
      </c>
    </row>
    <row r="149" spans="1:6" x14ac:dyDescent="0.2">
      <c r="A149" s="2" t="s">
        <v>3</v>
      </c>
      <c r="B149" s="2">
        <v>25</v>
      </c>
      <c r="C149" s="2">
        <v>12</v>
      </c>
      <c r="D149" s="2">
        <v>2021</v>
      </c>
      <c r="E149" s="2">
        <v>0</v>
      </c>
      <c r="F149" s="2">
        <v>163.68</v>
      </c>
    </row>
    <row r="150" spans="1:6" x14ac:dyDescent="0.2">
      <c r="A150" s="2" t="s">
        <v>28</v>
      </c>
      <c r="B150" s="2">
        <v>5</v>
      </c>
      <c r="C150" s="2">
        <v>4</v>
      </c>
      <c r="D150" s="2">
        <v>2021</v>
      </c>
      <c r="E150" s="1" t="s">
        <v>94</v>
      </c>
      <c r="F150" s="2">
        <v>163.19999999999999</v>
      </c>
    </row>
    <row r="151" spans="1:6" x14ac:dyDescent="0.2">
      <c r="A151" s="2" t="s">
        <v>30</v>
      </c>
      <c r="B151" s="2">
        <v>2</v>
      </c>
      <c r="C151" s="2">
        <v>7</v>
      </c>
      <c r="D151" s="2">
        <v>2021</v>
      </c>
      <c r="E151" s="2">
        <v>0</v>
      </c>
      <c r="F151" s="2">
        <v>163.06</v>
      </c>
    </row>
    <row r="152" spans="1:6" x14ac:dyDescent="0.2">
      <c r="A152" s="2" t="s">
        <v>8</v>
      </c>
      <c r="B152" s="2">
        <v>5</v>
      </c>
      <c r="C152" s="2">
        <v>4</v>
      </c>
      <c r="D152" s="2">
        <v>2021</v>
      </c>
      <c r="E152" s="2">
        <v>0</v>
      </c>
      <c r="F152" s="2">
        <v>162.6</v>
      </c>
    </row>
    <row r="153" spans="1:6" x14ac:dyDescent="0.2">
      <c r="A153" s="2" t="s">
        <v>30</v>
      </c>
      <c r="B153" s="2">
        <v>2</v>
      </c>
      <c r="C153" s="2">
        <v>6</v>
      </c>
      <c r="D153" s="2">
        <v>2021</v>
      </c>
      <c r="E153" s="2">
        <v>0</v>
      </c>
      <c r="F153" s="2">
        <v>162.30000000000001</v>
      </c>
    </row>
    <row r="154" spans="1:6" x14ac:dyDescent="0.2">
      <c r="A154" s="2" t="s">
        <v>5</v>
      </c>
      <c r="B154" s="2">
        <v>7</v>
      </c>
      <c r="C154" s="2">
        <v>1</v>
      </c>
      <c r="D154" s="2">
        <v>2021</v>
      </c>
      <c r="E154" s="1" t="s">
        <v>94</v>
      </c>
      <c r="F154" s="2">
        <v>161.19999999999999</v>
      </c>
    </row>
    <row r="155" spans="1:6" x14ac:dyDescent="0.2">
      <c r="A155" s="2" t="s">
        <v>32</v>
      </c>
      <c r="B155" s="2">
        <v>17</v>
      </c>
      <c r="C155" s="2">
        <v>8</v>
      </c>
      <c r="D155" s="2">
        <v>2021</v>
      </c>
      <c r="E155" s="2">
        <v>0</v>
      </c>
      <c r="F155" s="2">
        <v>160.88999999999999</v>
      </c>
    </row>
    <row r="156" spans="1:6" x14ac:dyDescent="0.2">
      <c r="A156" s="2" t="s">
        <v>100</v>
      </c>
      <c r="B156" s="2">
        <v>1</v>
      </c>
      <c r="C156" s="2">
        <v>11</v>
      </c>
      <c r="D156" s="2">
        <v>2021</v>
      </c>
      <c r="E156" s="1" t="s">
        <v>94</v>
      </c>
      <c r="F156" s="2">
        <v>160.80000000000001</v>
      </c>
    </row>
    <row r="157" spans="1:6" x14ac:dyDescent="0.2">
      <c r="A157" s="2" t="s">
        <v>29</v>
      </c>
      <c r="B157" s="2">
        <v>20</v>
      </c>
      <c r="C157" s="2">
        <v>10</v>
      </c>
      <c r="D157" s="2">
        <v>2021</v>
      </c>
      <c r="E157" s="2">
        <v>0</v>
      </c>
      <c r="F157" s="2">
        <v>160.27000000000001</v>
      </c>
    </row>
    <row r="158" spans="1:6" x14ac:dyDescent="0.2">
      <c r="A158" s="2" t="s">
        <v>7</v>
      </c>
      <c r="B158" s="2">
        <v>20</v>
      </c>
      <c r="C158" s="2">
        <v>2</v>
      </c>
      <c r="D158" s="2">
        <v>2021</v>
      </c>
      <c r="E158" s="2">
        <v>0</v>
      </c>
      <c r="F158" s="2">
        <v>159.88</v>
      </c>
    </row>
    <row r="159" spans="1:6" x14ac:dyDescent="0.2">
      <c r="A159" s="2" t="s">
        <v>25</v>
      </c>
      <c r="B159" s="2">
        <v>8</v>
      </c>
      <c r="C159" s="2">
        <v>3</v>
      </c>
      <c r="D159" s="2">
        <v>2021</v>
      </c>
      <c r="E159" s="2">
        <v>0</v>
      </c>
      <c r="F159" s="2">
        <v>159.65</v>
      </c>
    </row>
    <row r="160" spans="1:6" x14ac:dyDescent="0.2">
      <c r="A160" s="2" t="s">
        <v>18</v>
      </c>
      <c r="B160" s="2">
        <v>5</v>
      </c>
      <c r="C160" s="2">
        <v>3</v>
      </c>
      <c r="D160" s="2">
        <v>2021</v>
      </c>
      <c r="E160" s="2">
        <v>0</v>
      </c>
      <c r="F160" s="2">
        <v>159.03</v>
      </c>
    </row>
    <row r="161" spans="1:6" x14ac:dyDescent="0.2">
      <c r="A161" s="2" t="s">
        <v>29</v>
      </c>
      <c r="B161" s="2">
        <v>20</v>
      </c>
      <c r="C161" s="2">
        <v>3</v>
      </c>
      <c r="D161" s="2">
        <v>2021</v>
      </c>
      <c r="E161" s="2">
        <v>0</v>
      </c>
      <c r="F161" s="2">
        <v>159.03</v>
      </c>
    </row>
    <row r="162" spans="1:6" x14ac:dyDescent="0.2">
      <c r="A162" s="2" t="s">
        <v>2</v>
      </c>
      <c r="B162" s="2">
        <v>18</v>
      </c>
      <c r="C162" s="2">
        <v>12</v>
      </c>
      <c r="D162" s="2">
        <v>2021</v>
      </c>
      <c r="E162" s="2">
        <v>0</v>
      </c>
      <c r="F162" s="2">
        <v>158.41</v>
      </c>
    </row>
    <row r="163" spans="1:6" x14ac:dyDescent="0.2">
      <c r="A163" s="2" t="s">
        <v>17</v>
      </c>
      <c r="B163" s="2">
        <v>8</v>
      </c>
      <c r="C163" s="2">
        <v>11</v>
      </c>
      <c r="D163" s="2">
        <v>2021</v>
      </c>
      <c r="E163" s="2">
        <v>0</v>
      </c>
      <c r="F163" s="2">
        <v>158.4</v>
      </c>
    </row>
    <row r="164" spans="1:6" x14ac:dyDescent="0.2">
      <c r="A164" s="2" t="s">
        <v>100</v>
      </c>
      <c r="B164" s="2">
        <v>1</v>
      </c>
      <c r="C164" s="2">
        <v>1</v>
      </c>
      <c r="D164" s="2">
        <v>2021</v>
      </c>
      <c r="E164" s="1" t="s">
        <v>94</v>
      </c>
      <c r="F164" s="2">
        <v>158.1</v>
      </c>
    </row>
    <row r="165" spans="1:6" x14ac:dyDescent="0.2">
      <c r="A165" s="2" t="s">
        <v>31</v>
      </c>
      <c r="B165" s="2">
        <v>14</v>
      </c>
      <c r="C165" s="2">
        <v>6</v>
      </c>
      <c r="D165" s="2">
        <v>2021</v>
      </c>
      <c r="E165" s="2">
        <v>0</v>
      </c>
      <c r="F165" s="2">
        <v>158.1</v>
      </c>
    </row>
    <row r="166" spans="1:6" x14ac:dyDescent="0.2">
      <c r="A166" s="2" t="s">
        <v>23</v>
      </c>
      <c r="B166" s="2">
        <v>5</v>
      </c>
      <c r="C166" s="2">
        <v>3</v>
      </c>
      <c r="D166" s="2">
        <v>2021</v>
      </c>
      <c r="E166" s="2">
        <v>0</v>
      </c>
      <c r="F166" s="2">
        <v>157.79</v>
      </c>
    </row>
    <row r="167" spans="1:6" x14ac:dyDescent="0.2">
      <c r="A167" s="2" t="s">
        <v>7</v>
      </c>
      <c r="B167" s="2">
        <v>20</v>
      </c>
      <c r="C167" s="2">
        <v>11</v>
      </c>
      <c r="D167" s="2">
        <v>2021</v>
      </c>
      <c r="E167" s="2">
        <v>0</v>
      </c>
      <c r="F167" s="2">
        <v>157.5</v>
      </c>
    </row>
    <row r="168" spans="1:6" x14ac:dyDescent="0.2">
      <c r="A168" s="2" t="s">
        <v>25</v>
      </c>
      <c r="B168" s="2">
        <v>8</v>
      </c>
      <c r="C168" s="2">
        <v>4</v>
      </c>
      <c r="D168" s="2">
        <v>2021</v>
      </c>
      <c r="E168" s="2">
        <v>0</v>
      </c>
      <c r="F168" s="2">
        <v>157.19999999999999</v>
      </c>
    </row>
    <row r="169" spans="1:6" x14ac:dyDescent="0.2">
      <c r="A169" s="2" t="s">
        <v>24</v>
      </c>
      <c r="B169" s="2">
        <v>22</v>
      </c>
      <c r="C169" s="2">
        <v>3</v>
      </c>
      <c r="D169" s="2">
        <v>2021</v>
      </c>
      <c r="E169" s="2">
        <v>0</v>
      </c>
      <c r="F169" s="2">
        <v>157.16999999999999</v>
      </c>
    </row>
    <row r="170" spans="1:6" x14ac:dyDescent="0.2">
      <c r="A170" s="2" t="s">
        <v>27</v>
      </c>
      <c r="B170" s="2">
        <v>1</v>
      </c>
      <c r="C170" s="2">
        <v>7</v>
      </c>
      <c r="D170" s="2">
        <v>2021</v>
      </c>
      <c r="E170" s="2">
        <v>0</v>
      </c>
      <c r="F170" s="2">
        <v>157.16999999999999</v>
      </c>
    </row>
    <row r="171" spans="1:6" x14ac:dyDescent="0.2">
      <c r="A171" s="2" t="s">
        <v>26</v>
      </c>
      <c r="B171" s="2">
        <v>22</v>
      </c>
      <c r="C171" s="2">
        <v>10</v>
      </c>
      <c r="D171" s="2">
        <v>2021</v>
      </c>
      <c r="E171" s="2">
        <v>0</v>
      </c>
      <c r="F171" s="2">
        <v>157.16999999999999</v>
      </c>
    </row>
    <row r="172" spans="1:6" x14ac:dyDescent="0.2">
      <c r="A172" s="2" t="s">
        <v>2</v>
      </c>
      <c r="B172" s="2">
        <v>18</v>
      </c>
      <c r="C172" s="2">
        <v>1</v>
      </c>
      <c r="D172" s="2">
        <v>2021</v>
      </c>
      <c r="E172" s="2">
        <v>0</v>
      </c>
      <c r="F172" s="2">
        <v>156.86000000000001</v>
      </c>
    </row>
    <row r="173" spans="1:6" x14ac:dyDescent="0.2">
      <c r="A173" s="2" t="s">
        <v>22</v>
      </c>
      <c r="B173" s="2">
        <v>22</v>
      </c>
      <c r="C173" s="2">
        <v>3</v>
      </c>
      <c r="D173" s="2">
        <v>2021</v>
      </c>
      <c r="E173" s="2">
        <v>0</v>
      </c>
      <c r="F173" s="2">
        <v>156.86000000000001</v>
      </c>
    </row>
    <row r="174" spans="1:6" x14ac:dyDescent="0.2">
      <c r="A174" s="2" t="s">
        <v>24</v>
      </c>
      <c r="B174" s="2">
        <v>22</v>
      </c>
      <c r="C174" s="2">
        <v>4</v>
      </c>
      <c r="D174" s="2">
        <v>2021</v>
      </c>
      <c r="E174" s="2">
        <v>0</v>
      </c>
      <c r="F174" s="2">
        <v>156.6</v>
      </c>
    </row>
    <row r="175" spans="1:6" x14ac:dyDescent="0.2">
      <c r="A175" s="2" t="s">
        <v>10</v>
      </c>
      <c r="B175" s="2">
        <v>18</v>
      </c>
      <c r="C175" s="2">
        <v>11</v>
      </c>
      <c r="D175" s="2">
        <v>2021</v>
      </c>
      <c r="E175" s="2">
        <v>0</v>
      </c>
      <c r="F175" s="2">
        <v>156.6</v>
      </c>
    </row>
    <row r="176" spans="1:6" x14ac:dyDescent="0.2">
      <c r="A176" s="2" t="s">
        <v>5</v>
      </c>
      <c r="B176" s="2">
        <v>7</v>
      </c>
      <c r="C176" s="2">
        <v>3</v>
      </c>
      <c r="D176" s="2">
        <v>2021</v>
      </c>
      <c r="E176" s="2">
        <v>0</v>
      </c>
      <c r="F176" s="2">
        <v>156.55000000000001</v>
      </c>
    </row>
    <row r="177" spans="1:6" x14ac:dyDescent="0.2">
      <c r="A177" s="2" t="s">
        <v>14</v>
      </c>
      <c r="B177" s="2">
        <v>10</v>
      </c>
      <c r="C177" s="2">
        <v>3</v>
      </c>
      <c r="D177" s="2">
        <v>2021</v>
      </c>
      <c r="E177" s="2">
        <v>0</v>
      </c>
      <c r="F177" s="2">
        <v>156.55000000000001</v>
      </c>
    </row>
    <row r="178" spans="1:6" x14ac:dyDescent="0.2">
      <c r="A178" s="2" t="s">
        <v>29</v>
      </c>
      <c r="B178" s="2">
        <v>20</v>
      </c>
      <c r="C178" s="2">
        <v>2</v>
      </c>
      <c r="D178" s="2">
        <v>2021</v>
      </c>
      <c r="E178" s="2">
        <v>0</v>
      </c>
      <c r="F178" s="2">
        <v>156.52000000000001</v>
      </c>
    </row>
    <row r="179" spans="1:6" x14ac:dyDescent="0.2">
      <c r="A179" s="2" t="s">
        <v>15</v>
      </c>
      <c r="B179" s="2">
        <v>5</v>
      </c>
      <c r="C179" s="2">
        <v>4</v>
      </c>
      <c r="D179" s="2">
        <v>2021</v>
      </c>
      <c r="E179" s="2">
        <v>0</v>
      </c>
      <c r="F179" s="2">
        <v>156.30000000000001</v>
      </c>
    </row>
    <row r="180" spans="1:6" x14ac:dyDescent="0.2">
      <c r="A180" s="2" t="s">
        <v>30</v>
      </c>
      <c r="B180" s="2">
        <v>2</v>
      </c>
      <c r="C180" s="2">
        <v>9</v>
      </c>
      <c r="D180" s="2">
        <v>2021</v>
      </c>
      <c r="E180" s="2">
        <v>0</v>
      </c>
      <c r="F180" s="2">
        <v>156.30000000000001</v>
      </c>
    </row>
    <row r="181" spans="1:6" x14ac:dyDescent="0.2">
      <c r="A181" s="2" t="s">
        <v>4</v>
      </c>
      <c r="B181" s="2">
        <v>1</v>
      </c>
      <c r="C181" s="2">
        <v>11</v>
      </c>
      <c r="D181" s="2">
        <v>2021</v>
      </c>
      <c r="E181" s="1" t="s">
        <v>94</v>
      </c>
      <c r="F181" s="2">
        <v>156</v>
      </c>
    </row>
    <row r="182" spans="1:6" x14ac:dyDescent="0.2">
      <c r="A182" s="2" t="s">
        <v>8</v>
      </c>
      <c r="B182" s="2">
        <v>5</v>
      </c>
      <c r="C182" s="2">
        <v>10</v>
      </c>
      <c r="D182" s="2">
        <v>2021</v>
      </c>
      <c r="E182" s="2">
        <v>0</v>
      </c>
      <c r="F182" s="2">
        <v>155.93</v>
      </c>
    </row>
    <row r="183" spans="1:6" x14ac:dyDescent="0.2">
      <c r="A183" s="2" t="s">
        <v>2</v>
      </c>
      <c r="B183" s="2">
        <v>18</v>
      </c>
      <c r="C183" s="2">
        <v>11</v>
      </c>
      <c r="D183" s="2">
        <v>2021</v>
      </c>
      <c r="E183" s="2">
        <v>0</v>
      </c>
      <c r="F183" s="2">
        <v>155.69999999999999</v>
      </c>
    </row>
    <row r="184" spans="1:6" x14ac:dyDescent="0.2">
      <c r="A184" s="2" t="s">
        <v>18</v>
      </c>
      <c r="B184" s="2">
        <v>5</v>
      </c>
      <c r="C184" s="2">
        <v>4</v>
      </c>
      <c r="D184" s="2">
        <v>2021</v>
      </c>
      <c r="E184" s="2">
        <v>0</v>
      </c>
      <c r="F184" s="2">
        <v>155.4</v>
      </c>
    </row>
    <row r="185" spans="1:6" x14ac:dyDescent="0.2">
      <c r="A185" s="2" t="s">
        <v>29</v>
      </c>
      <c r="B185" s="2">
        <v>20</v>
      </c>
      <c r="C185" s="2">
        <v>4</v>
      </c>
      <c r="D185" s="2">
        <v>2021</v>
      </c>
      <c r="E185" s="2">
        <v>0</v>
      </c>
      <c r="F185" s="2">
        <v>155.4</v>
      </c>
    </row>
    <row r="186" spans="1:6" x14ac:dyDescent="0.2">
      <c r="A186" s="2" t="s">
        <v>31</v>
      </c>
      <c r="B186" s="2">
        <v>14</v>
      </c>
      <c r="C186" s="2">
        <v>5</v>
      </c>
      <c r="D186" s="2">
        <v>2021</v>
      </c>
      <c r="E186" s="2">
        <v>0</v>
      </c>
      <c r="F186" s="2">
        <v>155</v>
      </c>
    </row>
    <row r="187" spans="1:6" x14ac:dyDescent="0.2">
      <c r="A187" s="2" t="s">
        <v>4</v>
      </c>
      <c r="B187" s="2">
        <v>1</v>
      </c>
      <c r="C187" s="2">
        <v>2</v>
      </c>
      <c r="D187" s="2">
        <v>2021</v>
      </c>
      <c r="E187" s="2">
        <v>0</v>
      </c>
      <c r="F187" s="2">
        <v>154.84</v>
      </c>
    </row>
    <row r="188" spans="1:6" x14ac:dyDescent="0.2">
      <c r="A188" s="2" t="s">
        <v>31</v>
      </c>
      <c r="B188" s="2">
        <v>14</v>
      </c>
      <c r="C188" s="2">
        <v>7</v>
      </c>
      <c r="D188" s="2">
        <v>2021</v>
      </c>
      <c r="E188" s="2">
        <v>0</v>
      </c>
      <c r="F188" s="2">
        <v>154.69</v>
      </c>
    </row>
    <row r="189" spans="1:6" x14ac:dyDescent="0.2">
      <c r="A189" s="2" t="s">
        <v>23</v>
      </c>
      <c r="B189" s="2">
        <v>5</v>
      </c>
      <c r="C189" s="2">
        <v>10</v>
      </c>
      <c r="D189" s="2">
        <v>2021</v>
      </c>
      <c r="E189" s="2">
        <v>0</v>
      </c>
      <c r="F189" s="2">
        <v>154.69</v>
      </c>
    </row>
    <row r="190" spans="1:6" x14ac:dyDescent="0.2">
      <c r="A190" s="2" t="s">
        <v>16</v>
      </c>
      <c r="B190" s="2">
        <v>14</v>
      </c>
      <c r="C190" s="2">
        <v>3</v>
      </c>
      <c r="D190" s="2">
        <v>2021</v>
      </c>
      <c r="E190" s="2">
        <v>0</v>
      </c>
      <c r="F190" s="2">
        <v>154.38</v>
      </c>
    </row>
    <row r="191" spans="1:6" x14ac:dyDescent="0.2">
      <c r="A191" s="2" t="s">
        <v>5</v>
      </c>
      <c r="B191" s="2">
        <v>7</v>
      </c>
      <c r="C191" s="2">
        <v>10</v>
      </c>
      <c r="D191" s="2">
        <v>2021</v>
      </c>
      <c r="E191" s="2">
        <v>0</v>
      </c>
      <c r="F191" s="2">
        <v>154.38</v>
      </c>
    </row>
    <row r="192" spans="1:6" x14ac:dyDescent="0.2">
      <c r="A192" s="2" t="s">
        <v>3</v>
      </c>
      <c r="B192" s="2">
        <v>25</v>
      </c>
      <c r="C192" s="2">
        <v>1</v>
      </c>
      <c r="D192" s="2">
        <v>2021</v>
      </c>
      <c r="E192" s="2">
        <v>0</v>
      </c>
      <c r="F192" s="2">
        <v>154.07</v>
      </c>
    </row>
    <row r="193" spans="1:6" x14ac:dyDescent="0.2">
      <c r="A193" s="2" t="s">
        <v>100</v>
      </c>
      <c r="B193" s="2">
        <v>1</v>
      </c>
      <c r="C193" s="2">
        <v>2</v>
      </c>
      <c r="D193" s="2">
        <v>2021</v>
      </c>
      <c r="E193" s="1" t="s">
        <v>94</v>
      </c>
      <c r="F193" s="2">
        <v>153.44</v>
      </c>
    </row>
    <row r="194" spans="1:6" x14ac:dyDescent="0.2">
      <c r="A194" s="2" t="s">
        <v>20</v>
      </c>
      <c r="B194" s="2">
        <v>12</v>
      </c>
      <c r="C194" s="2">
        <v>4</v>
      </c>
      <c r="D194" s="2">
        <v>2021</v>
      </c>
      <c r="E194" s="2">
        <v>0</v>
      </c>
      <c r="F194" s="2">
        <v>153.30000000000001</v>
      </c>
    </row>
    <row r="195" spans="1:6" x14ac:dyDescent="0.2">
      <c r="A195" s="2" t="s">
        <v>12</v>
      </c>
      <c r="B195" s="2">
        <v>2</v>
      </c>
      <c r="C195" s="2">
        <v>3</v>
      </c>
      <c r="D195" s="2">
        <v>2021</v>
      </c>
      <c r="E195" s="2">
        <v>0</v>
      </c>
      <c r="F195" s="2">
        <v>153.13999999999999</v>
      </c>
    </row>
    <row r="196" spans="1:6" x14ac:dyDescent="0.2">
      <c r="A196" s="2" t="s">
        <v>22</v>
      </c>
      <c r="B196" s="2">
        <v>22</v>
      </c>
      <c r="C196" s="2">
        <v>5</v>
      </c>
      <c r="D196" s="2">
        <v>2021</v>
      </c>
      <c r="E196" s="2">
        <v>0</v>
      </c>
      <c r="F196" s="2">
        <v>153.13999999999999</v>
      </c>
    </row>
    <row r="197" spans="1:6" x14ac:dyDescent="0.2">
      <c r="A197" s="2" t="s">
        <v>31</v>
      </c>
      <c r="B197" s="2">
        <v>14</v>
      </c>
      <c r="C197" s="2">
        <v>8</v>
      </c>
      <c r="D197" s="2">
        <v>2021</v>
      </c>
      <c r="E197" s="2">
        <v>0</v>
      </c>
      <c r="F197" s="2">
        <v>152.83000000000001</v>
      </c>
    </row>
    <row r="198" spans="1:6" x14ac:dyDescent="0.2">
      <c r="A198" s="2" t="s">
        <v>3</v>
      </c>
      <c r="B198" s="2">
        <v>25</v>
      </c>
      <c r="C198" s="2">
        <v>2</v>
      </c>
      <c r="D198" s="2">
        <v>2021</v>
      </c>
      <c r="E198" s="2">
        <v>0</v>
      </c>
      <c r="F198" s="2">
        <v>152.6</v>
      </c>
    </row>
    <row r="199" spans="1:6" x14ac:dyDescent="0.2">
      <c r="A199" s="2" t="s">
        <v>24</v>
      </c>
      <c r="B199" s="2">
        <v>22</v>
      </c>
      <c r="C199" s="2">
        <v>10</v>
      </c>
      <c r="D199" s="2">
        <v>2021</v>
      </c>
      <c r="E199" s="2">
        <v>0</v>
      </c>
      <c r="F199" s="2">
        <v>152.52000000000001</v>
      </c>
    </row>
    <row r="200" spans="1:6" x14ac:dyDescent="0.2">
      <c r="A200" s="2" t="s">
        <v>16</v>
      </c>
      <c r="B200" s="2">
        <v>14</v>
      </c>
      <c r="C200" s="2">
        <v>2</v>
      </c>
      <c r="D200" s="2">
        <v>2021</v>
      </c>
      <c r="E200" s="2">
        <v>0</v>
      </c>
      <c r="F200" s="2">
        <v>152.32</v>
      </c>
    </row>
    <row r="201" spans="1:6" x14ac:dyDescent="0.2">
      <c r="A201" s="2" t="s">
        <v>8</v>
      </c>
      <c r="B201" s="2">
        <v>5</v>
      </c>
      <c r="C201" s="2">
        <v>3</v>
      </c>
      <c r="D201" s="2">
        <v>2021</v>
      </c>
      <c r="E201" s="2">
        <v>0</v>
      </c>
      <c r="F201" s="2">
        <v>152.21</v>
      </c>
    </row>
    <row r="202" spans="1:6" x14ac:dyDescent="0.2">
      <c r="A202" s="2" t="s">
        <v>13</v>
      </c>
      <c r="B202" s="2">
        <v>7</v>
      </c>
      <c r="C202" s="2">
        <v>3</v>
      </c>
      <c r="D202" s="2">
        <v>2021</v>
      </c>
      <c r="E202" s="2">
        <v>0</v>
      </c>
      <c r="F202" s="2">
        <v>152.21</v>
      </c>
    </row>
    <row r="203" spans="1:6" x14ac:dyDescent="0.2">
      <c r="A203" s="2" t="s">
        <v>28</v>
      </c>
      <c r="B203" s="2">
        <v>5</v>
      </c>
      <c r="C203" s="2">
        <v>5</v>
      </c>
      <c r="D203" s="2">
        <v>2021</v>
      </c>
      <c r="E203" s="1" t="s">
        <v>94</v>
      </c>
      <c r="F203" s="2">
        <v>151.9</v>
      </c>
    </row>
    <row r="204" spans="1:6" x14ac:dyDescent="0.2">
      <c r="A204" s="2" t="s">
        <v>2</v>
      </c>
      <c r="B204" s="2">
        <v>18</v>
      </c>
      <c r="C204" s="2">
        <v>2</v>
      </c>
      <c r="D204" s="2">
        <v>2021</v>
      </c>
      <c r="E204" s="2">
        <v>0</v>
      </c>
      <c r="F204" s="2">
        <v>151.76</v>
      </c>
    </row>
    <row r="205" spans="1:6" x14ac:dyDescent="0.2">
      <c r="A205" s="2" t="s">
        <v>16</v>
      </c>
      <c r="B205" s="2">
        <v>14</v>
      </c>
      <c r="C205" s="2">
        <v>4</v>
      </c>
      <c r="D205" s="2">
        <v>2021</v>
      </c>
      <c r="E205" s="2">
        <v>0</v>
      </c>
      <c r="F205" s="2">
        <v>151.5</v>
      </c>
    </row>
    <row r="206" spans="1:6" x14ac:dyDescent="0.2">
      <c r="A206" s="2" t="s">
        <v>27</v>
      </c>
      <c r="B206" s="2">
        <v>1</v>
      </c>
      <c r="C206" s="2">
        <v>9</v>
      </c>
      <c r="D206" s="2">
        <v>2021</v>
      </c>
      <c r="E206" s="2">
        <v>0</v>
      </c>
      <c r="F206" s="2">
        <v>151.5</v>
      </c>
    </row>
    <row r="207" spans="1:6" x14ac:dyDescent="0.2">
      <c r="A207" s="2" t="s">
        <v>99</v>
      </c>
      <c r="B207" s="2">
        <v>10</v>
      </c>
      <c r="C207" s="2">
        <v>2</v>
      </c>
      <c r="D207" s="2">
        <v>2021</v>
      </c>
      <c r="E207" s="1" t="s">
        <v>94</v>
      </c>
      <c r="F207" s="2">
        <v>151.47999999999999</v>
      </c>
    </row>
    <row r="208" spans="1:6" x14ac:dyDescent="0.2">
      <c r="A208" s="2" t="s">
        <v>11</v>
      </c>
      <c r="B208" s="2">
        <v>15</v>
      </c>
      <c r="C208" s="2">
        <v>3</v>
      </c>
      <c r="D208" s="2">
        <v>2021</v>
      </c>
      <c r="E208" s="2">
        <v>0</v>
      </c>
      <c r="F208" s="2">
        <v>151.28</v>
      </c>
    </row>
    <row r="209" spans="1:6" x14ac:dyDescent="0.2">
      <c r="A209" s="2" t="s">
        <v>19</v>
      </c>
      <c r="B209" s="2">
        <v>24</v>
      </c>
      <c r="C209" s="2">
        <v>3</v>
      </c>
      <c r="D209" s="2">
        <v>2021</v>
      </c>
      <c r="E209" s="2">
        <v>0</v>
      </c>
      <c r="F209" s="2">
        <v>151.28</v>
      </c>
    </row>
    <row r="210" spans="1:6" x14ac:dyDescent="0.2">
      <c r="A210" s="2" t="s">
        <v>1</v>
      </c>
      <c r="B210" s="2">
        <v>21</v>
      </c>
      <c r="C210" s="2">
        <v>11</v>
      </c>
      <c r="D210" s="2">
        <v>2021</v>
      </c>
      <c r="E210" s="2">
        <v>0</v>
      </c>
      <c r="F210" s="2">
        <v>150.9</v>
      </c>
    </row>
    <row r="211" spans="1:6" x14ac:dyDescent="0.2">
      <c r="A211" s="2" t="s">
        <v>97</v>
      </c>
      <c r="B211" s="2">
        <v>12</v>
      </c>
      <c r="C211" s="2">
        <v>1</v>
      </c>
      <c r="D211" s="2">
        <v>2021</v>
      </c>
      <c r="E211" s="1" t="s">
        <v>94</v>
      </c>
      <c r="F211" s="2">
        <v>150.66</v>
      </c>
    </row>
    <row r="212" spans="1:6" x14ac:dyDescent="0.2">
      <c r="A212" s="2" t="s">
        <v>7</v>
      </c>
      <c r="B212" s="2">
        <v>20</v>
      </c>
      <c r="C212" s="2">
        <v>10</v>
      </c>
      <c r="D212" s="2">
        <v>2021</v>
      </c>
      <c r="E212" s="2">
        <v>0</v>
      </c>
      <c r="F212" s="2">
        <v>150.66</v>
      </c>
    </row>
    <row r="213" spans="1:6" x14ac:dyDescent="0.2">
      <c r="A213" s="2" t="s">
        <v>27</v>
      </c>
      <c r="B213" s="2">
        <v>1</v>
      </c>
      <c r="C213" s="2">
        <v>8</v>
      </c>
      <c r="D213" s="2">
        <v>2021</v>
      </c>
      <c r="E213" s="2">
        <v>0</v>
      </c>
      <c r="F213" s="2">
        <v>150.35</v>
      </c>
    </row>
    <row r="214" spans="1:6" x14ac:dyDescent="0.2">
      <c r="A214" s="2" t="s">
        <v>9</v>
      </c>
      <c r="B214" s="2">
        <v>22</v>
      </c>
      <c r="C214" s="2">
        <v>10</v>
      </c>
      <c r="D214" s="2">
        <v>2021</v>
      </c>
      <c r="E214" s="2">
        <v>0</v>
      </c>
      <c r="F214" s="2">
        <v>150.35</v>
      </c>
    </row>
    <row r="215" spans="1:6" x14ac:dyDescent="0.2">
      <c r="A215" s="2" t="s">
        <v>99</v>
      </c>
      <c r="B215" s="2">
        <v>10</v>
      </c>
      <c r="C215" s="2">
        <v>10</v>
      </c>
      <c r="D215" s="2">
        <v>2021</v>
      </c>
      <c r="E215" s="1" t="s">
        <v>94</v>
      </c>
      <c r="F215" s="2">
        <v>150.04</v>
      </c>
    </row>
    <row r="216" spans="1:6" x14ac:dyDescent="0.2">
      <c r="A216" s="2" t="s">
        <v>20</v>
      </c>
      <c r="B216" s="2">
        <v>12</v>
      </c>
      <c r="C216" s="2">
        <v>10</v>
      </c>
      <c r="D216" s="2">
        <v>2021</v>
      </c>
      <c r="E216" s="1" t="s">
        <v>94</v>
      </c>
      <c r="F216" s="2">
        <v>149.72999999999999</v>
      </c>
    </row>
    <row r="217" spans="1:6" x14ac:dyDescent="0.2">
      <c r="A217" s="2" t="s">
        <v>17</v>
      </c>
      <c r="B217" s="2">
        <v>8</v>
      </c>
      <c r="C217" s="2">
        <v>10</v>
      </c>
      <c r="D217" s="2">
        <v>2021</v>
      </c>
      <c r="E217" s="2">
        <v>0</v>
      </c>
      <c r="F217" s="2">
        <v>149.41999999999999</v>
      </c>
    </row>
    <row r="218" spans="1:6" x14ac:dyDescent="0.2">
      <c r="A218" s="2" t="s">
        <v>26</v>
      </c>
      <c r="B218" s="2">
        <v>22</v>
      </c>
      <c r="C218" s="2">
        <v>9</v>
      </c>
      <c r="D218" s="2">
        <v>2021</v>
      </c>
      <c r="E218" s="2">
        <v>0</v>
      </c>
      <c r="F218" s="2">
        <v>149.4</v>
      </c>
    </row>
    <row r="219" spans="1:6" x14ac:dyDescent="0.2">
      <c r="A219" s="2" t="s">
        <v>17</v>
      </c>
      <c r="B219" s="2">
        <v>8</v>
      </c>
      <c r="C219" s="2">
        <v>3</v>
      </c>
      <c r="D219" s="2">
        <v>2021</v>
      </c>
      <c r="E219" s="2">
        <v>0</v>
      </c>
      <c r="F219" s="2">
        <v>149.11000000000001</v>
      </c>
    </row>
    <row r="220" spans="1:6" x14ac:dyDescent="0.2">
      <c r="A220" s="2" t="s">
        <v>21</v>
      </c>
      <c r="B220" s="2">
        <v>15</v>
      </c>
      <c r="C220" s="2">
        <v>3</v>
      </c>
      <c r="D220" s="2">
        <v>2021</v>
      </c>
      <c r="E220" s="2">
        <v>0</v>
      </c>
      <c r="F220" s="2">
        <v>148.80000000000001</v>
      </c>
    </row>
    <row r="221" spans="1:6" x14ac:dyDescent="0.2">
      <c r="A221" s="2" t="s">
        <v>30</v>
      </c>
      <c r="B221" s="2">
        <v>2</v>
      </c>
      <c r="C221" s="2">
        <v>5</v>
      </c>
      <c r="D221" s="2">
        <v>2021</v>
      </c>
      <c r="E221" s="2">
        <v>0</v>
      </c>
      <c r="F221" s="2">
        <v>148.80000000000001</v>
      </c>
    </row>
    <row r="222" spans="1:6" x14ac:dyDescent="0.2">
      <c r="A222" s="2" t="s">
        <v>5</v>
      </c>
      <c r="B222" s="2">
        <v>7</v>
      </c>
      <c r="C222" s="2">
        <v>4</v>
      </c>
      <c r="D222" s="2">
        <v>2021</v>
      </c>
      <c r="E222" s="2">
        <v>0</v>
      </c>
      <c r="F222" s="2">
        <v>148.5</v>
      </c>
    </row>
    <row r="223" spans="1:6" x14ac:dyDescent="0.2">
      <c r="A223" s="2" t="s">
        <v>6</v>
      </c>
      <c r="B223" s="2">
        <v>7</v>
      </c>
      <c r="C223" s="2">
        <v>3</v>
      </c>
      <c r="D223" s="2">
        <v>2021</v>
      </c>
      <c r="E223" s="2">
        <v>0</v>
      </c>
      <c r="F223" s="2">
        <v>148.49</v>
      </c>
    </row>
    <row r="224" spans="1:6" x14ac:dyDescent="0.2">
      <c r="A224" s="2" t="s">
        <v>100</v>
      </c>
      <c r="B224" s="2">
        <v>1</v>
      </c>
      <c r="C224" s="2">
        <v>4</v>
      </c>
      <c r="D224" s="2">
        <v>2021</v>
      </c>
      <c r="E224" s="1" t="s">
        <v>94</v>
      </c>
      <c r="F224" s="2">
        <v>148.19999999999999</v>
      </c>
    </row>
    <row r="225" spans="1:6" x14ac:dyDescent="0.2">
      <c r="A225" s="2" t="s">
        <v>1</v>
      </c>
      <c r="B225" s="2">
        <v>21</v>
      </c>
      <c r="C225" s="2">
        <v>2</v>
      </c>
      <c r="D225" s="2">
        <v>2021</v>
      </c>
      <c r="E225" s="2">
        <v>0</v>
      </c>
      <c r="F225" s="2">
        <v>148.12</v>
      </c>
    </row>
    <row r="226" spans="1:6" x14ac:dyDescent="0.2">
      <c r="A226" s="2" t="s">
        <v>17</v>
      </c>
      <c r="B226" s="2">
        <v>8</v>
      </c>
      <c r="C226" s="2">
        <v>4</v>
      </c>
      <c r="D226" s="2">
        <v>2021</v>
      </c>
      <c r="E226" s="2">
        <v>0</v>
      </c>
      <c r="F226" s="2">
        <v>147.9</v>
      </c>
    </row>
    <row r="227" spans="1:6" x14ac:dyDescent="0.2">
      <c r="A227" s="2" t="s">
        <v>19</v>
      </c>
      <c r="B227" s="2">
        <v>24</v>
      </c>
      <c r="C227" s="2">
        <v>4</v>
      </c>
      <c r="D227" s="2">
        <v>2021</v>
      </c>
      <c r="E227" s="2">
        <v>0</v>
      </c>
      <c r="F227" s="2">
        <v>147.9</v>
      </c>
    </row>
    <row r="228" spans="1:6" x14ac:dyDescent="0.2">
      <c r="A228" s="2" t="s">
        <v>11</v>
      </c>
      <c r="B228" s="2">
        <v>15</v>
      </c>
      <c r="C228" s="2">
        <v>10</v>
      </c>
      <c r="D228" s="2">
        <v>2021</v>
      </c>
      <c r="E228" s="2">
        <v>0</v>
      </c>
      <c r="F228" s="2">
        <v>146.32</v>
      </c>
    </row>
    <row r="229" spans="1:6" x14ac:dyDescent="0.2">
      <c r="A229" s="2" t="s">
        <v>14</v>
      </c>
      <c r="B229" s="2">
        <v>10</v>
      </c>
      <c r="C229" s="2">
        <v>4</v>
      </c>
      <c r="D229" s="2">
        <v>2021</v>
      </c>
      <c r="E229" s="2">
        <v>0</v>
      </c>
      <c r="F229" s="2">
        <v>145.80000000000001</v>
      </c>
    </row>
    <row r="230" spans="1:6" x14ac:dyDescent="0.2">
      <c r="A230" s="2" t="s">
        <v>100</v>
      </c>
      <c r="B230" s="2">
        <v>1</v>
      </c>
      <c r="C230" s="2">
        <v>10</v>
      </c>
      <c r="D230" s="2">
        <v>2021</v>
      </c>
      <c r="E230" s="1" t="s">
        <v>94</v>
      </c>
      <c r="F230" s="2">
        <v>145.38999999999999</v>
      </c>
    </row>
    <row r="231" spans="1:6" x14ac:dyDescent="0.2">
      <c r="A231" s="2" t="s">
        <v>27</v>
      </c>
      <c r="B231" s="2">
        <v>1</v>
      </c>
      <c r="C231" s="2">
        <v>5</v>
      </c>
      <c r="D231" s="2">
        <v>2021</v>
      </c>
      <c r="E231" s="2">
        <v>0</v>
      </c>
      <c r="F231" s="2">
        <v>144.77000000000001</v>
      </c>
    </row>
    <row r="232" spans="1:6" x14ac:dyDescent="0.2">
      <c r="A232" s="2" t="s">
        <v>21</v>
      </c>
      <c r="B232" s="2">
        <v>15</v>
      </c>
      <c r="C232" s="2">
        <v>10</v>
      </c>
      <c r="D232" s="2">
        <v>2021</v>
      </c>
      <c r="E232" s="1" t="s">
        <v>94</v>
      </c>
      <c r="F232" s="2">
        <v>144.46</v>
      </c>
    </row>
    <row r="233" spans="1:6" x14ac:dyDescent="0.2">
      <c r="A233" s="2" t="s">
        <v>4</v>
      </c>
      <c r="B233" s="2">
        <v>1</v>
      </c>
      <c r="C233" s="2">
        <v>1</v>
      </c>
      <c r="D233" s="2">
        <v>2021</v>
      </c>
      <c r="E233" s="2">
        <v>0</v>
      </c>
      <c r="F233" s="2">
        <v>144.15</v>
      </c>
    </row>
    <row r="234" spans="1:6" x14ac:dyDescent="0.2">
      <c r="A234" s="2" t="s">
        <v>18</v>
      </c>
      <c r="B234" s="2">
        <v>5</v>
      </c>
      <c r="C234" s="2">
        <v>10</v>
      </c>
      <c r="D234" s="2">
        <v>2021</v>
      </c>
      <c r="E234" s="2">
        <v>0</v>
      </c>
      <c r="F234" s="2">
        <v>143.84</v>
      </c>
    </row>
    <row r="235" spans="1:6" x14ac:dyDescent="0.2">
      <c r="A235" s="2" t="s">
        <v>30</v>
      </c>
      <c r="B235" s="2">
        <v>2</v>
      </c>
      <c r="C235" s="2">
        <v>8</v>
      </c>
      <c r="D235" s="2">
        <v>2021</v>
      </c>
      <c r="E235" s="2">
        <v>0</v>
      </c>
      <c r="F235" s="2">
        <v>143.22</v>
      </c>
    </row>
    <row r="236" spans="1:6" x14ac:dyDescent="0.2">
      <c r="A236" s="2" t="s">
        <v>98</v>
      </c>
      <c r="B236" s="2">
        <v>21</v>
      </c>
      <c r="C236" s="2">
        <v>4</v>
      </c>
      <c r="D236" s="2">
        <v>2021</v>
      </c>
      <c r="E236" s="1" t="s">
        <v>94</v>
      </c>
      <c r="F236" s="2">
        <v>142.80000000000001</v>
      </c>
    </row>
    <row r="237" spans="1:6" x14ac:dyDescent="0.2">
      <c r="A237" s="2" t="s">
        <v>19</v>
      </c>
      <c r="B237" s="2">
        <v>24</v>
      </c>
      <c r="C237" s="2">
        <v>10</v>
      </c>
      <c r="D237" s="2">
        <v>2021</v>
      </c>
      <c r="E237" s="2">
        <v>0</v>
      </c>
      <c r="F237" s="2">
        <v>142.6</v>
      </c>
    </row>
    <row r="238" spans="1:6" x14ac:dyDescent="0.2">
      <c r="A238" s="2" t="s">
        <v>23</v>
      </c>
      <c r="B238" s="2">
        <v>5</v>
      </c>
      <c r="C238" s="2">
        <v>5</v>
      </c>
      <c r="D238" s="2">
        <v>2021</v>
      </c>
      <c r="E238" s="2">
        <v>0</v>
      </c>
      <c r="F238" s="2">
        <v>142.29</v>
      </c>
    </row>
    <row r="239" spans="1:6" x14ac:dyDescent="0.2">
      <c r="A239" s="2" t="s">
        <v>100</v>
      </c>
      <c r="B239" s="2">
        <v>1</v>
      </c>
      <c r="C239" s="2">
        <v>3</v>
      </c>
      <c r="D239" s="2">
        <v>2021</v>
      </c>
      <c r="E239" s="1" t="s">
        <v>94</v>
      </c>
      <c r="F239" s="2">
        <v>141.97999999999999</v>
      </c>
    </row>
    <row r="240" spans="1:6" x14ac:dyDescent="0.2">
      <c r="A240" s="2" t="s">
        <v>1</v>
      </c>
      <c r="B240" s="2">
        <v>21</v>
      </c>
      <c r="C240" s="2">
        <v>1</v>
      </c>
      <c r="D240" s="2">
        <v>2021</v>
      </c>
      <c r="E240" s="2">
        <v>0</v>
      </c>
      <c r="F240" s="2">
        <v>141.66999999999999</v>
      </c>
    </row>
    <row r="241" spans="1:6" x14ac:dyDescent="0.2">
      <c r="A241" s="2" t="s">
        <v>7</v>
      </c>
      <c r="B241" s="2">
        <v>20</v>
      </c>
      <c r="C241" s="2">
        <v>3</v>
      </c>
      <c r="D241" s="2">
        <v>2021</v>
      </c>
      <c r="E241" s="1" t="s">
        <v>94</v>
      </c>
      <c r="F241" s="2">
        <v>141.36000000000001</v>
      </c>
    </row>
    <row r="242" spans="1:6" x14ac:dyDescent="0.2">
      <c r="A242" s="2" t="s">
        <v>10</v>
      </c>
      <c r="B242" s="2">
        <v>18</v>
      </c>
      <c r="C242" s="2">
        <v>4</v>
      </c>
      <c r="D242" s="2">
        <v>2021</v>
      </c>
      <c r="E242" s="2">
        <v>0</v>
      </c>
      <c r="F242" s="2">
        <v>141.30000000000001</v>
      </c>
    </row>
    <row r="243" spans="1:6" x14ac:dyDescent="0.2">
      <c r="A243" s="2" t="s">
        <v>11</v>
      </c>
      <c r="B243" s="2">
        <v>15</v>
      </c>
      <c r="C243" s="2">
        <v>9</v>
      </c>
      <c r="D243" s="2">
        <v>2021</v>
      </c>
      <c r="E243" s="2">
        <v>0</v>
      </c>
      <c r="F243" s="2">
        <v>141.30000000000001</v>
      </c>
    </row>
    <row r="244" spans="1:6" x14ac:dyDescent="0.2">
      <c r="A244" s="2" t="s">
        <v>29</v>
      </c>
      <c r="B244" s="2">
        <v>20</v>
      </c>
      <c r="C244" s="2">
        <v>5</v>
      </c>
      <c r="D244" s="2">
        <v>2021</v>
      </c>
      <c r="E244" s="2">
        <v>0</v>
      </c>
      <c r="F244" s="2">
        <v>141.05000000000001</v>
      </c>
    </row>
    <row r="245" spans="1:6" x14ac:dyDescent="0.2">
      <c r="A245" s="2" t="s">
        <v>29</v>
      </c>
      <c r="B245" s="2">
        <v>20</v>
      </c>
      <c r="C245" s="2">
        <v>7</v>
      </c>
      <c r="D245" s="2">
        <v>2021</v>
      </c>
      <c r="E245" s="2">
        <v>0</v>
      </c>
      <c r="F245" s="2">
        <v>141.05000000000001</v>
      </c>
    </row>
    <row r="246" spans="1:6" x14ac:dyDescent="0.2">
      <c r="A246" s="2" t="s">
        <v>12</v>
      </c>
      <c r="B246" s="2">
        <v>2</v>
      </c>
      <c r="C246" s="2">
        <v>10</v>
      </c>
      <c r="D246" s="2">
        <v>2021</v>
      </c>
      <c r="E246" s="2">
        <v>0</v>
      </c>
      <c r="F246" s="2">
        <v>141.05000000000001</v>
      </c>
    </row>
    <row r="247" spans="1:6" x14ac:dyDescent="0.2">
      <c r="A247" s="2" t="s">
        <v>9</v>
      </c>
      <c r="B247" s="2">
        <v>22</v>
      </c>
      <c r="C247" s="2">
        <v>3</v>
      </c>
      <c r="D247" s="2">
        <v>2021</v>
      </c>
      <c r="E247" s="2">
        <v>0</v>
      </c>
      <c r="F247" s="2">
        <v>140.74</v>
      </c>
    </row>
    <row r="248" spans="1:6" x14ac:dyDescent="0.2">
      <c r="A248" s="2" t="s">
        <v>6</v>
      </c>
      <c r="B248" s="2">
        <v>7</v>
      </c>
      <c r="C248" s="2">
        <v>10</v>
      </c>
      <c r="D248" s="2">
        <v>2021</v>
      </c>
      <c r="E248" s="2">
        <v>0</v>
      </c>
      <c r="F248" s="2">
        <v>140.43</v>
      </c>
    </row>
    <row r="249" spans="1:6" x14ac:dyDescent="0.2">
      <c r="A249" s="2" t="s">
        <v>1</v>
      </c>
      <c r="B249" s="2">
        <v>21</v>
      </c>
      <c r="C249" s="2">
        <v>12</v>
      </c>
      <c r="D249" s="2">
        <v>2021</v>
      </c>
      <c r="E249" s="2">
        <v>0</v>
      </c>
      <c r="F249" s="2">
        <v>140.43</v>
      </c>
    </row>
    <row r="250" spans="1:6" x14ac:dyDescent="0.2">
      <c r="A250" s="2" t="s">
        <v>23</v>
      </c>
      <c r="B250" s="2">
        <v>5</v>
      </c>
      <c r="C250" s="2">
        <v>8</v>
      </c>
      <c r="D250" s="2">
        <v>2021</v>
      </c>
      <c r="E250" s="2">
        <v>0</v>
      </c>
      <c r="F250" s="2">
        <v>140.12</v>
      </c>
    </row>
    <row r="251" spans="1:6" x14ac:dyDescent="0.2">
      <c r="A251" s="2" t="s">
        <v>22</v>
      </c>
      <c r="B251" s="2">
        <v>22</v>
      </c>
      <c r="C251" s="2">
        <v>8</v>
      </c>
      <c r="D251" s="2">
        <v>2021</v>
      </c>
      <c r="E251" s="2">
        <v>0</v>
      </c>
      <c r="F251" s="2">
        <v>139.81</v>
      </c>
    </row>
    <row r="252" spans="1:6" x14ac:dyDescent="0.2">
      <c r="A252" s="2" t="s">
        <v>13</v>
      </c>
      <c r="B252" s="2">
        <v>7</v>
      </c>
      <c r="C252" s="2">
        <v>4</v>
      </c>
      <c r="D252" s="2">
        <v>2021</v>
      </c>
      <c r="E252" s="2">
        <v>0</v>
      </c>
      <c r="F252" s="2">
        <v>139.5</v>
      </c>
    </row>
    <row r="253" spans="1:6" x14ac:dyDescent="0.2">
      <c r="A253" s="2" t="s">
        <v>28</v>
      </c>
      <c r="B253" s="2">
        <v>5</v>
      </c>
      <c r="C253" s="2">
        <v>6</v>
      </c>
      <c r="D253" s="2">
        <v>2021</v>
      </c>
      <c r="E253" s="1" t="s">
        <v>94</v>
      </c>
      <c r="F253" s="2">
        <v>139.19999999999999</v>
      </c>
    </row>
    <row r="254" spans="1:6" x14ac:dyDescent="0.2">
      <c r="A254" s="2" t="s">
        <v>21</v>
      </c>
      <c r="B254" s="2">
        <v>15</v>
      </c>
      <c r="C254" s="2">
        <v>9</v>
      </c>
      <c r="D254" s="2">
        <v>2021</v>
      </c>
      <c r="E254" s="1" t="s">
        <v>94</v>
      </c>
      <c r="F254" s="2">
        <v>139.19999999999999</v>
      </c>
    </row>
    <row r="255" spans="1:6" x14ac:dyDescent="0.2">
      <c r="A255" s="2" t="s">
        <v>12</v>
      </c>
      <c r="B255" s="2">
        <v>2</v>
      </c>
      <c r="C255" s="2">
        <v>4</v>
      </c>
      <c r="D255" s="2">
        <v>2021</v>
      </c>
      <c r="E255" s="2">
        <v>0</v>
      </c>
      <c r="F255" s="2">
        <v>138.9</v>
      </c>
    </row>
    <row r="256" spans="1:6" x14ac:dyDescent="0.2">
      <c r="A256" s="2" t="s">
        <v>23</v>
      </c>
      <c r="B256" s="2">
        <v>5</v>
      </c>
      <c r="C256" s="2">
        <v>9</v>
      </c>
      <c r="D256" s="2">
        <v>2021</v>
      </c>
      <c r="E256" s="2">
        <v>0</v>
      </c>
      <c r="F256" s="2">
        <v>138.9</v>
      </c>
    </row>
    <row r="257" spans="1:6" x14ac:dyDescent="0.2">
      <c r="A257" s="2" t="s">
        <v>29</v>
      </c>
      <c r="B257" s="2">
        <v>20</v>
      </c>
      <c r="C257" s="2">
        <v>9</v>
      </c>
      <c r="D257" s="2">
        <v>2021</v>
      </c>
      <c r="E257" s="2">
        <v>0</v>
      </c>
      <c r="F257" s="2">
        <v>138.9</v>
      </c>
    </row>
    <row r="258" spans="1:6" x14ac:dyDescent="0.2">
      <c r="A258" s="2" t="s">
        <v>98</v>
      </c>
      <c r="B258" s="2">
        <v>21</v>
      </c>
      <c r="C258" s="2">
        <v>10</v>
      </c>
      <c r="D258" s="2">
        <v>2021</v>
      </c>
      <c r="E258" s="1" t="s">
        <v>94</v>
      </c>
      <c r="F258" s="2">
        <v>138.57</v>
      </c>
    </row>
    <row r="259" spans="1:6" x14ac:dyDescent="0.2">
      <c r="A259" s="2" t="s">
        <v>21</v>
      </c>
      <c r="B259" s="2">
        <v>15</v>
      </c>
      <c r="C259" s="2">
        <v>5</v>
      </c>
      <c r="D259" s="2">
        <v>2021</v>
      </c>
      <c r="E259" s="2">
        <v>0</v>
      </c>
      <c r="F259" s="2">
        <v>138.57</v>
      </c>
    </row>
    <row r="260" spans="1:6" x14ac:dyDescent="0.2">
      <c r="A260" s="2" t="s">
        <v>19</v>
      </c>
      <c r="B260" s="2">
        <v>24</v>
      </c>
      <c r="C260" s="2">
        <v>5</v>
      </c>
      <c r="D260" s="2">
        <v>2021</v>
      </c>
      <c r="E260" s="2">
        <v>0</v>
      </c>
      <c r="F260" s="2">
        <v>138.57</v>
      </c>
    </row>
    <row r="261" spans="1:6" x14ac:dyDescent="0.2">
      <c r="A261" s="2" t="s">
        <v>8</v>
      </c>
      <c r="B261" s="2">
        <v>5</v>
      </c>
      <c r="C261" s="2">
        <v>7</v>
      </c>
      <c r="D261" s="2">
        <v>2021</v>
      </c>
      <c r="E261" s="2">
        <v>0</v>
      </c>
      <c r="F261" s="2">
        <v>138.57</v>
      </c>
    </row>
    <row r="262" spans="1:6" x14ac:dyDescent="0.2">
      <c r="A262" s="2" t="s">
        <v>99</v>
      </c>
      <c r="B262" s="2">
        <v>10</v>
      </c>
      <c r="C262" s="2">
        <v>4</v>
      </c>
      <c r="D262" s="2">
        <v>2021</v>
      </c>
      <c r="E262" s="1" t="s">
        <v>94</v>
      </c>
      <c r="F262" s="2">
        <v>138</v>
      </c>
    </row>
    <row r="263" spans="1:6" x14ac:dyDescent="0.2">
      <c r="A263" s="2" t="s">
        <v>17</v>
      </c>
      <c r="B263" s="2">
        <v>8</v>
      </c>
      <c r="C263" s="2">
        <v>9</v>
      </c>
      <c r="D263" s="2">
        <v>2021</v>
      </c>
      <c r="E263" s="1" t="s">
        <v>94</v>
      </c>
      <c r="F263" s="2">
        <v>138</v>
      </c>
    </row>
    <row r="264" spans="1:6" x14ac:dyDescent="0.2">
      <c r="A264" s="2" t="s">
        <v>8</v>
      </c>
      <c r="B264" s="2">
        <v>5</v>
      </c>
      <c r="C264" s="2">
        <v>5</v>
      </c>
      <c r="D264" s="2">
        <v>2021</v>
      </c>
      <c r="E264" s="2">
        <v>0</v>
      </c>
      <c r="F264" s="2">
        <v>137.94999999999999</v>
      </c>
    </row>
    <row r="265" spans="1:6" x14ac:dyDescent="0.2">
      <c r="A265" s="2" t="s">
        <v>27</v>
      </c>
      <c r="B265" s="2">
        <v>1</v>
      </c>
      <c r="C265" s="2">
        <v>6</v>
      </c>
      <c r="D265" s="2">
        <v>2021</v>
      </c>
      <c r="E265" s="2">
        <v>0</v>
      </c>
      <c r="F265" s="2">
        <v>137.69999999999999</v>
      </c>
    </row>
    <row r="266" spans="1:6" x14ac:dyDescent="0.2">
      <c r="A266" s="2" t="s">
        <v>20</v>
      </c>
      <c r="B266" s="2">
        <v>12</v>
      </c>
      <c r="C266" s="2">
        <v>8</v>
      </c>
      <c r="D266" s="2">
        <v>2021</v>
      </c>
      <c r="E266" s="2">
        <v>0</v>
      </c>
      <c r="F266" s="2">
        <v>137.33000000000001</v>
      </c>
    </row>
    <row r="267" spans="1:6" x14ac:dyDescent="0.2">
      <c r="A267" s="2" t="s">
        <v>9</v>
      </c>
      <c r="B267" s="2">
        <v>22</v>
      </c>
      <c r="C267" s="2">
        <v>4</v>
      </c>
      <c r="D267" s="2">
        <v>2021</v>
      </c>
      <c r="E267" s="1" t="s">
        <v>94</v>
      </c>
      <c r="F267" s="2">
        <v>137.1</v>
      </c>
    </row>
    <row r="268" spans="1:6" x14ac:dyDescent="0.2">
      <c r="A268" s="2" t="s">
        <v>17</v>
      </c>
      <c r="B268" s="2">
        <v>8</v>
      </c>
      <c r="C268" s="2">
        <v>7</v>
      </c>
      <c r="D268" s="2">
        <v>2021</v>
      </c>
      <c r="E268" s="2">
        <v>0</v>
      </c>
      <c r="F268" s="2">
        <v>137.02000000000001</v>
      </c>
    </row>
    <row r="269" spans="1:6" x14ac:dyDescent="0.2">
      <c r="A269" s="2" t="s">
        <v>25</v>
      </c>
      <c r="B269" s="2">
        <v>8</v>
      </c>
      <c r="C269" s="2">
        <v>8</v>
      </c>
      <c r="D269" s="2">
        <v>2021</v>
      </c>
      <c r="E269" s="2">
        <v>0</v>
      </c>
      <c r="F269" s="2">
        <v>137.02000000000001</v>
      </c>
    </row>
    <row r="270" spans="1:6" x14ac:dyDescent="0.2">
      <c r="A270" s="2" t="s">
        <v>29</v>
      </c>
      <c r="B270" s="2">
        <v>20</v>
      </c>
      <c r="C270" s="2">
        <v>8</v>
      </c>
      <c r="D270" s="2">
        <v>2021</v>
      </c>
      <c r="E270" s="2">
        <v>0</v>
      </c>
      <c r="F270" s="2">
        <v>137.02000000000001</v>
      </c>
    </row>
    <row r="271" spans="1:6" x14ac:dyDescent="0.2">
      <c r="A271" s="2" t="s">
        <v>14</v>
      </c>
      <c r="B271" s="2">
        <v>10</v>
      </c>
      <c r="C271" s="2">
        <v>10</v>
      </c>
      <c r="D271" s="2">
        <v>2021</v>
      </c>
      <c r="E271" s="2">
        <v>0</v>
      </c>
      <c r="F271" s="2">
        <v>136.4</v>
      </c>
    </row>
    <row r="272" spans="1:6" x14ac:dyDescent="0.2">
      <c r="A272" s="2" t="s">
        <v>26</v>
      </c>
      <c r="B272" s="2">
        <v>22</v>
      </c>
      <c r="C272" s="2">
        <v>8</v>
      </c>
      <c r="D272" s="2">
        <v>2021</v>
      </c>
      <c r="E272" s="2">
        <v>0</v>
      </c>
      <c r="F272" s="2">
        <v>136.09</v>
      </c>
    </row>
    <row r="273" spans="1:6" x14ac:dyDescent="0.2">
      <c r="A273" s="2" t="s">
        <v>97</v>
      </c>
      <c r="B273" s="2">
        <v>12</v>
      </c>
      <c r="C273" s="2">
        <v>11</v>
      </c>
      <c r="D273" s="2">
        <v>2021</v>
      </c>
      <c r="E273" s="1" t="s">
        <v>94</v>
      </c>
      <c r="F273" s="2">
        <v>135.6</v>
      </c>
    </row>
    <row r="274" spans="1:6" x14ac:dyDescent="0.2">
      <c r="A274" s="2" t="s">
        <v>18</v>
      </c>
      <c r="B274" s="2">
        <v>5</v>
      </c>
      <c r="C274" s="2">
        <v>9</v>
      </c>
      <c r="D274" s="2">
        <v>2021</v>
      </c>
      <c r="E274" s="1" t="s">
        <v>94</v>
      </c>
      <c r="F274" s="2">
        <v>134.69999999999999</v>
      </c>
    </row>
    <row r="275" spans="1:6" x14ac:dyDescent="0.2">
      <c r="A275" s="2" t="s">
        <v>28</v>
      </c>
      <c r="B275" s="2">
        <v>5</v>
      </c>
      <c r="C275" s="2">
        <v>9</v>
      </c>
      <c r="D275" s="2">
        <v>2021</v>
      </c>
      <c r="E275" s="1" t="s">
        <v>94</v>
      </c>
      <c r="F275" s="2">
        <v>134.69999999999999</v>
      </c>
    </row>
    <row r="276" spans="1:6" x14ac:dyDescent="0.2">
      <c r="A276" s="2" t="s">
        <v>18</v>
      </c>
      <c r="B276" s="2">
        <v>5</v>
      </c>
      <c r="C276" s="2">
        <v>6</v>
      </c>
      <c r="D276" s="2">
        <v>2021</v>
      </c>
      <c r="E276" s="2">
        <v>0</v>
      </c>
      <c r="F276" s="2">
        <v>134.69999999999999</v>
      </c>
    </row>
    <row r="277" spans="1:6" x14ac:dyDescent="0.2">
      <c r="A277" s="2" t="s">
        <v>3</v>
      </c>
      <c r="B277" s="2">
        <v>25</v>
      </c>
      <c r="C277" s="2">
        <v>10</v>
      </c>
      <c r="D277" s="2">
        <v>2021</v>
      </c>
      <c r="E277" s="2">
        <v>0</v>
      </c>
      <c r="F277" s="2">
        <v>134.54</v>
      </c>
    </row>
    <row r="278" spans="1:6" x14ac:dyDescent="0.2">
      <c r="A278" s="2" t="s">
        <v>8</v>
      </c>
      <c r="B278" s="2">
        <v>5</v>
      </c>
      <c r="C278" s="2">
        <v>6</v>
      </c>
      <c r="D278" s="2">
        <v>2021</v>
      </c>
      <c r="E278" s="1" t="s">
        <v>94</v>
      </c>
      <c r="F278" s="2">
        <v>134.4</v>
      </c>
    </row>
    <row r="279" spans="1:6" x14ac:dyDescent="0.2">
      <c r="A279" s="2" t="s">
        <v>10</v>
      </c>
      <c r="B279" s="2">
        <v>18</v>
      </c>
      <c r="C279" s="2">
        <v>3</v>
      </c>
      <c r="D279" s="2">
        <v>2021</v>
      </c>
      <c r="E279" s="2">
        <v>0</v>
      </c>
      <c r="F279" s="2">
        <v>134.22999999999999</v>
      </c>
    </row>
    <row r="280" spans="1:6" x14ac:dyDescent="0.2">
      <c r="A280" s="2" t="s">
        <v>23</v>
      </c>
      <c r="B280" s="2">
        <v>5</v>
      </c>
      <c r="C280" s="2">
        <v>7</v>
      </c>
      <c r="D280" s="2">
        <v>2021</v>
      </c>
      <c r="E280" s="2">
        <v>0</v>
      </c>
      <c r="F280" s="2">
        <v>133.91999999999999</v>
      </c>
    </row>
    <row r="281" spans="1:6" x14ac:dyDescent="0.2">
      <c r="A281" s="2" t="s">
        <v>29</v>
      </c>
      <c r="B281" s="2">
        <v>20</v>
      </c>
      <c r="C281" s="2">
        <v>6</v>
      </c>
      <c r="D281" s="2">
        <v>2021</v>
      </c>
      <c r="E281" s="2">
        <v>0</v>
      </c>
      <c r="F281" s="2">
        <v>133.80000000000001</v>
      </c>
    </row>
    <row r="282" spans="1:6" x14ac:dyDescent="0.2">
      <c r="A282" s="2" t="s">
        <v>99</v>
      </c>
      <c r="B282" s="2">
        <v>10</v>
      </c>
      <c r="C282" s="2">
        <v>3</v>
      </c>
      <c r="D282" s="2">
        <v>2021</v>
      </c>
      <c r="E282" s="1" t="s">
        <v>94</v>
      </c>
      <c r="F282" s="2">
        <v>133.61000000000001</v>
      </c>
    </row>
    <row r="283" spans="1:6" x14ac:dyDescent="0.2">
      <c r="A283" s="2" t="s">
        <v>20</v>
      </c>
      <c r="B283" s="2">
        <v>12</v>
      </c>
      <c r="C283" s="2">
        <v>9</v>
      </c>
      <c r="D283" s="2">
        <v>2021</v>
      </c>
      <c r="E283" s="2">
        <v>0</v>
      </c>
      <c r="F283" s="2">
        <v>133.5</v>
      </c>
    </row>
    <row r="284" spans="1:6" x14ac:dyDescent="0.2">
      <c r="A284" s="2" t="s">
        <v>13</v>
      </c>
      <c r="B284" s="2">
        <v>7</v>
      </c>
      <c r="C284" s="2">
        <v>10</v>
      </c>
      <c r="D284" s="2">
        <v>2021</v>
      </c>
      <c r="E284" s="1" t="s">
        <v>94</v>
      </c>
      <c r="F284" s="2">
        <v>133.30000000000001</v>
      </c>
    </row>
    <row r="285" spans="1:6" x14ac:dyDescent="0.2">
      <c r="A285" s="2" t="s">
        <v>21</v>
      </c>
      <c r="B285" s="2">
        <v>15</v>
      </c>
      <c r="C285" s="2">
        <v>4</v>
      </c>
      <c r="D285" s="2">
        <v>2021</v>
      </c>
      <c r="E285" s="2">
        <v>0</v>
      </c>
      <c r="F285" s="2">
        <v>133.19999999999999</v>
      </c>
    </row>
    <row r="286" spans="1:6" x14ac:dyDescent="0.2">
      <c r="A286" s="2" t="s">
        <v>26</v>
      </c>
      <c r="B286" s="2">
        <v>22</v>
      </c>
      <c r="C286" s="2">
        <v>5</v>
      </c>
      <c r="D286" s="2">
        <v>2021</v>
      </c>
      <c r="E286" s="1" t="s">
        <v>94</v>
      </c>
      <c r="F286" s="2">
        <v>132.99</v>
      </c>
    </row>
    <row r="287" spans="1:6" x14ac:dyDescent="0.2">
      <c r="A287" s="2" t="s">
        <v>3</v>
      </c>
      <c r="B287" s="2">
        <v>25</v>
      </c>
      <c r="C287" s="2">
        <v>3</v>
      </c>
      <c r="D287" s="2">
        <v>2021</v>
      </c>
      <c r="E287" s="2">
        <v>0</v>
      </c>
      <c r="F287" s="2">
        <v>132.99</v>
      </c>
    </row>
    <row r="288" spans="1:6" x14ac:dyDescent="0.2">
      <c r="A288" s="2" t="s">
        <v>14</v>
      </c>
      <c r="B288" s="2">
        <v>10</v>
      </c>
      <c r="C288" s="2">
        <v>9</v>
      </c>
      <c r="D288" s="2">
        <v>2021</v>
      </c>
      <c r="E288" s="2">
        <v>0</v>
      </c>
      <c r="F288" s="2">
        <v>132.9</v>
      </c>
    </row>
    <row r="289" spans="1:6" x14ac:dyDescent="0.2">
      <c r="A289" s="2" t="s">
        <v>25</v>
      </c>
      <c r="B289" s="2">
        <v>8</v>
      </c>
      <c r="C289" s="2">
        <v>5</v>
      </c>
      <c r="D289" s="2">
        <v>2021</v>
      </c>
      <c r="E289" s="2">
        <v>0</v>
      </c>
      <c r="F289" s="2">
        <v>132.68</v>
      </c>
    </row>
    <row r="290" spans="1:6" x14ac:dyDescent="0.2">
      <c r="A290" s="2" t="s">
        <v>21</v>
      </c>
      <c r="B290" s="2">
        <v>15</v>
      </c>
      <c r="C290" s="2">
        <v>8</v>
      </c>
      <c r="D290" s="2">
        <v>2021</v>
      </c>
      <c r="E290" s="2">
        <v>0</v>
      </c>
      <c r="F290" s="2">
        <v>132.37</v>
      </c>
    </row>
    <row r="291" spans="1:6" x14ac:dyDescent="0.2">
      <c r="A291" s="2" t="s">
        <v>11</v>
      </c>
      <c r="B291" s="2">
        <v>15</v>
      </c>
      <c r="C291" s="2">
        <v>4</v>
      </c>
      <c r="D291" s="2">
        <v>2021</v>
      </c>
      <c r="E291" s="2">
        <v>0</v>
      </c>
      <c r="F291" s="2">
        <v>132.30000000000001</v>
      </c>
    </row>
    <row r="292" spans="1:6" x14ac:dyDescent="0.2">
      <c r="A292" s="2" t="s">
        <v>97</v>
      </c>
      <c r="B292" s="2">
        <v>12</v>
      </c>
      <c r="C292" s="2">
        <v>10</v>
      </c>
      <c r="D292" s="2">
        <v>2021</v>
      </c>
      <c r="E292" s="1" t="s">
        <v>94</v>
      </c>
      <c r="F292" s="2">
        <v>131.44</v>
      </c>
    </row>
    <row r="293" spans="1:6" x14ac:dyDescent="0.2">
      <c r="A293" s="2" t="s">
        <v>5</v>
      </c>
      <c r="B293" s="2">
        <v>7</v>
      </c>
      <c r="C293" s="2">
        <v>5</v>
      </c>
      <c r="D293" s="2">
        <v>2021</v>
      </c>
      <c r="E293" s="2">
        <v>0</v>
      </c>
      <c r="F293" s="2">
        <v>131.44</v>
      </c>
    </row>
    <row r="294" spans="1:6" x14ac:dyDescent="0.2">
      <c r="A294" s="2" t="s">
        <v>10</v>
      </c>
      <c r="B294" s="2">
        <v>18</v>
      </c>
      <c r="C294" s="2">
        <v>10</v>
      </c>
      <c r="D294" s="2">
        <v>2021</v>
      </c>
      <c r="E294" s="2">
        <v>0</v>
      </c>
      <c r="F294" s="2">
        <v>131.44</v>
      </c>
    </row>
    <row r="295" spans="1:6" x14ac:dyDescent="0.2">
      <c r="A295" s="2" t="s">
        <v>4</v>
      </c>
      <c r="B295" s="2">
        <v>1</v>
      </c>
      <c r="C295" s="2">
        <v>10</v>
      </c>
      <c r="D295" s="2">
        <v>2021</v>
      </c>
      <c r="E295" s="2">
        <v>0</v>
      </c>
      <c r="F295" s="2">
        <v>131.13</v>
      </c>
    </row>
    <row r="296" spans="1:6" x14ac:dyDescent="0.2">
      <c r="A296" s="2" t="s">
        <v>20</v>
      </c>
      <c r="B296" s="2">
        <v>12</v>
      </c>
      <c r="C296" s="2">
        <v>5</v>
      </c>
      <c r="D296" s="2">
        <v>2021</v>
      </c>
      <c r="E296" s="2">
        <v>0</v>
      </c>
      <c r="F296" s="2">
        <v>130.51</v>
      </c>
    </row>
    <row r="297" spans="1:6" x14ac:dyDescent="0.2">
      <c r="A297" s="2" t="s">
        <v>7</v>
      </c>
      <c r="B297" s="2">
        <v>20</v>
      </c>
      <c r="C297" s="2">
        <v>5</v>
      </c>
      <c r="D297" s="2">
        <v>2021</v>
      </c>
      <c r="E297" s="2">
        <v>0</v>
      </c>
      <c r="F297" s="2">
        <v>130.51</v>
      </c>
    </row>
    <row r="298" spans="1:6" x14ac:dyDescent="0.2">
      <c r="A298" s="2" t="s">
        <v>3</v>
      </c>
      <c r="B298" s="2">
        <v>25</v>
      </c>
      <c r="C298" s="2">
        <v>4</v>
      </c>
      <c r="D298" s="2">
        <v>2021</v>
      </c>
      <c r="E298" s="2">
        <v>0</v>
      </c>
      <c r="F298" s="2">
        <v>130.5</v>
      </c>
    </row>
    <row r="299" spans="1:6" x14ac:dyDescent="0.2">
      <c r="A299" s="2" t="s">
        <v>10</v>
      </c>
      <c r="B299" s="2">
        <v>18</v>
      </c>
      <c r="C299" s="2">
        <v>5</v>
      </c>
      <c r="D299" s="2">
        <v>2021</v>
      </c>
      <c r="E299" s="1" t="s">
        <v>94</v>
      </c>
      <c r="F299" s="2">
        <v>130.19999999999999</v>
      </c>
    </row>
    <row r="300" spans="1:6" x14ac:dyDescent="0.2">
      <c r="A300" s="2" t="s">
        <v>18</v>
      </c>
      <c r="B300" s="2">
        <v>5</v>
      </c>
      <c r="C300" s="2">
        <v>5</v>
      </c>
      <c r="D300" s="2">
        <v>2021</v>
      </c>
      <c r="E300" s="2">
        <v>0</v>
      </c>
      <c r="F300" s="2">
        <v>130.19999999999999</v>
      </c>
    </row>
    <row r="301" spans="1:6" x14ac:dyDescent="0.2">
      <c r="A301" s="2" t="s">
        <v>24</v>
      </c>
      <c r="B301" s="2">
        <v>22</v>
      </c>
      <c r="C301" s="2">
        <v>9</v>
      </c>
      <c r="D301" s="2">
        <v>2021</v>
      </c>
      <c r="E301" s="1" t="s">
        <v>94</v>
      </c>
      <c r="F301" s="2">
        <v>129.9</v>
      </c>
    </row>
    <row r="302" spans="1:6" x14ac:dyDescent="0.2">
      <c r="A302" s="2" t="s">
        <v>25</v>
      </c>
      <c r="B302" s="2">
        <v>8</v>
      </c>
      <c r="C302" s="2">
        <v>7</v>
      </c>
      <c r="D302" s="2">
        <v>2021</v>
      </c>
      <c r="E302" s="2">
        <v>0</v>
      </c>
      <c r="F302" s="2">
        <v>129.88999999999999</v>
      </c>
    </row>
    <row r="303" spans="1:6" x14ac:dyDescent="0.2">
      <c r="A303" s="2" t="s">
        <v>24</v>
      </c>
      <c r="B303" s="2">
        <v>22</v>
      </c>
      <c r="C303" s="2">
        <v>6</v>
      </c>
      <c r="D303" s="2">
        <v>2021</v>
      </c>
      <c r="E303" s="2">
        <v>0</v>
      </c>
      <c r="F303" s="2">
        <v>129.6</v>
      </c>
    </row>
    <row r="304" spans="1:6" x14ac:dyDescent="0.2">
      <c r="A304" s="2" t="s">
        <v>1</v>
      </c>
      <c r="B304" s="2">
        <v>21</v>
      </c>
      <c r="C304" s="2">
        <v>10</v>
      </c>
      <c r="D304" s="2">
        <v>2021</v>
      </c>
      <c r="E304" s="2">
        <v>0</v>
      </c>
      <c r="F304" s="2">
        <v>129.27000000000001</v>
      </c>
    </row>
    <row r="305" spans="1:6" x14ac:dyDescent="0.2">
      <c r="A305" s="2" t="s">
        <v>6</v>
      </c>
      <c r="B305" s="2">
        <v>7</v>
      </c>
      <c r="C305" s="2">
        <v>4</v>
      </c>
      <c r="D305" s="2">
        <v>2021</v>
      </c>
      <c r="E305" s="2">
        <v>0</v>
      </c>
      <c r="F305" s="2">
        <v>129</v>
      </c>
    </row>
    <row r="306" spans="1:6" x14ac:dyDescent="0.2">
      <c r="A306" s="2" t="s">
        <v>98</v>
      </c>
      <c r="B306" s="2">
        <v>21</v>
      </c>
      <c r="C306" s="2">
        <v>5</v>
      </c>
      <c r="D306" s="2">
        <v>2021</v>
      </c>
      <c r="E306" s="1" t="s">
        <v>94</v>
      </c>
      <c r="F306" s="2">
        <v>128.34</v>
      </c>
    </row>
    <row r="307" spans="1:6" x14ac:dyDescent="0.2">
      <c r="A307" s="2" t="s">
        <v>11</v>
      </c>
      <c r="B307" s="2">
        <v>15</v>
      </c>
      <c r="C307" s="2">
        <v>7</v>
      </c>
      <c r="D307" s="2">
        <v>2021</v>
      </c>
      <c r="E307" s="2">
        <v>0</v>
      </c>
      <c r="F307" s="2">
        <v>127.72</v>
      </c>
    </row>
    <row r="308" spans="1:6" x14ac:dyDescent="0.2">
      <c r="A308" s="2" t="s">
        <v>16</v>
      </c>
      <c r="B308" s="2">
        <v>14</v>
      </c>
      <c r="C308" s="2">
        <v>5</v>
      </c>
      <c r="D308" s="2">
        <v>2021</v>
      </c>
      <c r="E308" s="1" t="s">
        <v>94</v>
      </c>
      <c r="F308" s="2">
        <v>127.41</v>
      </c>
    </row>
    <row r="309" spans="1:6" x14ac:dyDescent="0.2">
      <c r="A309" s="2" t="s">
        <v>8</v>
      </c>
      <c r="B309" s="2">
        <v>5</v>
      </c>
      <c r="C309" s="2">
        <v>8</v>
      </c>
      <c r="D309" s="2">
        <v>2021</v>
      </c>
      <c r="E309" s="1" t="s">
        <v>94</v>
      </c>
      <c r="F309" s="2">
        <v>127.41</v>
      </c>
    </row>
    <row r="310" spans="1:6" x14ac:dyDescent="0.2">
      <c r="A310" s="2" t="s">
        <v>20</v>
      </c>
      <c r="B310" s="2">
        <v>12</v>
      </c>
      <c r="C310" s="2">
        <v>7</v>
      </c>
      <c r="D310" s="2">
        <v>2021</v>
      </c>
      <c r="E310" s="2">
        <v>0</v>
      </c>
      <c r="F310" s="2">
        <v>127.1</v>
      </c>
    </row>
    <row r="311" spans="1:6" x14ac:dyDescent="0.2">
      <c r="A311" s="2" t="s">
        <v>9</v>
      </c>
      <c r="B311" s="2">
        <v>22</v>
      </c>
      <c r="C311" s="2">
        <v>8</v>
      </c>
      <c r="D311" s="2">
        <v>2021</v>
      </c>
      <c r="E311" s="2">
        <v>0</v>
      </c>
      <c r="F311" s="2">
        <v>127.1</v>
      </c>
    </row>
    <row r="312" spans="1:6" x14ac:dyDescent="0.2">
      <c r="A312" s="2" t="s">
        <v>97</v>
      </c>
      <c r="B312" s="2">
        <v>12</v>
      </c>
      <c r="C312" s="2">
        <v>4</v>
      </c>
      <c r="D312" s="2">
        <v>2021</v>
      </c>
      <c r="E312" s="1" t="s">
        <v>94</v>
      </c>
      <c r="F312" s="2">
        <v>126.9</v>
      </c>
    </row>
    <row r="313" spans="1:6" x14ac:dyDescent="0.2">
      <c r="A313" s="2" t="s">
        <v>19</v>
      </c>
      <c r="B313" s="2">
        <v>24</v>
      </c>
      <c r="C313" s="2">
        <v>8</v>
      </c>
      <c r="D313" s="2">
        <v>2021</v>
      </c>
      <c r="E313" s="2">
        <v>0</v>
      </c>
      <c r="F313" s="2">
        <v>126.79</v>
      </c>
    </row>
    <row r="314" spans="1:6" x14ac:dyDescent="0.2">
      <c r="A314" s="2" t="s">
        <v>11</v>
      </c>
      <c r="B314" s="2">
        <v>15</v>
      </c>
      <c r="C314" s="2">
        <v>5</v>
      </c>
      <c r="D314" s="2">
        <v>2021</v>
      </c>
      <c r="E314" s="2">
        <v>0</v>
      </c>
      <c r="F314" s="2">
        <v>126.17</v>
      </c>
    </row>
    <row r="315" spans="1:6" x14ac:dyDescent="0.2">
      <c r="A315" s="2" t="s">
        <v>21</v>
      </c>
      <c r="B315" s="2">
        <v>15</v>
      </c>
      <c r="C315" s="2">
        <v>7</v>
      </c>
      <c r="D315" s="2">
        <v>2021</v>
      </c>
      <c r="E315" s="2">
        <v>0</v>
      </c>
      <c r="F315" s="2">
        <v>126.17</v>
      </c>
    </row>
    <row r="316" spans="1:6" x14ac:dyDescent="0.2">
      <c r="A316" s="2" t="s">
        <v>13</v>
      </c>
      <c r="B316" s="2">
        <v>7</v>
      </c>
      <c r="C316" s="2">
        <v>8</v>
      </c>
      <c r="D316" s="2">
        <v>2021</v>
      </c>
      <c r="E316" s="2">
        <v>0</v>
      </c>
      <c r="F316" s="2">
        <v>125.86</v>
      </c>
    </row>
    <row r="317" spans="1:6" x14ac:dyDescent="0.2">
      <c r="A317" s="2" t="s">
        <v>4</v>
      </c>
      <c r="B317" s="2">
        <v>1</v>
      </c>
      <c r="C317" s="2">
        <v>4</v>
      </c>
      <c r="D317" s="2">
        <v>2021</v>
      </c>
      <c r="E317" s="2">
        <v>0</v>
      </c>
      <c r="F317" s="2">
        <v>125.7</v>
      </c>
    </row>
    <row r="318" spans="1:6" x14ac:dyDescent="0.2">
      <c r="A318" s="2" t="s">
        <v>2</v>
      </c>
      <c r="B318" s="2">
        <v>18</v>
      </c>
      <c r="C318" s="2">
        <v>3</v>
      </c>
      <c r="D318" s="2">
        <v>2021</v>
      </c>
      <c r="E318" s="2">
        <v>0</v>
      </c>
      <c r="F318" s="2">
        <v>125.55</v>
      </c>
    </row>
    <row r="319" spans="1:6" x14ac:dyDescent="0.2">
      <c r="A319" s="2" t="s">
        <v>98</v>
      </c>
      <c r="B319" s="2">
        <v>21</v>
      </c>
      <c r="C319" s="2">
        <v>8</v>
      </c>
      <c r="D319" s="2">
        <v>2021</v>
      </c>
      <c r="E319" s="1" t="s">
        <v>94</v>
      </c>
      <c r="F319" s="2">
        <v>125.24</v>
      </c>
    </row>
    <row r="320" spans="1:6" x14ac:dyDescent="0.2">
      <c r="A320" s="2" t="s">
        <v>25</v>
      </c>
      <c r="B320" s="2">
        <v>8</v>
      </c>
      <c r="C320" s="2">
        <v>6</v>
      </c>
      <c r="D320" s="2">
        <v>2021</v>
      </c>
      <c r="E320" s="2">
        <v>0</v>
      </c>
      <c r="F320" s="2">
        <v>125.1</v>
      </c>
    </row>
    <row r="321" spans="1:6" x14ac:dyDescent="0.2">
      <c r="A321" s="2" t="s">
        <v>12</v>
      </c>
      <c r="B321" s="2">
        <v>2</v>
      </c>
      <c r="C321" s="2">
        <v>5</v>
      </c>
      <c r="D321" s="2">
        <v>2021</v>
      </c>
      <c r="E321" s="2">
        <v>0</v>
      </c>
      <c r="F321" s="2">
        <v>124.93</v>
      </c>
    </row>
    <row r="322" spans="1:6" x14ac:dyDescent="0.2">
      <c r="A322" s="2" t="s">
        <v>23</v>
      </c>
      <c r="B322" s="2">
        <v>5</v>
      </c>
      <c r="C322" s="2">
        <v>6</v>
      </c>
      <c r="D322" s="2">
        <v>2021</v>
      </c>
      <c r="E322" s="2">
        <v>0</v>
      </c>
      <c r="F322" s="2">
        <v>124.8</v>
      </c>
    </row>
    <row r="323" spans="1:6" x14ac:dyDescent="0.2">
      <c r="A323" s="2" t="s">
        <v>1</v>
      </c>
      <c r="B323" s="2">
        <v>21</v>
      </c>
      <c r="C323" s="2">
        <v>4</v>
      </c>
      <c r="D323" s="2">
        <v>2021</v>
      </c>
      <c r="E323" s="2">
        <v>0</v>
      </c>
      <c r="F323" s="2">
        <v>124.2</v>
      </c>
    </row>
    <row r="324" spans="1:6" x14ac:dyDescent="0.2">
      <c r="A324" s="2" t="s">
        <v>6</v>
      </c>
      <c r="B324" s="2">
        <v>7</v>
      </c>
      <c r="C324" s="2">
        <v>9</v>
      </c>
      <c r="D324" s="2">
        <v>2021</v>
      </c>
      <c r="E324" s="2">
        <v>0</v>
      </c>
      <c r="F324" s="2">
        <v>124.2</v>
      </c>
    </row>
    <row r="325" spans="1:6" x14ac:dyDescent="0.2">
      <c r="A325" s="2" t="s">
        <v>14</v>
      </c>
      <c r="B325" s="2">
        <v>10</v>
      </c>
      <c r="C325" s="2">
        <v>5</v>
      </c>
      <c r="D325" s="2">
        <v>2021</v>
      </c>
      <c r="E325" s="2">
        <v>0</v>
      </c>
      <c r="F325" s="2">
        <v>124</v>
      </c>
    </row>
    <row r="326" spans="1:6" x14ac:dyDescent="0.2">
      <c r="A326" s="2" t="s">
        <v>24</v>
      </c>
      <c r="B326" s="2">
        <v>22</v>
      </c>
      <c r="C326" s="2">
        <v>5</v>
      </c>
      <c r="D326" s="2">
        <v>2021</v>
      </c>
      <c r="E326" s="2">
        <v>0</v>
      </c>
      <c r="F326" s="2">
        <v>124</v>
      </c>
    </row>
    <row r="327" spans="1:6" x14ac:dyDescent="0.2">
      <c r="A327" s="2" t="s">
        <v>77</v>
      </c>
      <c r="B327" s="2">
        <v>16</v>
      </c>
      <c r="C327" s="2">
        <v>12</v>
      </c>
      <c r="D327" s="2">
        <v>2021</v>
      </c>
      <c r="E327" s="2">
        <v>128.03</v>
      </c>
      <c r="F327" s="2">
        <v>123.69</v>
      </c>
    </row>
    <row r="328" spans="1:6" x14ac:dyDescent="0.2">
      <c r="A328" s="2" t="s">
        <v>9</v>
      </c>
      <c r="B328" s="2">
        <v>22</v>
      </c>
      <c r="C328" s="2">
        <v>5</v>
      </c>
      <c r="D328" s="2">
        <v>2021</v>
      </c>
      <c r="E328" s="2">
        <v>0</v>
      </c>
      <c r="F328" s="2">
        <v>123.69</v>
      </c>
    </row>
    <row r="329" spans="1:6" x14ac:dyDescent="0.2">
      <c r="A329" s="2" t="s">
        <v>18</v>
      </c>
      <c r="B329" s="2">
        <v>5</v>
      </c>
      <c r="C329" s="2">
        <v>7</v>
      </c>
      <c r="D329" s="2">
        <v>2021</v>
      </c>
      <c r="E329" s="2">
        <v>0</v>
      </c>
      <c r="F329" s="2">
        <v>123.69</v>
      </c>
    </row>
    <row r="330" spans="1:6" x14ac:dyDescent="0.2">
      <c r="A330" s="2" t="s">
        <v>7</v>
      </c>
      <c r="B330" s="2">
        <v>20</v>
      </c>
      <c r="C330" s="2">
        <v>4</v>
      </c>
      <c r="D330" s="2">
        <v>2021</v>
      </c>
      <c r="E330" s="2">
        <v>0</v>
      </c>
      <c r="F330" s="2">
        <v>123.6</v>
      </c>
    </row>
    <row r="331" spans="1:6" x14ac:dyDescent="0.2">
      <c r="A331" s="2" t="s">
        <v>15</v>
      </c>
      <c r="B331" s="2">
        <v>5</v>
      </c>
      <c r="C331" s="2">
        <v>9</v>
      </c>
      <c r="D331" s="2">
        <v>2021</v>
      </c>
      <c r="E331" s="2">
        <v>0</v>
      </c>
      <c r="F331" s="2">
        <v>123.6</v>
      </c>
    </row>
    <row r="332" spans="1:6" x14ac:dyDescent="0.2">
      <c r="A332" s="2" t="s">
        <v>10</v>
      </c>
      <c r="B332" s="2">
        <v>18</v>
      </c>
      <c r="C332" s="2">
        <v>7</v>
      </c>
      <c r="D332" s="2">
        <v>2021</v>
      </c>
      <c r="E332" s="2">
        <v>0</v>
      </c>
      <c r="F332" s="2">
        <v>123.38</v>
      </c>
    </row>
    <row r="333" spans="1:6" x14ac:dyDescent="0.2">
      <c r="A333" s="2" t="s">
        <v>24</v>
      </c>
      <c r="B333" s="2">
        <v>22</v>
      </c>
      <c r="C333" s="2">
        <v>8</v>
      </c>
      <c r="D333" s="2">
        <v>2021</v>
      </c>
      <c r="E333" s="2">
        <v>0</v>
      </c>
      <c r="F333" s="2">
        <v>123.38</v>
      </c>
    </row>
    <row r="334" spans="1:6" x14ac:dyDescent="0.2">
      <c r="A334" s="2" t="s">
        <v>14</v>
      </c>
      <c r="B334" s="2">
        <v>10</v>
      </c>
      <c r="C334" s="2">
        <v>7</v>
      </c>
      <c r="D334" s="2">
        <v>2021</v>
      </c>
      <c r="E334" s="2">
        <v>0</v>
      </c>
      <c r="F334" s="2">
        <v>123.07</v>
      </c>
    </row>
    <row r="335" spans="1:6" x14ac:dyDescent="0.2">
      <c r="A335" s="2" t="s">
        <v>26</v>
      </c>
      <c r="B335" s="2">
        <v>22</v>
      </c>
      <c r="C335" s="2">
        <v>6</v>
      </c>
      <c r="D335" s="2">
        <v>2021</v>
      </c>
      <c r="E335" s="2">
        <v>0</v>
      </c>
      <c r="F335" s="2">
        <v>122.7</v>
      </c>
    </row>
    <row r="336" spans="1:6" x14ac:dyDescent="0.2">
      <c r="A336" s="2" t="s">
        <v>25</v>
      </c>
      <c r="B336" s="2">
        <v>8</v>
      </c>
      <c r="C336" s="2">
        <v>9</v>
      </c>
      <c r="D336" s="2">
        <v>2021</v>
      </c>
      <c r="E336" s="2">
        <v>0</v>
      </c>
      <c r="F336" s="2">
        <v>122.7</v>
      </c>
    </row>
    <row r="337" spans="1:6" x14ac:dyDescent="0.2">
      <c r="A337" s="2" t="s">
        <v>71</v>
      </c>
      <c r="B337" s="2">
        <v>21</v>
      </c>
      <c r="C337" s="2">
        <v>12</v>
      </c>
      <c r="D337" s="2">
        <v>2021</v>
      </c>
      <c r="E337" s="2">
        <v>155.31</v>
      </c>
      <c r="F337" s="2">
        <v>122.45</v>
      </c>
    </row>
    <row r="338" spans="1:6" x14ac:dyDescent="0.2">
      <c r="A338" s="2" t="s">
        <v>72</v>
      </c>
      <c r="B338" s="2">
        <v>22</v>
      </c>
      <c r="C338" s="2">
        <v>12</v>
      </c>
      <c r="D338" s="2">
        <v>2021</v>
      </c>
      <c r="E338" s="2">
        <v>149.11000000000001</v>
      </c>
      <c r="F338" s="2">
        <v>122.14</v>
      </c>
    </row>
    <row r="339" spans="1:6" x14ac:dyDescent="0.2">
      <c r="A339" s="2" t="s">
        <v>19</v>
      </c>
      <c r="B339" s="2">
        <v>24</v>
      </c>
      <c r="C339" s="2">
        <v>9</v>
      </c>
      <c r="D339" s="2">
        <v>2021</v>
      </c>
      <c r="E339" s="2">
        <v>0</v>
      </c>
      <c r="F339" s="2">
        <v>122.1</v>
      </c>
    </row>
    <row r="340" spans="1:6" x14ac:dyDescent="0.2">
      <c r="A340" s="2" t="s">
        <v>22</v>
      </c>
      <c r="B340" s="2">
        <v>22</v>
      </c>
      <c r="C340" s="2">
        <v>7</v>
      </c>
      <c r="D340" s="2">
        <v>2021</v>
      </c>
      <c r="E340" s="2">
        <v>0</v>
      </c>
      <c r="F340" s="2">
        <v>121.83</v>
      </c>
    </row>
    <row r="341" spans="1:6" x14ac:dyDescent="0.2">
      <c r="A341" s="2" t="s">
        <v>99</v>
      </c>
      <c r="B341" s="2">
        <v>10</v>
      </c>
      <c r="C341" s="2">
        <v>5</v>
      </c>
      <c r="D341" s="2">
        <v>2021</v>
      </c>
      <c r="E341" s="1" t="s">
        <v>94</v>
      </c>
      <c r="F341" s="2">
        <v>121.52</v>
      </c>
    </row>
    <row r="342" spans="1:6" x14ac:dyDescent="0.2">
      <c r="A342" s="2" t="s">
        <v>79</v>
      </c>
      <c r="B342" s="2">
        <v>3</v>
      </c>
      <c r="C342" s="2">
        <v>3</v>
      </c>
      <c r="D342" s="2">
        <v>2021</v>
      </c>
      <c r="E342" s="2">
        <v>102.61</v>
      </c>
      <c r="F342" s="2">
        <v>121.52</v>
      </c>
    </row>
    <row r="343" spans="1:6" x14ac:dyDescent="0.2">
      <c r="A343" s="2" t="s">
        <v>4</v>
      </c>
      <c r="B343" s="2">
        <v>1</v>
      </c>
      <c r="C343" s="2">
        <v>3</v>
      </c>
      <c r="D343" s="2">
        <v>2021</v>
      </c>
      <c r="E343" s="2">
        <v>0</v>
      </c>
      <c r="F343" s="2">
        <v>121.52</v>
      </c>
    </row>
    <row r="344" spans="1:6" x14ac:dyDescent="0.2">
      <c r="A344" s="2" t="s">
        <v>98</v>
      </c>
      <c r="B344" s="2">
        <v>21</v>
      </c>
      <c r="C344" s="2">
        <v>6</v>
      </c>
      <c r="D344" s="2">
        <v>2021</v>
      </c>
      <c r="E344" s="1" t="s">
        <v>94</v>
      </c>
      <c r="F344" s="2">
        <v>121.5</v>
      </c>
    </row>
    <row r="345" spans="1:6" x14ac:dyDescent="0.2">
      <c r="A345" s="2" t="s">
        <v>19</v>
      </c>
      <c r="B345" s="2">
        <v>24</v>
      </c>
      <c r="C345" s="2">
        <v>7</v>
      </c>
      <c r="D345" s="2">
        <v>2021</v>
      </c>
      <c r="E345" s="1" t="s">
        <v>94</v>
      </c>
      <c r="F345" s="2">
        <v>121.21</v>
      </c>
    </row>
    <row r="346" spans="1:6" x14ac:dyDescent="0.2">
      <c r="A346" s="2" t="s">
        <v>17</v>
      </c>
      <c r="B346" s="2">
        <v>8</v>
      </c>
      <c r="C346" s="2">
        <v>6</v>
      </c>
      <c r="D346" s="2">
        <v>2021</v>
      </c>
      <c r="E346" s="1" t="s">
        <v>94</v>
      </c>
      <c r="F346" s="2">
        <v>120.9</v>
      </c>
    </row>
    <row r="347" spans="1:6" x14ac:dyDescent="0.2">
      <c r="A347" s="2" t="s">
        <v>28</v>
      </c>
      <c r="B347" s="2">
        <v>5</v>
      </c>
      <c r="C347" s="2">
        <v>8</v>
      </c>
      <c r="D347" s="2">
        <v>2021</v>
      </c>
      <c r="E347" s="1" t="s">
        <v>94</v>
      </c>
      <c r="F347" s="2">
        <v>120.9</v>
      </c>
    </row>
    <row r="348" spans="1:6" x14ac:dyDescent="0.2">
      <c r="A348" s="2" t="s">
        <v>97</v>
      </c>
      <c r="B348" s="2">
        <v>12</v>
      </c>
      <c r="C348" s="2">
        <v>2</v>
      </c>
      <c r="D348" s="2">
        <v>2021</v>
      </c>
      <c r="E348" s="1" t="s">
        <v>94</v>
      </c>
      <c r="F348" s="2">
        <v>120.68</v>
      </c>
    </row>
    <row r="349" spans="1:6" x14ac:dyDescent="0.2">
      <c r="A349" s="2" t="s">
        <v>79</v>
      </c>
      <c r="B349" s="2">
        <v>3</v>
      </c>
      <c r="C349" s="2">
        <v>4</v>
      </c>
      <c r="D349" s="2">
        <v>2021</v>
      </c>
      <c r="E349" s="2">
        <v>100.5</v>
      </c>
      <c r="F349" s="2">
        <v>120.6</v>
      </c>
    </row>
    <row r="350" spans="1:6" x14ac:dyDescent="0.2">
      <c r="A350" s="2" t="s">
        <v>98</v>
      </c>
      <c r="B350" s="2">
        <v>21</v>
      </c>
      <c r="C350" s="2">
        <v>7</v>
      </c>
      <c r="D350" s="2">
        <v>2021</v>
      </c>
      <c r="E350" s="1" t="s">
        <v>94</v>
      </c>
      <c r="F350" s="2">
        <v>120.59</v>
      </c>
    </row>
    <row r="351" spans="1:6" x14ac:dyDescent="0.2">
      <c r="A351" s="2" t="s">
        <v>24</v>
      </c>
      <c r="B351" s="2">
        <v>22</v>
      </c>
      <c r="C351" s="2">
        <v>7</v>
      </c>
      <c r="D351" s="2">
        <v>2021</v>
      </c>
      <c r="E351" s="2">
        <v>0</v>
      </c>
      <c r="F351" s="2">
        <v>120.59</v>
      </c>
    </row>
    <row r="352" spans="1:6" x14ac:dyDescent="0.2">
      <c r="A352" s="2" t="s">
        <v>72</v>
      </c>
      <c r="B352" s="2">
        <v>22</v>
      </c>
      <c r="C352" s="2">
        <v>4</v>
      </c>
      <c r="D352" s="2">
        <v>2021</v>
      </c>
      <c r="E352" s="2">
        <v>96.3</v>
      </c>
      <c r="F352" s="2">
        <v>120</v>
      </c>
    </row>
    <row r="353" spans="1:6" x14ac:dyDescent="0.2">
      <c r="A353" s="2" t="s">
        <v>2</v>
      </c>
      <c r="B353" s="2">
        <v>18</v>
      </c>
      <c r="C353" s="2">
        <v>4</v>
      </c>
      <c r="D353" s="2">
        <v>2021</v>
      </c>
      <c r="E353" s="2">
        <v>0</v>
      </c>
      <c r="F353" s="2">
        <v>120</v>
      </c>
    </row>
    <row r="354" spans="1:6" x14ac:dyDescent="0.2">
      <c r="A354" s="2" t="s">
        <v>72</v>
      </c>
      <c r="B354" s="2">
        <v>22</v>
      </c>
      <c r="C354" s="2">
        <v>5</v>
      </c>
      <c r="D354" s="2">
        <v>2021</v>
      </c>
      <c r="E354" s="2">
        <v>51.46</v>
      </c>
      <c r="F354" s="2">
        <v>119.97</v>
      </c>
    </row>
    <row r="355" spans="1:6" x14ac:dyDescent="0.2">
      <c r="A355" s="2" t="s">
        <v>1</v>
      </c>
      <c r="B355" s="2">
        <v>21</v>
      </c>
      <c r="C355" s="2">
        <v>3</v>
      </c>
      <c r="D355" s="2">
        <v>2021</v>
      </c>
      <c r="E355" s="2">
        <v>0</v>
      </c>
      <c r="F355" s="2">
        <v>119.97</v>
      </c>
    </row>
    <row r="356" spans="1:6" x14ac:dyDescent="0.2">
      <c r="A356" s="2" t="s">
        <v>7</v>
      </c>
      <c r="B356" s="2">
        <v>20</v>
      </c>
      <c r="C356" s="2">
        <v>8</v>
      </c>
      <c r="D356" s="2">
        <v>2021</v>
      </c>
      <c r="E356" s="2">
        <v>0</v>
      </c>
      <c r="F356" s="2">
        <v>119.97</v>
      </c>
    </row>
    <row r="357" spans="1:6" x14ac:dyDescent="0.2">
      <c r="A357" s="2" t="s">
        <v>99</v>
      </c>
      <c r="B357" s="2">
        <v>10</v>
      </c>
      <c r="C357" s="2">
        <v>8</v>
      </c>
      <c r="D357" s="2">
        <v>2021</v>
      </c>
      <c r="E357" s="1" t="s">
        <v>94</v>
      </c>
      <c r="F357" s="2">
        <v>119.66</v>
      </c>
    </row>
    <row r="358" spans="1:6" x14ac:dyDescent="0.2">
      <c r="A358" s="2" t="s">
        <v>79</v>
      </c>
      <c r="B358" s="2">
        <v>3</v>
      </c>
      <c r="C358" s="2">
        <v>12</v>
      </c>
      <c r="D358" s="2">
        <v>2021</v>
      </c>
      <c r="E358" s="2">
        <v>130.82</v>
      </c>
      <c r="F358" s="2">
        <v>119.66</v>
      </c>
    </row>
    <row r="359" spans="1:6" x14ac:dyDescent="0.2">
      <c r="A359" s="2" t="s">
        <v>8</v>
      </c>
      <c r="B359" s="2">
        <v>5</v>
      </c>
      <c r="C359" s="2">
        <v>9</v>
      </c>
      <c r="D359" s="2">
        <v>2021</v>
      </c>
      <c r="E359" s="2">
        <v>0</v>
      </c>
      <c r="F359" s="2">
        <v>119.4</v>
      </c>
    </row>
    <row r="360" spans="1:6" x14ac:dyDescent="0.2">
      <c r="A360" s="2" t="s">
        <v>26</v>
      </c>
      <c r="B360" s="2">
        <v>22</v>
      </c>
      <c r="C360" s="2">
        <v>7</v>
      </c>
      <c r="D360" s="2">
        <v>2021</v>
      </c>
      <c r="E360" s="1" t="s">
        <v>94</v>
      </c>
      <c r="F360" s="2">
        <v>119.35</v>
      </c>
    </row>
    <row r="361" spans="1:6" x14ac:dyDescent="0.2">
      <c r="A361" s="2" t="s">
        <v>20</v>
      </c>
      <c r="B361" s="2">
        <v>12</v>
      </c>
      <c r="C361" s="2">
        <v>6</v>
      </c>
      <c r="D361" s="2">
        <v>2021</v>
      </c>
      <c r="E361" s="2">
        <v>0</v>
      </c>
      <c r="F361" s="2">
        <v>119.1</v>
      </c>
    </row>
    <row r="362" spans="1:6" x14ac:dyDescent="0.2">
      <c r="A362" s="2" t="s">
        <v>15</v>
      </c>
      <c r="B362" s="2">
        <v>5</v>
      </c>
      <c r="C362" s="2">
        <v>7</v>
      </c>
      <c r="D362" s="2">
        <v>2021</v>
      </c>
      <c r="E362" s="1" t="s">
        <v>94</v>
      </c>
      <c r="F362" s="2">
        <v>119.04</v>
      </c>
    </row>
    <row r="363" spans="1:6" x14ac:dyDescent="0.2">
      <c r="A363" s="2" t="s">
        <v>6</v>
      </c>
      <c r="B363" s="2">
        <v>7</v>
      </c>
      <c r="C363" s="2">
        <v>7</v>
      </c>
      <c r="D363" s="2">
        <v>2021</v>
      </c>
      <c r="E363" s="1" t="s">
        <v>94</v>
      </c>
      <c r="F363" s="2">
        <v>119.04</v>
      </c>
    </row>
    <row r="364" spans="1:6" x14ac:dyDescent="0.2">
      <c r="A364" s="2" t="s">
        <v>71</v>
      </c>
      <c r="B364" s="2">
        <v>21</v>
      </c>
      <c r="C364" s="2">
        <v>3</v>
      </c>
      <c r="D364" s="2">
        <v>2021</v>
      </c>
      <c r="E364" s="2">
        <v>90.52</v>
      </c>
      <c r="F364" s="2">
        <v>119.04</v>
      </c>
    </row>
    <row r="365" spans="1:6" x14ac:dyDescent="0.2">
      <c r="A365" s="2" t="s">
        <v>71</v>
      </c>
      <c r="B365" s="2">
        <v>21</v>
      </c>
      <c r="C365" s="2">
        <v>7</v>
      </c>
      <c r="D365" s="2">
        <v>2021</v>
      </c>
      <c r="E365" s="2">
        <v>48.67</v>
      </c>
      <c r="F365" s="2">
        <v>119.04</v>
      </c>
    </row>
    <row r="366" spans="1:6" x14ac:dyDescent="0.2">
      <c r="A366" s="2" t="s">
        <v>14</v>
      </c>
      <c r="B366" s="2">
        <v>10</v>
      </c>
      <c r="C366" s="2">
        <v>8</v>
      </c>
      <c r="D366" s="2">
        <v>2021</v>
      </c>
      <c r="E366" s="2">
        <v>0</v>
      </c>
      <c r="F366" s="2">
        <v>119.04</v>
      </c>
    </row>
    <row r="367" spans="1:6" x14ac:dyDescent="0.2">
      <c r="A367" s="2" t="s">
        <v>16</v>
      </c>
      <c r="B367" s="2">
        <v>14</v>
      </c>
      <c r="C367" s="2">
        <v>8</v>
      </c>
      <c r="D367" s="2">
        <v>2021</v>
      </c>
      <c r="E367" s="2">
        <v>0</v>
      </c>
      <c r="F367" s="2">
        <v>118.73</v>
      </c>
    </row>
    <row r="368" spans="1:6" x14ac:dyDescent="0.2">
      <c r="A368" s="2" t="s">
        <v>22</v>
      </c>
      <c r="B368" s="2">
        <v>22</v>
      </c>
      <c r="C368" s="2">
        <v>6</v>
      </c>
      <c r="D368" s="2">
        <v>2021</v>
      </c>
      <c r="E368" s="2">
        <v>0</v>
      </c>
      <c r="F368" s="2">
        <v>118.2</v>
      </c>
    </row>
    <row r="369" spans="1:6" x14ac:dyDescent="0.2">
      <c r="A369" s="2" t="s">
        <v>12</v>
      </c>
      <c r="B369" s="2">
        <v>2</v>
      </c>
      <c r="C369" s="2">
        <v>7</v>
      </c>
      <c r="D369" s="2">
        <v>2021</v>
      </c>
      <c r="E369" s="2">
        <v>0</v>
      </c>
      <c r="F369" s="2">
        <v>118.11</v>
      </c>
    </row>
    <row r="370" spans="1:6" x14ac:dyDescent="0.2">
      <c r="A370" s="2" t="s">
        <v>100</v>
      </c>
      <c r="B370" s="2">
        <v>1</v>
      </c>
      <c r="C370" s="2">
        <v>6</v>
      </c>
      <c r="D370" s="2">
        <v>2021</v>
      </c>
      <c r="E370" s="1" t="s">
        <v>94</v>
      </c>
      <c r="F370" s="2">
        <v>117.3</v>
      </c>
    </row>
    <row r="371" spans="1:6" x14ac:dyDescent="0.2">
      <c r="A371" s="2" t="s">
        <v>72</v>
      </c>
      <c r="B371" s="2">
        <v>22</v>
      </c>
      <c r="C371" s="2">
        <v>6</v>
      </c>
      <c r="D371" s="2">
        <v>2021</v>
      </c>
      <c r="E371" s="2">
        <v>49.2</v>
      </c>
      <c r="F371" s="2">
        <v>117.3</v>
      </c>
    </row>
    <row r="372" spans="1:6" x14ac:dyDescent="0.2">
      <c r="A372" s="2" t="s">
        <v>15</v>
      </c>
      <c r="B372" s="2">
        <v>5</v>
      </c>
      <c r="C372" s="2">
        <v>6</v>
      </c>
      <c r="D372" s="2">
        <v>2021</v>
      </c>
      <c r="E372" s="2">
        <v>0</v>
      </c>
      <c r="F372" s="2">
        <v>117.3</v>
      </c>
    </row>
    <row r="373" spans="1:6" x14ac:dyDescent="0.2">
      <c r="A373" s="2" t="s">
        <v>79</v>
      </c>
      <c r="B373" s="2">
        <v>3</v>
      </c>
      <c r="C373" s="2">
        <v>10</v>
      </c>
      <c r="D373" s="2">
        <v>2021</v>
      </c>
      <c r="E373" s="2">
        <v>88.04</v>
      </c>
      <c r="F373" s="2">
        <v>117.18</v>
      </c>
    </row>
    <row r="374" spans="1:6" x14ac:dyDescent="0.2">
      <c r="A374" s="2" t="s">
        <v>77</v>
      </c>
      <c r="B374" s="2">
        <v>16</v>
      </c>
      <c r="C374" s="2">
        <v>5</v>
      </c>
      <c r="D374" s="2">
        <v>2021</v>
      </c>
      <c r="E374" s="2">
        <v>68.2</v>
      </c>
      <c r="F374" s="2">
        <v>116.87</v>
      </c>
    </row>
    <row r="375" spans="1:6" x14ac:dyDescent="0.2">
      <c r="A375" s="2" t="s">
        <v>17</v>
      </c>
      <c r="B375" s="2">
        <v>8</v>
      </c>
      <c r="C375" s="2">
        <v>5</v>
      </c>
      <c r="D375" s="2">
        <v>2021</v>
      </c>
      <c r="E375" s="2">
        <v>0</v>
      </c>
      <c r="F375" s="2">
        <v>116.87</v>
      </c>
    </row>
    <row r="376" spans="1:6" x14ac:dyDescent="0.2">
      <c r="A376" s="2" t="s">
        <v>71</v>
      </c>
      <c r="B376" s="2">
        <v>21</v>
      </c>
      <c r="C376" s="2">
        <v>5</v>
      </c>
      <c r="D376" s="2">
        <v>2021</v>
      </c>
      <c r="E376" s="2">
        <v>46.81</v>
      </c>
      <c r="F376" s="2">
        <v>116.56</v>
      </c>
    </row>
    <row r="377" spans="1:6" x14ac:dyDescent="0.2">
      <c r="A377" s="2" t="s">
        <v>15</v>
      </c>
      <c r="B377" s="2">
        <v>5</v>
      </c>
      <c r="C377" s="2">
        <v>5</v>
      </c>
      <c r="D377" s="2">
        <v>2021</v>
      </c>
      <c r="E377" s="2">
        <v>0</v>
      </c>
      <c r="F377" s="2">
        <v>116.56</v>
      </c>
    </row>
    <row r="378" spans="1:6" x14ac:dyDescent="0.2">
      <c r="A378" s="2" t="s">
        <v>100</v>
      </c>
      <c r="B378" s="2">
        <v>1</v>
      </c>
      <c r="C378" s="2">
        <v>5</v>
      </c>
      <c r="D378" s="2">
        <v>2021</v>
      </c>
      <c r="E378" s="1" t="s">
        <v>94</v>
      </c>
      <c r="F378" s="2">
        <v>115.63</v>
      </c>
    </row>
    <row r="379" spans="1:6" x14ac:dyDescent="0.2">
      <c r="A379" s="2" t="s">
        <v>83</v>
      </c>
      <c r="B379" s="2">
        <v>25</v>
      </c>
      <c r="C379" s="2">
        <v>12</v>
      </c>
      <c r="D379" s="2">
        <v>2021</v>
      </c>
      <c r="E379" s="2">
        <v>158.1</v>
      </c>
      <c r="F379" s="2">
        <v>115.63</v>
      </c>
    </row>
    <row r="380" spans="1:6" x14ac:dyDescent="0.2">
      <c r="A380" s="2" t="s">
        <v>86</v>
      </c>
      <c r="B380" s="2">
        <v>6</v>
      </c>
      <c r="C380" s="2">
        <v>7</v>
      </c>
      <c r="D380" s="2">
        <v>2021</v>
      </c>
      <c r="E380" s="2">
        <v>49.6</v>
      </c>
      <c r="F380" s="2">
        <v>115.63</v>
      </c>
    </row>
    <row r="381" spans="1:6" x14ac:dyDescent="0.2">
      <c r="A381" s="2" t="s">
        <v>72</v>
      </c>
      <c r="B381" s="2">
        <v>22</v>
      </c>
      <c r="C381" s="2">
        <v>7</v>
      </c>
      <c r="D381" s="2">
        <v>2021</v>
      </c>
      <c r="E381" s="2">
        <v>49.6</v>
      </c>
      <c r="F381" s="2">
        <v>115.63</v>
      </c>
    </row>
    <row r="382" spans="1:6" x14ac:dyDescent="0.2">
      <c r="A382" s="2" t="s">
        <v>3</v>
      </c>
      <c r="B382" s="2">
        <v>25</v>
      </c>
      <c r="C382" s="2">
        <v>8</v>
      </c>
      <c r="D382" s="2">
        <v>2021</v>
      </c>
      <c r="E382" s="2">
        <v>0</v>
      </c>
      <c r="F382" s="2">
        <v>115.63</v>
      </c>
    </row>
    <row r="383" spans="1:6" x14ac:dyDescent="0.2">
      <c r="A383" s="2" t="s">
        <v>97</v>
      </c>
      <c r="B383" s="2">
        <v>12</v>
      </c>
      <c r="C383" s="2">
        <v>3</v>
      </c>
      <c r="D383" s="2">
        <v>2021</v>
      </c>
      <c r="E383" s="1" t="s">
        <v>94</v>
      </c>
      <c r="F383" s="2">
        <v>115.32</v>
      </c>
    </row>
    <row r="384" spans="1:6" x14ac:dyDescent="0.2">
      <c r="A384" s="2" t="s">
        <v>99</v>
      </c>
      <c r="B384" s="2">
        <v>10</v>
      </c>
      <c r="C384" s="2">
        <v>7</v>
      </c>
      <c r="D384" s="2">
        <v>2021</v>
      </c>
      <c r="E384" s="1" t="s">
        <v>94</v>
      </c>
      <c r="F384" s="2">
        <v>115.32</v>
      </c>
    </row>
    <row r="385" spans="1:6" x14ac:dyDescent="0.2">
      <c r="A385" s="2" t="s">
        <v>83</v>
      </c>
      <c r="B385" s="2">
        <v>25</v>
      </c>
      <c r="C385" s="2">
        <v>7</v>
      </c>
      <c r="D385" s="2">
        <v>2021</v>
      </c>
      <c r="E385" s="2">
        <v>57.66</v>
      </c>
      <c r="F385" s="2">
        <v>115.32</v>
      </c>
    </row>
    <row r="386" spans="1:6" x14ac:dyDescent="0.2">
      <c r="A386" s="2" t="s">
        <v>13</v>
      </c>
      <c r="B386" s="2">
        <v>7</v>
      </c>
      <c r="C386" s="2">
        <v>9</v>
      </c>
      <c r="D386" s="2">
        <v>2021</v>
      </c>
      <c r="E386" s="2">
        <v>0</v>
      </c>
      <c r="F386" s="2">
        <v>115.2</v>
      </c>
    </row>
    <row r="387" spans="1:6" x14ac:dyDescent="0.2">
      <c r="A387" s="2" t="s">
        <v>3</v>
      </c>
      <c r="B387" s="2">
        <v>25</v>
      </c>
      <c r="C387" s="2">
        <v>9</v>
      </c>
      <c r="D387" s="2">
        <v>2021</v>
      </c>
      <c r="E387" s="2">
        <v>0</v>
      </c>
      <c r="F387" s="2">
        <v>115.2</v>
      </c>
    </row>
    <row r="388" spans="1:6" x14ac:dyDescent="0.2">
      <c r="A388" s="2" t="s">
        <v>71</v>
      </c>
      <c r="B388" s="2">
        <v>21</v>
      </c>
      <c r="C388" s="2">
        <v>9</v>
      </c>
      <c r="D388" s="2">
        <v>2021</v>
      </c>
      <c r="E388" s="2">
        <v>49.8</v>
      </c>
      <c r="F388" s="2">
        <v>114.9</v>
      </c>
    </row>
    <row r="389" spans="1:6" x14ac:dyDescent="0.2">
      <c r="A389" s="2" t="s">
        <v>72</v>
      </c>
      <c r="B389" s="2">
        <v>22</v>
      </c>
      <c r="C389" s="2">
        <v>1</v>
      </c>
      <c r="D389" s="2">
        <v>2021</v>
      </c>
      <c r="E389" s="2">
        <v>151.59</v>
      </c>
      <c r="F389" s="2">
        <v>114.7</v>
      </c>
    </row>
    <row r="390" spans="1:6" x14ac:dyDescent="0.2">
      <c r="A390" s="2" t="s">
        <v>77</v>
      </c>
      <c r="B390" s="2">
        <v>16</v>
      </c>
      <c r="C390" s="2">
        <v>8</v>
      </c>
      <c r="D390" s="2">
        <v>2021</v>
      </c>
      <c r="E390" s="2">
        <v>65.41</v>
      </c>
      <c r="F390" s="2">
        <v>114.7</v>
      </c>
    </row>
    <row r="391" spans="1:6" x14ac:dyDescent="0.2">
      <c r="A391" s="2" t="s">
        <v>54</v>
      </c>
      <c r="B391" s="2">
        <v>5</v>
      </c>
      <c r="C391" s="2">
        <v>7</v>
      </c>
      <c r="D391" s="2">
        <v>2021</v>
      </c>
      <c r="E391" s="2">
        <v>32.549999999999997</v>
      </c>
      <c r="F391" s="2">
        <v>114.7</v>
      </c>
    </row>
    <row r="392" spans="1:6" x14ac:dyDescent="0.2">
      <c r="A392" s="2" t="s">
        <v>88</v>
      </c>
      <c r="B392" s="2">
        <v>23</v>
      </c>
      <c r="C392" s="2">
        <v>8</v>
      </c>
      <c r="D392" s="2">
        <v>2021</v>
      </c>
      <c r="E392" s="2">
        <v>60.14</v>
      </c>
      <c r="F392" s="2">
        <v>114.08</v>
      </c>
    </row>
    <row r="393" spans="1:6" x14ac:dyDescent="0.2">
      <c r="A393" s="2" t="s">
        <v>15</v>
      </c>
      <c r="B393" s="2">
        <v>5</v>
      </c>
      <c r="C393" s="2">
        <v>8</v>
      </c>
      <c r="D393" s="2">
        <v>2021</v>
      </c>
      <c r="E393" s="2">
        <v>0</v>
      </c>
      <c r="F393" s="2">
        <v>114.08</v>
      </c>
    </row>
    <row r="394" spans="1:6" x14ac:dyDescent="0.2">
      <c r="A394" s="2" t="s">
        <v>5</v>
      </c>
      <c r="B394" s="2">
        <v>7</v>
      </c>
      <c r="C394" s="2">
        <v>8</v>
      </c>
      <c r="D394" s="2">
        <v>2021</v>
      </c>
      <c r="E394" s="2">
        <v>0</v>
      </c>
      <c r="F394" s="2">
        <v>113.77</v>
      </c>
    </row>
    <row r="395" spans="1:6" x14ac:dyDescent="0.2">
      <c r="A395" s="2" t="s">
        <v>22</v>
      </c>
      <c r="B395" s="2">
        <v>22</v>
      </c>
      <c r="C395" s="2">
        <v>9</v>
      </c>
      <c r="D395" s="2">
        <v>2021</v>
      </c>
      <c r="E395" s="1" t="s">
        <v>94</v>
      </c>
      <c r="F395" s="2">
        <v>113.7</v>
      </c>
    </row>
    <row r="396" spans="1:6" x14ac:dyDescent="0.2">
      <c r="A396" s="2" t="s">
        <v>79</v>
      </c>
      <c r="B396" s="2">
        <v>3</v>
      </c>
      <c r="C396" s="2">
        <v>5</v>
      </c>
      <c r="D396" s="2">
        <v>2021</v>
      </c>
      <c r="E396" s="2">
        <v>54.56</v>
      </c>
      <c r="F396" s="2">
        <v>113.15</v>
      </c>
    </row>
    <row r="397" spans="1:6" x14ac:dyDescent="0.2">
      <c r="A397" s="2" t="s">
        <v>6</v>
      </c>
      <c r="B397" s="2">
        <v>7</v>
      </c>
      <c r="C397" s="2">
        <v>5</v>
      </c>
      <c r="D397" s="2">
        <v>2021</v>
      </c>
      <c r="E397" s="2">
        <v>0</v>
      </c>
      <c r="F397" s="2">
        <v>113.15</v>
      </c>
    </row>
    <row r="398" spans="1:6" x14ac:dyDescent="0.2">
      <c r="A398" s="2" t="s">
        <v>9</v>
      </c>
      <c r="B398" s="2">
        <v>22</v>
      </c>
      <c r="C398" s="2">
        <v>9</v>
      </c>
      <c r="D398" s="2">
        <v>2021</v>
      </c>
      <c r="E398" s="2">
        <v>0</v>
      </c>
      <c r="F398" s="2">
        <v>113.1</v>
      </c>
    </row>
    <row r="399" spans="1:6" x14ac:dyDescent="0.2">
      <c r="A399" s="2" t="s">
        <v>2</v>
      </c>
      <c r="B399" s="2">
        <v>18</v>
      </c>
      <c r="C399" s="2">
        <v>10</v>
      </c>
      <c r="D399" s="2">
        <v>2021</v>
      </c>
      <c r="E399" s="2">
        <v>0</v>
      </c>
      <c r="F399" s="2">
        <v>112.84</v>
      </c>
    </row>
    <row r="400" spans="1:6" x14ac:dyDescent="0.2">
      <c r="A400" s="2" t="s">
        <v>72</v>
      </c>
      <c r="B400" s="2">
        <v>22</v>
      </c>
      <c r="C400" s="2">
        <v>10</v>
      </c>
      <c r="D400" s="2">
        <v>2021</v>
      </c>
      <c r="E400" s="2">
        <v>86.8</v>
      </c>
      <c r="F400" s="2">
        <v>112.53</v>
      </c>
    </row>
    <row r="401" spans="1:6" x14ac:dyDescent="0.2">
      <c r="A401" s="2" t="s">
        <v>99</v>
      </c>
      <c r="B401" s="2">
        <v>10</v>
      </c>
      <c r="C401" s="2">
        <v>9</v>
      </c>
      <c r="D401" s="2">
        <v>2021</v>
      </c>
      <c r="E401" s="1" t="s">
        <v>94</v>
      </c>
      <c r="F401" s="2">
        <v>112.5</v>
      </c>
    </row>
    <row r="402" spans="1:6" x14ac:dyDescent="0.2">
      <c r="A402" s="2" t="s">
        <v>3</v>
      </c>
      <c r="B402" s="2">
        <v>25</v>
      </c>
      <c r="C402" s="2">
        <v>7</v>
      </c>
      <c r="D402" s="2">
        <v>2021</v>
      </c>
      <c r="E402" s="2">
        <v>0</v>
      </c>
      <c r="F402" s="2">
        <v>112.22</v>
      </c>
    </row>
    <row r="403" spans="1:6" x14ac:dyDescent="0.2">
      <c r="A403" s="2" t="s">
        <v>77</v>
      </c>
      <c r="B403" s="2">
        <v>16</v>
      </c>
      <c r="C403" s="2">
        <v>9</v>
      </c>
      <c r="D403" s="2">
        <v>2021</v>
      </c>
      <c r="E403" s="2">
        <v>62.1</v>
      </c>
      <c r="F403" s="2">
        <v>112.2</v>
      </c>
    </row>
    <row r="404" spans="1:6" x14ac:dyDescent="0.2">
      <c r="A404" s="2" t="s">
        <v>12</v>
      </c>
      <c r="B404" s="2">
        <v>2</v>
      </c>
      <c r="C404" s="2">
        <v>9</v>
      </c>
      <c r="D404" s="2">
        <v>2021</v>
      </c>
      <c r="E404" s="2">
        <v>0</v>
      </c>
      <c r="F404" s="2">
        <v>112.2</v>
      </c>
    </row>
    <row r="405" spans="1:6" x14ac:dyDescent="0.2">
      <c r="A405" s="2" t="s">
        <v>54</v>
      </c>
      <c r="B405" s="2">
        <v>5</v>
      </c>
      <c r="C405" s="2">
        <v>1</v>
      </c>
      <c r="D405" s="2">
        <v>2021</v>
      </c>
      <c r="E405" s="2">
        <v>133.61000000000001</v>
      </c>
      <c r="F405" s="2">
        <v>111.91</v>
      </c>
    </row>
    <row r="406" spans="1:6" x14ac:dyDescent="0.2">
      <c r="A406" s="2" t="s">
        <v>77</v>
      </c>
      <c r="B406" s="2">
        <v>16</v>
      </c>
      <c r="C406" s="2">
        <v>3</v>
      </c>
      <c r="D406" s="2">
        <v>2021</v>
      </c>
      <c r="E406" s="2">
        <v>90.83</v>
      </c>
      <c r="F406" s="2">
        <v>111.91</v>
      </c>
    </row>
    <row r="407" spans="1:6" x14ac:dyDescent="0.2">
      <c r="A407" s="2" t="s">
        <v>9</v>
      </c>
      <c r="B407" s="2">
        <v>22</v>
      </c>
      <c r="C407" s="2">
        <v>7</v>
      </c>
      <c r="D407" s="2">
        <v>2021</v>
      </c>
      <c r="E407" s="2">
        <v>0</v>
      </c>
      <c r="F407" s="2">
        <v>111.91</v>
      </c>
    </row>
    <row r="408" spans="1:6" x14ac:dyDescent="0.2">
      <c r="A408" s="2" t="s">
        <v>4</v>
      </c>
      <c r="B408" s="2">
        <v>1</v>
      </c>
      <c r="C408" s="2">
        <v>8</v>
      </c>
      <c r="D408" s="2">
        <v>2021</v>
      </c>
      <c r="E408" s="2">
        <v>0</v>
      </c>
      <c r="F408" s="2">
        <v>111.91</v>
      </c>
    </row>
    <row r="409" spans="1:6" x14ac:dyDescent="0.2">
      <c r="A409" s="2" t="s">
        <v>71</v>
      </c>
      <c r="B409" s="2">
        <v>21</v>
      </c>
      <c r="C409" s="2">
        <v>4</v>
      </c>
      <c r="D409" s="2">
        <v>2021</v>
      </c>
      <c r="E409" s="2">
        <v>81.599999999999994</v>
      </c>
      <c r="F409" s="2">
        <v>111.9</v>
      </c>
    </row>
    <row r="410" spans="1:6" x14ac:dyDescent="0.2">
      <c r="A410" s="2" t="s">
        <v>79</v>
      </c>
      <c r="B410" s="2">
        <v>3</v>
      </c>
      <c r="C410" s="2">
        <v>11</v>
      </c>
      <c r="D410" s="2">
        <v>2021</v>
      </c>
      <c r="E410" s="2">
        <v>120.9</v>
      </c>
      <c r="F410" s="2">
        <v>111.6</v>
      </c>
    </row>
    <row r="411" spans="1:6" x14ac:dyDescent="0.2">
      <c r="A411" s="2" t="s">
        <v>71</v>
      </c>
      <c r="B411" s="2">
        <v>21</v>
      </c>
      <c r="C411" s="2">
        <v>6</v>
      </c>
      <c r="D411" s="2">
        <v>2021</v>
      </c>
      <c r="E411" s="2">
        <v>50.1</v>
      </c>
      <c r="F411" s="2">
        <v>111.6</v>
      </c>
    </row>
    <row r="412" spans="1:6" x14ac:dyDescent="0.2">
      <c r="A412" s="2" t="s">
        <v>5</v>
      </c>
      <c r="B412" s="2">
        <v>7</v>
      </c>
      <c r="C412" s="2">
        <v>9</v>
      </c>
      <c r="D412" s="2">
        <v>2021</v>
      </c>
      <c r="E412" s="2">
        <v>0</v>
      </c>
      <c r="F412" s="2">
        <v>111.6</v>
      </c>
    </row>
    <row r="413" spans="1:6" x14ac:dyDescent="0.2">
      <c r="A413" s="2" t="s">
        <v>54</v>
      </c>
      <c r="B413" s="2">
        <v>5</v>
      </c>
      <c r="C413" s="2">
        <v>6</v>
      </c>
      <c r="D413" s="2">
        <v>2021</v>
      </c>
      <c r="E413" s="2">
        <v>36.6</v>
      </c>
      <c r="F413" s="2">
        <v>111.3</v>
      </c>
    </row>
    <row r="414" spans="1:6" x14ac:dyDescent="0.2">
      <c r="A414" s="2" t="s">
        <v>3</v>
      </c>
      <c r="B414" s="2">
        <v>25</v>
      </c>
      <c r="C414" s="2">
        <v>6</v>
      </c>
      <c r="D414" s="2">
        <v>2021</v>
      </c>
      <c r="E414" s="2">
        <v>0</v>
      </c>
      <c r="F414" s="2">
        <v>111.3</v>
      </c>
    </row>
    <row r="415" spans="1:6" x14ac:dyDescent="0.2">
      <c r="A415" s="2" t="s">
        <v>77</v>
      </c>
      <c r="B415" s="2">
        <v>16</v>
      </c>
      <c r="C415" s="2">
        <v>11</v>
      </c>
      <c r="D415" s="2">
        <v>2021</v>
      </c>
      <c r="E415" s="2">
        <v>154.80000000000001</v>
      </c>
      <c r="F415" s="2">
        <v>111</v>
      </c>
    </row>
    <row r="416" spans="1:6" x14ac:dyDescent="0.2">
      <c r="A416" s="2" t="s">
        <v>12</v>
      </c>
      <c r="B416" s="2">
        <v>2</v>
      </c>
      <c r="C416" s="2">
        <v>8</v>
      </c>
      <c r="D416" s="2">
        <v>2021</v>
      </c>
      <c r="E416" s="2">
        <v>0</v>
      </c>
      <c r="F416" s="2">
        <v>110.98</v>
      </c>
    </row>
    <row r="417" spans="1:6" x14ac:dyDescent="0.2">
      <c r="A417" s="2" t="s">
        <v>11</v>
      </c>
      <c r="B417" s="2">
        <v>15</v>
      </c>
      <c r="C417" s="2">
        <v>8</v>
      </c>
      <c r="D417" s="2">
        <v>2021</v>
      </c>
      <c r="E417" s="2">
        <v>0</v>
      </c>
      <c r="F417" s="2">
        <v>110.98</v>
      </c>
    </row>
    <row r="418" spans="1:6" x14ac:dyDescent="0.2">
      <c r="A418" s="2" t="s">
        <v>83</v>
      </c>
      <c r="B418" s="2">
        <v>25</v>
      </c>
      <c r="C418" s="2">
        <v>3</v>
      </c>
      <c r="D418" s="2">
        <v>2021</v>
      </c>
      <c r="E418" s="2">
        <v>104.16</v>
      </c>
      <c r="F418" s="2">
        <v>110.67</v>
      </c>
    </row>
    <row r="419" spans="1:6" x14ac:dyDescent="0.2">
      <c r="A419" s="2" t="s">
        <v>83</v>
      </c>
      <c r="B419" s="2">
        <v>25</v>
      </c>
      <c r="C419" s="2">
        <v>4</v>
      </c>
      <c r="D419" s="2">
        <v>2021</v>
      </c>
      <c r="E419" s="2">
        <v>95.1</v>
      </c>
      <c r="F419" s="2">
        <v>110.4</v>
      </c>
    </row>
    <row r="420" spans="1:6" x14ac:dyDescent="0.2">
      <c r="A420" s="2" t="s">
        <v>88</v>
      </c>
      <c r="B420" s="2">
        <v>23</v>
      </c>
      <c r="C420" s="2">
        <v>4</v>
      </c>
      <c r="D420" s="2">
        <v>2021</v>
      </c>
      <c r="E420" s="2">
        <v>94.2</v>
      </c>
      <c r="F420" s="2">
        <v>110.4</v>
      </c>
    </row>
    <row r="421" spans="1:6" x14ac:dyDescent="0.2">
      <c r="A421" s="2" t="s">
        <v>71</v>
      </c>
      <c r="B421" s="2">
        <v>21</v>
      </c>
      <c r="C421" s="2">
        <v>10</v>
      </c>
      <c r="D421" s="2">
        <v>2021</v>
      </c>
      <c r="E421" s="2">
        <v>95.48</v>
      </c>
      <c r="F421" s="2">
        <v>110.36</v>
      </c>
    </row>
    <row r="422" spans="1:6" x14ac:dyDescent="0.2">
      <c r="A422" s="2" t="s">
        <v>4</v>
      </c>
      <c r="B422" s="2">
        <v>1</v>
      </c>
      <c r="C422" s="2">
        <v>5</v>
      </c>
      <c r="D422" s="2">
        <v>2021</v>
      </c>
      <c r="E422" s="2">
        <v>0</v>
      </c>
      <c r="F422" s="2">
        <v>110.05</v>
      </c>
    </row>
    <row r="423" spans="1:6" x14ac:dyDescent="0.2">
      <c r="A423" s="2" t="s">
        <v>13</v>
      </c>
      <c r="B423" s="2">
        <v>7</v>
      </c>
      <c r="C423" s="2">
        <v>6</v>
      </c>
      <c r="D423" s="2">
        <v>2021</v>
      </c>
      <c r="E423" s="2">
        <v>0</v>
      </c>
      <c r="F423" s="2">
        <v>109.8</v>
      </c>
    </row>
    <row r="424" spans="1:6" x14ac:dyDescent="0.2">
      <c r="A424" s="2" t="s">
        <v>7</v>
      </c>
      <c r="B424" s="2">
        <v>20</v>
      </c>
      <c r="C424" s="2">
        <v>7</v>
      </c>
      <c r="D424" s="2">
        <v>2021</v>
      </c>
      <c r="E424" s="2">
        <v>0</v>
      </c>
      <c r="F424" s="2">
        <v>109.74</v>
      </c>
    </row>
    <row r="425" spans="1:6" x14ac:dyDescent="0.2">
      <c r="A425" s="2" t="s">
        <v>70</v>
      </c>
      <c r="B425" s="2">
        <v>16</v>
      </c>
      <c r="C425" s="2">
        <v>1</v>
      </c>
      <c r="D425" s="2">
        <v>2021</v>
      </c>
      <c r="E425" s="2">
        <v>146.32</v>
      </c>
      <c r="F425" s="2">
        <v>109.43</v>
      </c>
    </row>
    <row r="426" spans="1:6" x14ac:dyDescent="0.2">
      <c r="A426" s="2" t="s">
        <v>84</v>
      </c>
      <c r="B426" s="2">
        <v>20</v>
      </c>
      <c r="C426" s="2">
        <v>1</v>
      </c>
      <c r="D426" s="2">
        <v>2021</v>
      </c>
      <c r="E426" s="2">
        <v>141.97999999999999</v>
      </c>
      <c r="F426" s="2">
        <v>109.43</v>
      </c>
    </row>
    <row r="427" spans="1:6" x14ac:dyDescent="0.2">
      <c r="A427" s="2" t="s">
        <v>70</v>
      </c>
      <c r="B427" s="2">
        <v>16</v>
      </c>
      <c r="C427" s="2">
        <v>12</v>
      </c>
      <c r="D427" s="2">
        <v>2021</v>
      </c>
      <c r="E427" s="2">
        <v>127.72</v>
      </c>
      <c r="F427" s="2">
        <v>109.43</v>
      </c>
    </row>
    <row r="428" spans="1:6" x14ac:dyDescent="0.2">
      <c r="A428" s="2" t="s">
        <v>41</v>
      </c>
      <c r="B428" s="2">
        <v>15</v>
      </c>
      <c r="C428" s="2">
        <v>10</v>
      </c>
      <c r="D428" s="2">
        <v>2021</v>
      </c>
      <c r="E428" s="2">
        <v>70.06</v>
      </c>
      <c r="F428" s="2">
        <v>109.43</v>
      </c>
    </row>
    <row r="429" spans="1:6" x14ac:dyDescent="0.2">
      <c r="A429" s="2" t="s">
        <v>61</v>
      </c>
      <c r="B429" s="2">
        <v>23</v>
      </c>
      <c r="C429" s="2">
        <v>8</v>
      </c>
      <c r="D429" s="2">
        <v>2021</v>
      </c>
      <c r="E429" s="2">
        <v>47.43</v>
      </c>
      <c r="F429" s="2">
        <v>109.43</v>
      </c>
    </row>
    <row r="430" spans="1:6" x14ac:dyDescent="0.2">
      <c r="A430" s="2" t="s">
        <v>71</v>
      </c>
      <c r="B430" s="2">
        <v>21</v>
      </c>
      <c r="C430" s="2">
        <v>1</v>
      </c>
      <c r="D430" s="2">
        <v>2021</v>
      </c>
      <c r="E430" s="2">
        <v>133.91999999999999</v>
      </c>
      <c r="F430" s="2">
        <v>109.12</v>
      </c>
    </row>
    <row r="431" spans="1:6" x14ac:dyDescent="0.2">
      <c r="A431" s="2" t="s">
        <v>4</v>
      </c>
      <c r="B431" s="2">
        <v>1</v>
      </c>
      <c r="C431" s="2">
        <v>9</v>
      </c>
      <c r="D431" s="2">
        <v>2021</v>
      </c>
      <c r="E431" s="1" t="s">
        <v>94</v>
      </c>
      <c r="F431" s="2">
        <v>108.9</v>
      </c>
    </row>
    <row r="432" spans="1:6" x14ac:dyDescent="0.2">
      <c r="A432" s="2" t="s">
        <v>12</v>
      </c>
      <c r="B432" s="2">
        <v>2</v>
      </c>
      <c r="C432" s="2">
        <v>6</v>
      </c>
      <c r="D432" s="2">
        <v>2021</v>
      </c>
      <c r="E432" s="2">
        <v>0</v>
      </c>
      <c r="F432" s="2">
        <v>108.9</v>
      </c>
    </row>
    <row r="433" spans="1:6" x14ac:dyDescent="0.2">
      <c r="A433" s="2" t="s">
        <v>16</v>
      </c>
      <c r="B433" s="2">
        <v>14</v>
      </c>
      <c r="C433" s="2">
        <v>6</v>
      </c>
      <c r="D433" s="2">
        <v>2021</v>
      </c>
      <c r="E433" s="2">
        <v>0</v>
      </c>
      <c r="F433" s="2">
        <v>108.9</v>
      </c>
    </row>
    <row r="434" spans="1:6" x14ac:dyDescent="0.2">
      <c r="A434" s="2" t="s">
        <v>21</v>
      </c>
      <c r="B434" s="2">
        <v>15</v>
      </c>
      <c r="C434" s="2">
        <v>6</v>
      </c>
      <c r="D434" s="2">
        <v>2021</v>
      </c>
      <c r="E434" s="2">
        <v>0</v>
      </c>
      <c r="F434" s="2">
        <v>108.9</v>
      </c>
    </row>
    <row r="435" spans="1:6" x14ac:dyDescent="0.2">
      <c r="A435" s="2" t="s">
        <v>100</v>
      </c>
      <c r="B435" s="2">
        <v>1</v>
      </c>
      <c r="C435" s="2">
        <v>8</v>
      </c>
      <c r="D435" s="2">
        <v>2021</v>
      </c>
      <c r="E435" s="1" t="s">
        <v>94</v>
      </c>
      <c r="F435" s="2">
        <v>108.81</v>
      </c>
    </row>
    <row r="436" spans="1:6" x14ac:dyDescent="0.2">
      <c r="A436" s="2" t="s">
        <v>18</v>
      </c>
      <c r="B436" s="2">
        <v>5</v>
      </c>
      <c r="C436" s="2">
        <v>8</v>
      </c>
      <c r="D436" s="2">
        <v>2021</v>
      </c>
      <c r="E436" s="2">
        <v>0</v>
      </c>
      <c r="F436" s="2">
        <v>108.81</v>
      </c>
    </row>
    <row r="437" spans="1:6" x14ac:dyDescent="0.2">
      <c r="A437" s="2" t="s">
        <v>100</v>
      </c>
      <c r="B437" s="2">
        <v>1</v>
      </c>
      <c r="C437" s="2">
        <v>7</v>
      </c>
      <c r="D437" s="2">
        <v>2021</v>
      </c>
      <c r="E437" s="1" t="s">
        <v>94</v>
      </c>
      <c r="F437" s="2">
        <v>108.5</v>
      </c>
    </row>
    <row r="438" spans="1:6" x14ac:dyDescent="0.2">
      <c r="A438" s="2" t="s">
        <v>44</v>
      </c>
      <c r="B438" s="2">
        <v>1</v>
      </c>
      <c r="C438" s="2">
        <v>1</v>
      </c>
      <c r="D438" s="2">
        <v>2021</v>
      </c>
      <c r="E438" s="2">
        <v>133.61000000000001</v>
      </c>
      <c r="F438" s="2">
        <v>108.5</v>
      </c>
    </row>
    <row r="439" spans="1:6" x14ac:dyDescent="0.2">
      <c r="A439" s="2" t="s">
        <v>65</v>
      </c>
      <c r="B439" s="2">
        <v>11</v>
      </c>
      <c r="C439" s="2">
        <v>8</v>
      </c>
      <c r="D439" s="2">
        <v>2021</v>
      </c>
      <c r="E439" s="2">
        <v>39.68</v>
      </c>
      <c r="F439" s="2">
        <v>108.5</v>
      </c>
    </row>
    <row r="440" spans="1:6" x14ac:dyDescent="0.2">
      <c r="A440" s="2" t="s">
        <v>9</v>
      </c>
      <c r="B440" s="2">
        <v>22</v>
      </c>
      <c r="C440" s="2">
        <v>6</v>
      </c>
      <c r="D440" s="2">
        <v>2021</v>
      </c>
      <c r="E440" s="2">
        <v>0</v>
      </c>
      <c r="F440" s="2">
        <v>108.3</v>
      </c>
    </row>
    <row r="441" spans="1:6" x14ac:dyDescent="0.2">
      <c r="A441" s="2" t="s">
        <v>19</v>
      </c>
      <c r="B441" s="2">
        <v>24</v>
      </c>
      <c r="C441" s="2">
        <v>6</v>
      </c>
      <c r="D441" s="2">
        <v>2021</v>
      </c>
      <c r="E441" s="2">
        <v>0</v>
      </c>
      <c r="F441" s="2">
        <v>108.3</v>
      </c>
    </row>
    <row r="442" spans="1:6" x14ac:dyDescent="0.2">
      <c r="A442" s="2" t="s">
        <v>16</v>
      </c>
      <c r="B442" s="2">
        <v>14</v>
      </c>
      <c r="C442" s="2">
        <v>9</v>
      </c>
      <c r="D442" s="2">
        <v>2021</v>
      </c>
      <c r="E442" s="2">
        <v>0</v>
      </c>
      <c r="F442" s="2">
        <v>108.3</v>
      </c>
    </row>
    <row r="443" spans="1:6" x14ac:dyDescent="0.2">
      <c r="A443" s="2" t="s">
        <v>79</v>
      </c>
      <c r="B443" s="2">
        <v>3</v>
      </c>
      <c r="C443" s="2">
        <v>1</v>
      </c>
      <c r="D443" s="2">
        <v>2021</v>
      </c>
      <c r="E443" s="2">
        <v>134.85</v>
      </c>
      <c r="F443" s="2">
        <v>108.19</v>
      </c>
    </row>
    <row r="444" spans="1:6" x14ac:dyDescent="0.2">
      <c r="A444" s="2" t="s">
        <v>77</v>
      </c>
      <c r="B444" s="2">
        <v>16</v>
      </c>
      <c r="C444" s="2">
        <v>7</v>
      </c>
      <c r="D444" s="2">
        <v>2021</v>
      </c>
      <c r="E444" s="2">
        <v>51.15</v>
      </c>
      <c r="F444" s="2">
        <v>108.19</v>
      </c>
    </row>
    <row r="445" spans="1:6" x14ac:dyDescent="0.2">
      <c r="A445" s="2" t="s">
        <v>44</v>
      </c>
      <c r="B445" s="2">
        <v>1</v>
      </c>
      <c r="C445" s="2">
        <v>7</v>
      </c>
      <c r="D445" s="2">
        <v>2021</v>
      </c>
      <c r="E445" s="2">
        <v>34.1</v>
      </c>
      <c r="F445" s="2">
        <v>108.19</v>
      </c>
    </row>
    <row r="446" spans="1:6" x14ac:dyDescent="0.2">
      <c r="A446" s="2" t="s">
        <v>17</v>
      </c>
      <c r="B446" s="2">
        <v>8</v>
      </c>
      <c r="C446" s="2">
        <v>8</v>
      </c>
      <c r="D446" s="2">
        <v>2021</v>
      </c>
      <c r="E446" s="2">
        <v>0</v>
      </c>
      <c r="F446" s="2">
        <v>108.19</v>
      </c>
    </row>
    <row r="447" spans="1:6" x14ac:dyDescent="0.2">
      <c r="A447" s="2" t="s">
        <v>61</v>
      </c>
      <c r="B447" s="2">
        <v>23</v>
      </c>
      <c r="C447" s="2">
        <v>6</v>
      </c>
      <c r="D447" s="2">
        <v>2021</v>
      </c>
      <c r="E447" s="2">
        <v>36</v>
      </c>
      <c r="F447" s="2">
        <v>108</v>
      </c>
    </row>
    <row r="448" spans="1:6" x14ac:dyDescent="0.2">
      <c r="A448" s="2" t="s">
        <v>65</v>
      </c>
      <c r="B448" s="2">
        <v>11</v>
      </c>
      <c r="C448" s="2">
        <v>1</v>
      </c>
      <c r="D448" s="2">
        <v>2021</v>
      </c>
      <c r="E448" s="2">
        <v>136.4</v>
      </c>
      <c r="F448" s="2">
        <v>107.88</v>
      </c>
    </row>
    <row r="449" spans="1:6" x14ac:dyDescent="0.2">
      <c r="A449" s="2" t="s">
        <v>69</v>
      </c>
      <c r="B449" s="2">
        <v>12</v>
      </c>
      <c r="C449" s="2">
        <v>1</v>
      </c>
      <c r="D449" s="2">
        <v>2021</v>
      </c>
      <c r="E449" s="2">
        <v>118.11</v>
      </c>
      <c r="F449" s="2">
        <v>107.88</v>
      </c>
    </row>
    <row r="450" spans="1:6" x14ac:dyDescent="0.2">
      <c r="A450" s="2" t="s">
        <v>71</v>
      </c>
      <c r="B450" s="2">
        <v>21</v>
      </c>
      <c r="C450" s="2">
        <v>8</v>
      </c>
      <c r="D450" s="2">
        <v>2021</v>
      </c>
      <c r="E450" s="2">
        <v>52.39</v>
      </c>
      <c r="F450" s="2">
        <v>107.88</v>
      </c>
    </row>
    <row r="451" spans="1:6" x14ac:dyDescent="0.2">
      <c r="A451" s="2" t="s">
        <v>79</v>
      </c>
      <c r="B451" s="2">
        <v>3</v>
      </c>
      <c r="C451" s="2">
        <v>9</v>
      </c>
      <c r="D451" s="2">
        <v>2021</v>
      </c>
      <c r="E451" s="2">
        <v>68.400000000000006</v>
      </c>
      <c r="F451" s="2">
        <v>107.7</v>
      </c>
    </row>
    <row r="452" spans="1:6" x14ac:dyDescent="0.2">
      <c r="A452" s="2" t="s">
        <v>10</v>
      </c>
      <c r="B452" s="2">
        <v>18</v>
      </c>
      <c r="C452" s="2">
        <v>9</v>
      </c>
      <c r="D452" s="2">
        <v>2021</v>
      </c>
      <c r="E452" s="2">
        <v>0</v>
      </c>
      <c r="F452" s="2">
        <v>107.7</v>
      </c>
    </row>
    <row r="453" spans="1:6" x14ac:dyDescent="0.2">
      <c r="A453" s="2" t="s">
        <v>5</v>
      </c>
      <c r="B453" s="2">
        <v>7</v>
      </c>
      <c r="C453" s="2">
        <v>7</v>
      </c>
      <c r="D453" s="2">
        <v>2021</v>
      </c>
      <c r="E453" s="2">
        <v>0</v>
      </c>
      <c r="F453" s="2">
        <v>107.57</v>
      </c>
    </row>
    <row r="454" spans="1:6" x14ac:dyDescent="0.2">
      <c r="A454" s="2" t="s">
        <v>52</v>
      </c>
      <c r="B454" s="2">
        <v>1</v>
      </c>
      <c r="C454" s="2">
        <v>12</v>
      </c>
      <c r="D454" s="2">
        <v>2021</v>
      </c>
      <c r="E454" s="2">
        <v>127.1</v>
      </c>
      <c r="F454" s="2">
        <v>107.26</v>
      </c>
    </row>
    <row r="455" spans="1:6" x14ac:dyDescent="0.2">
      <c r="A455" s="2" t="s">
        <v>13</v>
      </c>
      <c r="B455" s="2">
        <v>7</v>
      </c>
      <c r="C455" s="2">
        <v>5</v>
      </c>
      <c r="D455" s="2">
        <v>2021</v>
      </c>
      <c r="E455" s="2">
        <v>0</v>
      </c>
      <c r="F455" s="2">
        <v>106.64</v>
      </c>
    </row>
    <row r="456" spans="1:6" x14ac:dyDescent="0.2">
      <c r="A456" s="2" t="s">
        <v>70</v>
      </c>
      <c r="B456" s="2">
        <v>16</v>
      </c>
      <c r="C456" s="2">
        <v>4</v>
      </c>
      <c r="D456" s="2">
        <v>2021</v>
      </c>
      <c r="E456" s="2">
        <v>87.3</v>
      </c>
      <c r="F456" s="2">
        <v>106.2</v>
      </c>
    </row>
    <row r="457" spans="1:6" x14ac:dyDescent="0.2">
      <c r="A457" s="2" t="s">
        <v>69</v>
      </c>
      <c r="B457" s="2">
        <v>12</v>
      </c>
      <c r="C457" s="2">
        <v>10</v>
      </c>
      <c r="D457" s="2">
        <v>2021</v>
      </c>
      <c r="E457" s="2">
        <v>77.19</v>
      </c>
      <c r="F457" s="2">
        <v>106.02</v>
      </c>
    </row>
    <row r="458" spans="1:6" x14ac:dyDescent="0.2">
      <c r="A458" s="2" t="s">
        <v>13</v>
      </c>
      <c r="B458" s="2">
        <v>7</v>
      </c>
      <c r="C458" s="2">
        <v>7</v>
      </c>
      <c r="D458" s="2">
        <v>2021</v>
      </c>
      <c r="E458" s="2">
        <v>0</v>
      </c>
      <c r="F458" s="2">
        <v>106.02</v>
      </c>
    </row>
    <row r="459" spans="1:6" x14ac:dyDescent="0.2">
      <c r="A459" s="2" t="s">
        <v>6</v>
      </c>
      <c r="B459" s="2">
        <v>7</v>
      </c>
      <c r="C459" s="2">
        <v>8</v>
      </c>
      <c r="D459" s="2">
        <v>2021</v>
      </c>
      <c r="E459" s="2">
        <v>0</v>
      </c>
      <c r="F459" s="2">
        <v>106.02</v>
      </c>
    </row>
    <row r="460" spans="1:6" x14ac:dyDescent="0.2">
      <c r="A460" s="2" t="s">
        <v>68</v>
      </c>
      <c r="B460" s="2">
        <v>11</v>
      </c>
      <c r="C460" s="2">
        <v>9</v>
      </c>
      <c r="D460" s="2">
        <v>2021</v>
      </c>
      <c r="E460" s="2">
        <v>60.6</v>
      </c>
      <c r="F460" s="2">
        <v>105.9</v>
      </c>
    </row>
    <row r="461" spans="1:6" x14ac:dyDescent="0.2">
      <c r="A461" s="2" t="s">
        <v>77</v>
      </c>
      <c r="B461" s="2">
        <v>16</v>
      </c>
      <c r="C461" s="2">
        <v>10</v>
      </c>
      <c r="D461" s="2">
        <v>2021</v>
      </c>
      <c r="E461" s="2">
        <v>84.32</v>
      </c>
      <c r="F461" s="2">
        <v>105.71</v>
      </c>
    </row>
    <row r="462" spans="1:6" x14ac:dyDescent="0.2">
      <c r="A462" s="2" t="s">
        <v>61</v>
      </c>
      <c r="B462" s="2">
        <v>23</v>
      </c>
      <c r="C462" s="2">
        <v>9</v>
      </c>
      <c r="D462" s="2">
        <v>2021</v>
      </c>
      <c r="E462" s="2">
        <v>48.9</v>
      </c>
      <c r="F462" s="2">
        <v>105.6</v>
      </c>
    </row>
    <row r="463" spans="1:6" x14ac:dyDescent="0.2">
      <c r="A463" s="2" t="s">
        <v>68</v>
      </c>
      <c r="B463" s="2">
        <v>11</v>
      </c>
      <c r="C463" s="2">
        <v>8</v>
      </c>
      <c r="D463" s="2">
        <v>2021</v>
      </c>
      <c r="E463" s="2">
        <v>51.46</v>
      </c>
      <c r="F463" s="2">
        <v>105.4</v>
      </c>
    </row>
    <row r="464" spans="1:6" x14ac:dyDescent="0.2">
      <c r="A464" s="2" t="s">
        <v>78</v>
      </c>
      <c r="B464" s="2">
        <v>18</v>
      </c>
      <c r="C464" s="2">
        <v>5</v>
      </c>
      <c r="D464" s="2">
        <v>2021</v>
      </c>
      <c r="E464" s="2">
        <v>49.29</v>
      </c>
      <c r="F464" s="2">
        <v>105.4</v>
      </c>
    </row>
    <row r="465" spans="1:6" x14ac:dyDescent="0.2">
      <c r="A465" s="2" t="s">
        <v>63</v>
      </c>
      <c r="B465" s="2">
        <v>25</v>
      </c>
      <c r="C465" s="2">
        <v>5</v>
      </c>
      <c r="D465" s="2">
        <v>2021</v>
      </c>
      <c r="E465" s="2">
        <v>43.09</v>
      </c>
      <c r="F465" s="2">
        <v>105.4</v>
      </c>
    </row>
    <row r="466" spans="1:6" x14ac:dyDescent="0.2">
      <c r="A466" s="2" t="s">
        <v>16</v>
      </c>
      <c r="B466" s="2">
        <v>14</v>
      </c>
      <c r="C466" s="2">
        <v>7</v>
      </c>
      <c r="D466" s="2">
        <v>2021</v>
      </c>
      <c r="E466" s="2">
        <v>0</v>
      </c>
      <c r="F466" s="2">
        <v>105.4</v>
      </c>
    </row>
    <row r="467" spans="1:6" x14ac:dyDescent="0.2">
      <c r="A467" s="2" t="s">
        <v>10</v>
      </c>
      <c r="B467" s="2">
        <v>18</v>
      </c>
      <c r="C467" s="2">
        <v>8</v>
      </c>
      <c r="D467" s="2">
        <v>2021</v>
      </c>
      <c r="E467" s="2">
        <v>0</v>
      </c>
      <c r="F467" s="2">
        <v>105.4</v>
      </c>
    </row>
    <row r="468" spans="1:6" x14ac:dyDescent="0.2">
      <c r="A468" s="2" t="s">
        <v>97</v>
      </c>
      <c r="B468" s="2">
        <v>12</v>
      </c>
      <c r="C468" s="2">
        <v>6</v>
      </c>
      <c r="D468" s="2">
        <v>2021</v>
      </c>
      <c r="E468" s="1" t="s">
        <v>94</v>
      </c>
      <c r="F468" s="2">
        <v>105.3</v>
      </c>
    </row>
    <row r="469" spans="1:6" x14ac:dyDescent="0.2">
      <c r="A469" s="2" t="s">
        <v>65</v>
      </c>
      <c r="B469" s="2">
        <v>11</v>
      </c>
      <c r="C469" s="2">
        <v>9</v>
      </c>
      <c r="D469" s="2">
        <v>2021</v>
      </c>
      <c r="E469" s="2">
        <v>52.5</v>
      </c>
      <c r="F469" s="2">
        <v>105.3</v>
      </c>
    </row>
    <row r="470" spans="1:6" x14ac:dyDescent="0.2">
      <c r="A470" s="2" t="s">
        <v>14</v>
      </c>
      <c r="B470" s="2">
        <v>10</v>
      </c>
      <c r="C470" s="2">
        <v>6</v>
      </c>
      <c r="D470" s="2">
        <v>2021</v>
      </c>
      <c r="E470" s="2">
        <v>0</v>
      </c>
      <c r="F470" s="2">
        <v>105.3</v>
      </c>
    </row>
    <row r="471" spans="1:6" x14ac:dyDescent="0.2">
      <c r="A471" s="2" t="s">
        <v>90</v>
      </c>
      <c r="B471" s="2">
        <v>18</v>
      </c>
      <c r="C471" s="2">
        <v>1</v>
      </c>
      <c r="D471" s="2">
        <v>2021</v>
      </c>
      <c r="E471" s="2">
        <v>162.44</v>
      </c>
      <c r="F471" s="2">
        <v>105.09</v>
      </c>
    </row>
    <row r="472" spans="1:6" x14ac:dyDescent="0.2">
      <c r="A472" s="2" t="s">
        <v>83</v>
      </c>
      <c r="B472" s="2">
        <v>25</v>
      </c>
      <c r="C472" s="2">
        <v>5</v>
      </c>
      <c r="D472" s="2">
        <v>2021</v>
      </c>
      <c r="E472" s="2">
        <v>64.17</v>
      </c>
      <c r="F472" s="2">
        <v>105.09</v>
      </c>
    </row>
    <row r="473" spans="1:6" x14ac:dyDescent="0.2">
      <c r="A473" s="2" t="s">
        <v>98</v>
      </c>
      <c r="B473" s="2">
        <v>21</v>
      </c>
      <c r="C473" s="2">
        <v>9</v>
      </c>
      <c r="D473" s="2">
        <v>2021</v>
      </c>
      <c r="E473" s="1" t="s">
        <v>94</v>
      </c>
      <c r="F473" s="2">
        <v>105</v>
      </c>
    </row>
    <row r="474" spans="1:6" x14ac:dyDescent="0.2">
      <c r="A474" s="2" t="s">
        <v>77</v>
      </c>
      <c r="B474" s="2">
        <v>16</v>
      </c>
      <c r="C474" s="2">
        <v>6</v>
      </c>
      <c r="D474" s="2">
        <v>2021</v>
      </c>
      <c r="E474" s="2">
        <v>44.1</v>
      </c>
      <c r="F474" s="2">
        <v>105</v>
      </c>
    </row>
    <row r="475" spans="1:6" x14ac:dyDescent="0.2">
      <c r="A475" s="2" t="s">
        <v>52</v>
      </c>
      <c r="B475" s="2">
        <v>1</v>
      </c>
      <c r="C475" s="2">
        <v>6</v>
      </c>
      <c r="D475" s="2">
        <v>2021</v>
      </c>
      <c r="E475" s="2">
        <v>38.1</v>
      </c>
      <c r="F475" s="2">
        <v>105</v>
      </c>
    </row>
    <row r="476" spans="1:6" x14ac:dyDescent="0.2">
      <c r="A476" s="2" t="s">
        <v>86</v>
      </c>
      <c r="B476" s="2">
        <v>6</v>
      </c>
      <c r="C476" s="2">
        <v>1</v>
      </c>
      <c r="D476" s="2">
        <v>2021</v>
      </c>
      <c r="E476" s="2">
        <v>133.61000000000001</v>
      </c>
      <c r="F476" s="2">
        <v>104.78</v>
      </c>
    </row>
    <row r="477" spans="1:6" x14ac:dyDescent="0.2">
      <c r="A477" s="2" t="s">
        <v>81</v>
      </c>
      <c r="B477" s="2">
        <v>19</v>
      </c>
      <c r="C477" s="2">
        <v>7</v>
      </c>
      <c r="D477" s="2">
        <v>2021</v>
      </c>
      <c r="E477" s="2">
        <v>54.56</v>
      </c>
      <c r="F477" s="2">
        <v>104.78</v>
      </c>
    </row>
    <row r="478" spans="1:6" x14ac:dyDescent="0.2">
      <c r="A478" s="2" t="s">
        <v>72</v>
      </c>
      <c r="B478" s="2">
        <v>22</v>
      </c>
      <c r="C478" s="2">
        <v>11</v>
      </c>
      <c r="D478" s="2">
        <v>2021</v>
      </c>
      <c r="E478" s="2">
        <v>152.1</v>
      </c>
      <c r="F478" s="2">
        <v>104.7</v>
      </c>
    </row>
    <row r="479" spans="1:6" x14ac:dyDescent="0.2">
      <c r="A479" s="2" t="s">
        <v>79</v>
      </c>
      <c r="B479" s="2">
        <v>3</v>
      </c>
      <c r="C479" s="2">
        <v>7</v>
      </c>
      <c r="D479" s="2">
        <v>2021</v>
      </c>
      <c r="E479" s="2">
        <v>58.9</v>
      </c>
      <c r="F479" s="2">
        <v>104.47</v>
      </c>
    </row>
    <row r="480" spans="1:6" x14ac:dyDescent="0.2">
      <c r="A480" s="2" t="s">
        <v>3</v>
      </c>
      <c r="B480" s="2">
        <v>25</v>
      </c>
      <c r="C480" s="2">
        <v>5</v>
      </c>
      <c r="D480" s="2">
        <v>2021</v>
      </c>
      <c r="E480" s="1" t="s">
        <v>94</v>
      </c>
      <c r="F480" s="2">
        <v>104.16</v>
      </c>
    </row>
    <row r="481" spans="1:6" x14ac:dyDescent="0.2">
      <c r="A481" s="2" t="s">
        <v>84</v>
      </c>
      <c r="B481" s="2">
        <v>20</v>
      </c>
      <c r="C481" s="2">
        <v>12</v>
      </c>
      <c r="D481" s="2">
        <v>2021</v>
      </c>
      <c r="E481" s="2">
        <v>126.17</v>
      </c>
      <c r="F481" s="2">
        <v>104.16</v>
      </c>
    </row>
    <row r="482" spans="1:6" x14ac:dyDescent="0.2">
      <c r="A482" s="2" t="s">
        <v>41</v>
      </c>
      <c r="B482" s="2">
        <v>15</v>
      </c>
      <c r="C482" s="2">
        <v>9</v>
      </c>
      <c r="D482" s="2">
        <v>2021</v>
      </c>
      <c r="E482" s="2">
        <v>42.6</v>
      </c>
      <c r="F482" s="2">
        <v>104.1</v>
      </c>
    </row>
    <row r="483" spans="1:6" x14ac:dyDescent="0.2">
      <c r="A483" s="2" t="s">
        <v>5</v>
      </c>
      <c r="B483" s="2">
        <v>7</v>
      </c>
      <c r="C483" s="2">
        <v>6</v>
      </c>
      <c r="D483" s="2">
        <v>2021</v>
      </c>
      <c r="E483" s="2">
        <v>0</v>
      </c>
      <c r="F483" s="2">
        <v>104.1</v>
      </c>
    </row>
    <row r="484" spans="1:6" x14ac:dyDescent="0.2">
      <c r="A484" s="2" t="s">
        <v>72</v>
      </c>
      <c r="B484" s="2">
        <v>22</v>
      </c>
      <c r="C484" s="2">
        <v>9</v>
      </c>
      <c r="D484" s="2">
        <v>2021</v>
      </c>
      <c r="E484" s="2">
        <v>56.1</v>
      </c>
      <c r="F484" s="2">
        <v>103.8</v>
      </c>
    </row>
    <row r="485" spans="1:6" x14ac:dyDescent="0.2">
      <c r="A485" s="2" t="s">
        <v>69</v>
      </c>
      <c r="B485" s="2">
        <v>12</v>
      </c>
      <c r="C485" s="2">
        <v>3</v>
      </c>
      <c r="D485" s="2">
        <v>2021</v>
      </c>
      <c r="E485" s="2">
        <v>83.39</v>
      </c>
      <c r="F485" s="2">
        <v>103.54</v>
      </c>
    </row>
    <row r="486" spans="1:6" x14ac:dyDescent="0.2">
      <c r="A486" s="2" t="s">
        <v>43</v>
      </c>
      <c r="B486" s="2">
        <v>15</v>
      </c>
      <c r="C486" s="2">
        <v>5</v>
      </c>
      <c r="D486" s="2">
        <v>2021</v>
      </c>
      <c r="E486" s="2">
        <v>44.95</v>
      </c>
      <c r="F486" s="2">
        <v>103.54</v>
      </c>
    </row>
    <row r="487" spans="1:6" x14ac:dyDescent="0.2">
      <c r="A487" s="2" t="s">
        <v>52</v>
      </c>
      <c r="B487" s="2">
        <v>1</v>
      </c>
      <c r="C487" s="2">
        <v>8</v>
      </c>
      <c r="D487" s="2">
        <v>2021</v>
      </c>
      <c r="E487" s="2">
        <v>38.130000000000003</v>
      </c>
      <c r="F487" s="2">
        <v>103.54</v>
      </c>
    </row>
    <row r="488" spans="1:6" x14ac:dyDescent="0.2">
      <c r="A488" s="2" t="s">
        <v>69</v>
      </c>
      <c r="B488" s="2">
        <v>12</v>
      </c>
      <c r="C488" s="2">
        <v>6</v>
      </c>
      <c r="D488" s="2">
        <v>2021</v>
      </c>
      <c r="E488" s="2">
        <v>45.6</v>
      </c>
      <c r="F488" s="2">
        <v>103.5</v>
      </c>
    </row>
    <row r="489" spans="1:6" x14ac:dyDescent="0.2">
      <c r="A489" s="2" t="s">
        <v>68</v>
      </c>
      <c r="B489" s="2">
        <v>11</v>
      </c>
      <c r="C489" s="2">
        <v>10</v>
      </c>
      <c r="D489" s="2">
        <v>2021</v>
      </c>
      <c r="E489" s="2">
        <v>94.24</v>
      </c>
      <c r="F489" s="2">
        <v>103.23</v>
      </c>
    </row>
    <row r="490" spans="1:6" x14ac:dyDescent="0.2">
      <c r="A490" s="2" t="s">
        <v>80</v>
      </c>
      <c r="B490" s="2">
        <v>12</v>
      </c>
      <c r="C490" s="2">
        <v>3</v>
      </c>
      <c r="D490" s="2">
        <v>2021</v>
      </c>
      <c r="E490" s="2">
        <v>88.66</v>
      </c>
      <c r="F490" s="2">
        <v>103.23</v>
      </c>
    </row>
    <row r="491" spans="1:6" x14ac:dyDescent="0.2">
      <c r="A491" s="2" t="s">
        <v>72</v>
      </c>
      <c r="B491" s="2">
        <v>22</v>
      </c>
      <c r="C491" s="2">
        <v>8</v>
      </c>
      <c r="D491" s="2">
        <v>2021</v>
      </c>
      <c r="E491" s="2">
        <v>55.49</v>
      </c>
      <c r="F491" s="2">
        <v>103.23</v>
      </c>
    </row>
    <row r="492" spans="1:6" x14ac:dyDescent="0.2">
      <c r="A492" s="2" t="s">
        <v>54</v>
      </c>
      <c r="B492" s="2">
        <v>5</v>
      </c>
      <c r="C492" s="2">
        <v>8</v>
      </c>
      <c r="D492" s="2">
        <v>2021</v>
      </c>
      <c r="E492" s="2">
        <v>37.200000000000003</v>
      </c>
      <c r="F492" s="2">
        <v>102.92</v>
      </c>
    </row>
    <row r="493" spans="1:6" x14ac:dyDescent="0.2">
      <c r="A493" s="2" t="s">
        <v>4</v>
      </c>
      <c r="B493" s="2">
        <v>1</v>
      </c>
      <c r="C493" s="2">
        <v>6</v>
      </c>
      <c r="D493" s="2">
        <v>2021</v>
      </c>
      <c r="E493" s="1" t="s">
        <v>94</v>
      </c>
      <c r="F493" s="2">
        <v>102.9</v>
      </c>
    </row>
    <row r="494" spans="1:6" x14ac:dyDescent="0.2">
      <c r="A494" s="2" t="s">
        <v>83</v>
      </c>
      <c r="B494" s="2">
        <v>25</v>
      </c>
      <c r="C494" s="2">
        <v>11</v>
      </c>
      <c r="D494" s="2">
        <v>2021</v>
      </c>
      <c r="E494" s="2">
        <v>137.69999999999999</v>
      </c>
      <c r="F494" s="2">
        <v>102.9</v>
      </c>
    </row>
    <row r="495" spans="1:6" x14ac:dyDescent="0.2">
      <c r="A495" s="2" t="s">
        <v>78</v>
      </c>
      <c r="B495" s="2">
        <v>18</v>
      </c>
      <c r="C495" s="2">
        <v>12</v>
      </c>
      <c r="D495" s="2">
        <v>2021</v>
      </c>
      <c r="E495" s="2">
        <v>126.48</v>
      </c>
      <c r="F495" s="2">
        <v>102.61</v>
      </c>
    </row>
    <row r="496" spans="1:6" x14ac:dyDescent="0.2">
      <c r="A496" s="2" t="s">
        <v>59</v>
      </c>
      <c r="B496" s="2">
        <v>11</v>
      </c>
      <c r="C496" s="2">
        <v>5</v>
      </c>
      <c r="D496" s="2">
        <v>2021</v>
      </c>
      <c r="E496" s="2">
        <v>53.63</v>
      </c>
      <c r="F496" s="2">
        <v>102.61</v>
      </c>
    </row>
    <row r="497" spans="1:6" x14ac:dyDescent="0.2">
      <c r="A497" s="2" t="s">
        <v>74</v>
      </c>
      <c r="B497" s="2">
        <v>5</v>
      </c>
      <c r="C497" s="2">
        <v>7</v>
      </c>
      <c r="D497" s="2">
        <v>2021</v>
      </c>
      <c r="E497" s="2">
        <v>45.57</v>
      </c>
      <c r="F497" s="2">
        <v>102.61</v>
      </c>
    </row>
    <row r="498" spans="1:6" x14ac:dyDescent="0.2">
      <c r="A498" s="2" t="s">
        <v>43</v>
      </c>
      <c r="B498" s="2">
        <v>15</v>
      </c>
      <c r="C498" s="2">
        <v>6</v>
      </c>
      <c r="D498" s="2">
        <v>2021</v>
      </c>
      <c r="E498" s="2">
        <v>37.200000000000003</v>
      </c>
      <c r="F498" s="2">
        <v>102.6</v>
      </c>
    </row>
    <row r="499" spans="1:6" x14ac:dyDescent="0.2">
      <c r="A499" s="2" t="s">
        <v>11</v>
      </c>
      <c r="B499" s="2">
        <v>15</v>
      </c>
      <c r="C499" s="2">
        <v>6</v>
      </c>
      <c r="D499" s="2">
        <v>2021</v>
      </c>
      <c r="E499" s="2">
        <v>0</v>
      </c>
      <c r="F499" s="2">
        <v>102.6</v>
      </c>
    </row>
    <row r="500" spans="1:6" x14ac:dyDescent="0.2">
      <c r="A500" s="2" t="s">
        <v>100</v>
      </c>
      <c r="B500" s="2">
        <v>1</v>
      </c>
      <c r="C500" s="2">
        <v>9</v>
      </c>
      <c r="D500" s="2">
        <v>2021</v>
      </c>
      <c r="E500" s="1" t="s">
        <v>94</v>
      </c>
      <c r="F500" s="2">
        <v>102.3</v>
      </c>
    </row>
    <row r="501" spans="1:6" x14ac:dyDescent="0.2">
      <c r="A501" s="2" t="s">
        <v>69</v>
      </c>
      <c r="B501" s="2">
        <v>12</v>
      </c>
      <c r="C501" s="2">
        <v>4</v>
      </c>
      <c r="D501" s="2">
        <v>2021</v>
      </c>
      <c r="E501" s="2">
        <v>78.900000000000006</v>
      </c>
      <c r="F501" s="2">
        <v>102.3</v>
      </c>
    </row>
    <row r="502" spans="1:6" x14ac:dyDescent="0.2">
      <c r="A502" s="2" t="s">
        <v>44</v>
      </c>
      <c r="B502" s="2">
        <v>1</v>
      </c>
      <c r="C502" s="2">
        <v>3</v>
      </c>
      <c r="D502" s="2">
        <v>2021</v>
      </c>
      <c r="E502" s="2">
        <v>75.33</v>
      </c>
      <c r="F502" s="2">
        <v>102.3</v>
      </c>
    </row>
    <row r="503" spans="1:6" x14ac:dyDescent="0.2">
      <c r="A503" s="2" t="s">
        <v>10</v>
      </c>
      <c r="B503" s="2">
        <v>18</v>
      </c>
      <c r="C503" s="2">
        <v>6</v>
      </c>
      <c r="D503" s="2">
        <v>2021</v>
      </c>
      <c r="E503" s="2">
        <v>0</v>
      </c>
      <c r="F503" s="2">
        <v>102</v>
      </c>
    </row>
    <row r="504" spans="1:6" x14ac:dyDescent="0.2">
      <c r="A504" s="2" t="s">
        <v>7</v>
      </c>
      <c r="B504" s="2">
        <v>20</v>
      </c>
      <c r="C504" s="2">
        <v>9</v>
      </c>
      <c r="D504" s="2">
        <v>2021</v>
      </c>
      <c r="E504" s="2">
        <v>0</v>
      </c>
      <c r="F504" s="2">
        <v>102</v>
      </c>
    </row>
    <row r="505" spans="1:6" x14ac:dyDescent="0.2">
      <c r="A505" s="2" t="s">
        <v>88</v>
      </c>
      <c r="B505" s="2">
        <v>23</v>
      </c>
      <c r="C505" s="2">
        <v>12</v>
      </c>
      <c r="D505" s="2">
        <v>2021</v>
      </c>
      <c r="E505" s="2">
        <v>159.96</v>
      </c>
      <c r="F505" s="2">
        <v>101.99</v>
      </c>
    </row>
    <row r="506" spans="1:6" x14ac:dyDescent="0.2">
      <c r="A506" s="2" t="s">
        <v>43</v>
      </c>
      <c r="B506" s="2">
        <v>15</v>
      </c>
      <c r="C506" s="2">
        <v>1</v>
      </c>
      <c r="D506" s="2">
        <v>2021</v>
      </c>
      <c r="E506" s="2">
        <v>114.08</v>
      </c>
      <c r="F506" s="2">
        <v>101.99</v>
      </c>
    </row>
    <row r="507" spans="1:6" x14ac:dyDescent="0.2">
      <c r="A507" s="2" t="s">
        <v>2</v>
      </c>
      <c r="B507" s="2">
        <v>18</v>
      </c>
      <c r="C507" s="2">
        <v>5</v>
      </c>
      <c r="D507" s="2">
        <v>2021</v>
      </c>
      <c r="E507" s="2">
        <v>0</v>
      </c>
      <c r="F507" s="2">
        <v>101.99</v>
      </c>
    </row>
    <row r="508" spans="1:6" x14ac:dyDescent="0.2">
      <c r="A508" s="2" t="s">
        <v>63</v>
      </c>
      <c r="B508" s="2">
        <v>25</v>
      </c>
      <c r="C508" s="2">
        <v>1</v>
      </c>
      <c r="D508" s="2">
        <v>2021</v>
      </c>
      <c r="E508" s="2">
        <v>93.93</v>
      </c>
      <c r="F508" s="2">
        <v>101.68</v>
      </c>
    </row>
    <row r="509" spans="1:6" x14ac:dyDescent="0.2">
      <c r="A509" s="2" t="s">
        <v>56</v>
      </c>
      <c r="B509" s="2">
        <v>14</v>
      </c>
      <c r="C509" s="2">
        <v>10</v>
      </c>
      <c r="D509" s="2">
        <v>2021</v>
      </c>
      <c r="E509" s="2">
        <v>75.64</v>
      </c>
      <c r="F509" s="2">
        <v>101.68</v>
      </c>
    </row>
    <row r="510" spans="1:6" x14ac:dyDescent="0.2">
      <c r="A510" s="2" t="s">
        <v>84</v>
      </c>
      <c r="B510" s="2">
        <v>20</v>
      </c>
      <c r="C510" s="2">
        <v>5</v>
      </c>
      <c r="D510" s="2">
        <v>2021</v>
      </c>
      <c r="E510" s="2">
        <v>66.650000000000006</v>
      </c>
      <c r="F510" s="2">
        <v>101.68</v>
      </c>
    </row>
    <row r="511" spans="1:6" x14ac:dyDescent="0.2">
      <c r="A511" s="2" t="s">
        <v>68</v>
      </c>
      <c r="B511" s="2">
        <v>11</v>
      </c>
      <c r="C511" s="2">
        <v>5</v>
      </c>
      <c r="D511" s="2">
        <v>2021</v>
      </c>
      <c r="E511" s="2">
        <v>59.21</v>
      </c>
      <c r="F511" s="2">
        <v>101.68</v>
      </c>
    </row>
    <row r="512" spans="1:6" x14ac:dyDescent="0.2">
      <c r="A512" s="2" t="s">
        <v>67</v>
      </c>
      <c r="B512" s="2">
        <v>13</v>
      </c>
      <c r="C512" s="2">
        <v>7</v>
      </c>
      <c r="D512" s="2">
        <v>2021</v>
      </c>
      <c r="E512" s="2">
        <v>41.54</v>
      </c>
      <c r="F512" s="2">
        <v>101.68</v>
      </c>
    </row>
    <row r="513" spans="1:6" x14ac:dyDescent="0.2">
      <c r="A513" s="2" t="s">
        <v>86</v>
      </c>
      <c r="B513" s="2">
        <v>6</v>
      </c>
      <c r="C513" s="2">
        <v>4</v>
      </c>
      <c r="D513" s="2">
        <v>2021</v>
      </c>
      <c r="E513" s="2">
        <v>97.2</v>
      </c>
      <c r="F513" s="2">
        <v>101.4</v>
      </c>
    </row>
    <row r="514" spans="1:6" x14ac:dyDescent="0.2">
      <c r="A514" s="2" t="s">
        <v>44</v>
      </c>
      <c r="B514" s="2">
        <v>1</v>
      </c>
      <c r="C514" s="2">
        <v>4</v>
      </c>
      <c r="D514" s="2">
        <v>2021</v>
      </c>
      <c r="E514" s="2">
        <v>85.2</v>
      </c>
      <c r="F514" s="2">
        <v>101.4</v>
      </c>
    </row>
    <row r="515" spans="1:6" x14ac:dyDescent="0.2">
      <c r="A515" s="2" t="s">
        <v>68</v>
      </c>
      <c r="B515" s="2">
        <v>11</v>
      </c>
      <c r="C515" s="2">
        <v>4</v>
      </c>
      <c r="D515" s="2">
        <v>2021</v>
      </c>
      <c r="E515" s="2">
        <v>81.599999999999994</v>
      </c>
      <c r="F515" s="2">
        <v>101.4</v>
      </c>
    </row>
    <row r="516" spans="1:6" x14ac:dyDescent="0.2">
      <c r="A516" s="2" t="s">
        <v>97</v>
      </c>
      <c r="B516" s="2">
        <v>12</v>
      </c>
      <c r="C516" s="2">
        <v>8</v>
      </c>
      <c r="D516" s="2">
        <v>2021</v>
      </c>
      <c r="E516" s="1" t="s">
        <v>94</v>
      </c>
      <c r="F516" s="2">
        <v>101.37</v>
      </c>
    </row>
    <row r="517" spans="1:6" x14ac:dyDescent="0.2">
      <c r="A517" s="2" t="s">
        <v>88</v>
      </c>
      <c r="B517" s="2">
        <v>23</v>
      </c>
      <c r="C517" s="2">
        <v>10</v>
      </c>
      <c r="D517" s="2">
        <v>2021</v>
      </c>
      <c r="E517" s="2">
        <v>110.36</v>
      </c>
      <c r="F517" s="2">
        <v>101.37</v>
      </c>
    </row>
    <row r="518" spans="1:6" x14ac:dyDescent="0.2">
      <c r="A518" s="2" t="s">
        <v>59</v>
      </c>
      <c r="B518" s="2">
        <v>11</v>
      </c>
      <c r="C518" s="2">
        <v>7</v>
      </c>
      <c r="D518" s="2">
        <v>2021</v>
      </c>
      <c r="E518" s="2">
        <v>47.74</v>
      </c>
      <c r="F518" s="2">
        <v>101.37</v>
      </c>
    </row>
    <row r="519" spans="1:6" x14ac:dyDescent="0.2">
      <c r="A519" s="2" t="s">
        <v>52</v>
      </c>
      <c r="B519" s="2">
        <v>1</v>
      </c>
      <c r="C519" s="2">
        <v>5</v>
      </c>
      <c r="D519" s="2">
        <v>2021</v>
      </c>
      <c r="E519" s="2">
        <v>47.43</v>
      </c>
      <c r="F519" s="2">
        <v>101.37</v>
      </c>
    </row>
    <row r="520" spans="1:6" x14ac:dyDescent="0.2">
      <c r="A520" s="2" t="s">
        <v>70</v>
      </c>
      <c r="B520" s="2">
        <v>16</v>
      </c>
      <c r="C520" s="2">
        <v>10</v>
      </c>
      <c r="D520" s="2">
        <v>2021</v>
      </c>
      <c r="E520" s="2">
        <v>94.55</v>
      </c>
      <c r="F520" s="2">
        <v>101.06</v>
      </c>
    </row>
    <row r="521" spans="1:6" x14ac:dyDescent="0.2">
      <c r="A521" s="2" t="s">
        <v>56</v>
      </c>
      <c r="B521" s="2">
        <v>14</v>
      </c>
      <c r="C521" s="2">
        <v>8</v>
      </c>
      <c r="D521" s="2">
        <v>2021</v>
      </c>
      <c r="E521" s="2">
        <v>40.299999999999997</v>
      </c>
      <c r="F521" s="2">
        <v>101.06</v>
      </c>
    </row>
    <row r="522" spans="1:6" x14ac:dyDescent="0.2">
      <c r="A522" s="2" t="s">
        <v>83</v>
      </c>
      <c r="B522" s="2">
        <v>25</v>
      </c>
      <c r="C522" s="2">
        <v>2</v>
      </c>
      <c r="D522" s="2">
        <v>2021</v>
      </c>
      <c r="E522" s="2">
        <v>133.84</v>
      </c>
      <c r="F522" s="2">
        <v>100.8</v>
      </c>
    </row>
    <row r="523" spans="1:6" x14ac:dyDescent="0.2">
      <c r="A523" s="2" t="s">
        <v>86</v>
      </c>
      <c r="B523" s="2">
        <v>6</v>
      </c>
      <c r="C523" s="2">
        <v>11</v>
      </c>
      <c r="D523" s="2">
        <v>2021</v>
      </c>
      <c r="E523" s="2">
        <v>126.6</v>
      </c>
      <c r="F523" s="2">
        <v>100.8</v>
      </c>
    </row>
    <row r="524" spans="1:6" x14ac:dyDescent="0.2">
      <c r="A524" s="2" t="s">
        <v>68</v>
      </c>
      <c r="B524" s="2">
        <v>11</v>
      </c>
      <c r="C524" s="2">
        <v>1</v>
      </c>
      <c r="D524" s="2">
        <v>2021</v>
      </c>
      <c r="E524" s="2">
        <v>140.43</v>
      </c>
      <c r="F524" s="2">
        <v>100.75</v>
      </c>
    </row>
    <row r="525" spans="1:6" x14ac:dyDescent="0.2">
      <c r="A525" s="2" t="s">
        <v>56</v>
      </c>
      <c r="B525" s="2">
        <v>14</v>
      </c>
      <c r="C525" s="2">
        <v>12</v>
      </c>
      <c r="D525" s="2">
        <v>2021</v>
      </c>
      <c r="E525" s="2">
        <v>128.34</v>
      </c>
      <c r="F525" s="2">
        <v>100.75</v>
      </c>
    </row>
    <row r="526" spans="1:6" x14ac:dyDescent="0.2">
      <c r="A526" s="2" t="s">
        <v>41</v>
      </c>
      <c r="B526" s="2">
        <v>15</v>
      </c>
      <c r="C526" s="2">
        <v>1</v>
      </c>
      <c r="D526" s="2">
        <v>2021</v>
      </c>
      <c r="E526" s="2">
        <v>114.39</v>
      </c>
      <c r="F526" s="2">
        <v>100.75</v>
      </c>
    </row>
    <row r="527" spans="1:6" x14ac:dyDescent="0.2">
      <c r="A527" s="2" t="s">
        <v>63</v>
      </c>
      <c r="B527" s="2">
        <v>25</v>
      </c>
      <c r="C527" s="2">
        <v>3</v>
      </c>
      <c r="D527" s="2">
        <v>2021</v>
      </c>
      <c r="E527" s="2">
        <v>75.33</v>
      </c>
      <c r="F527" s="2">
        <v>100.75</v>
      </c>
    </row>
    <row r="528" spans="1:6" x14ac:dyDescent="0.2">
      <c r="A528" s="2" t="s">
        <v>56</v>
      </c>
      <c r="B528" s="2">
        <v>14</v>
      </c>
      <c r="C528" s="2">
        <v>3</v>
      </c>
      <c r="D528" s="2">
        <v>2021</v>
      </c>
      <c r="E528" s="2">
        <v>73.47</v>
      </c>
      <c r="F528" s="2">
        <v>100.75</v>
      </c>
    </row>
    <row r="529" spans="1:6" x14ac:dyDescent="0.2">
      <c r="A529" s="2" t="s">
        <v>60</v>
      </c>
      <c r="B529" s="2">
        <v>20</v>
      </c>
      <c r="C529" s="2">
        <v>7</v>
      </c>
      <c r="D529" s="2">
        <v>2021</v>
      </c>
      <c r="E529" s="2">
        <v>36.58</v>
      </c>
      <c r="F529" s="2">
        <v>100.75</v>
      </c>
    </row>
    <row r="530" spans="1:6" x14ac:dyDescent="0.2">
      <c r="A530" s="2" t="s">
        <v>77</v>
      </c>
      <c r="B530" s="2">
        <v>16</v>
      </c>
      <c r="C530" s="2">
        <v>4</v>
      </c>
      <c r="D530" s="2">
        <v>2021</v>
      </c>
      <c r="E530" s="2">
        <v>91.8</v>
      </c>
      <c r="F530" s="2">
        <v>100.5</v>
      </c>
    </row>
    <row r="531" spans="1:6" x14ac:dyDescent="0.2">
      <c r="A531" s="2" t="s">
        <v>78</v>
      </c>
      <c r="B531" s="2">
        <v>18</v>
      </c>
      <c r="C531" s="2">
        <v>9</v>
      </c>
      <c r="D531" s="2">
        <v>2021</v>
      </c>
      <c r="E531" s="2">
        <v>51.9</v>
      </c>
      <c r="F531" s="2">
        <v>100.5</v>
      </c>
    </row>
    <row r="532" spans="1:6" x14ac:dyDescent="0.2">
      <c r="A532" s="2" t="s">
        <v>70</v>
      </c>
      <c r="B532" s="2">
        <v>16</v>
      </c>
      <c r="C532" s="2">
        <v>8</v>
      </c>
      <c r="D532" s="2">
        <v>2021</v>
      </c>
      <c r="E532" s="2">
        <v>45.88</v>
      </c>
      <c r="F532" s="2">
        <v>100.44</v>
      </c>
    </row>
    <row r="533" spans="1:6" x14ac:dyDescent="0.2">
      <c r="A533" s="2" t="s">
        <v>84</v>
      </c>
      <c r="B533" s="2">
        <v>20</v>
      </c>
      <c r="C533" s="2">
        <v>3</v>
      </c>
      <c r="D533" s="2">
        <v>2021</v>
      </c>
      <c r="E533" s="2">
        <v>95.79</v>
      </c>
      <c r="F533" s="2">
        <v>100.13</v>
      </c>
    </row>
    <row r="534" spans="1:6" x14ac:dyDescent="0.2">
      <c r="A534" s="2" t="s">
        <v>71</v>
      </c>
      <c r="B534" s="2">
        <v>21</v>
      </c>
      <c r="C534" s="2">
        <v>11</v>
      </c>
      <c r="D534" s="2">
        <v>2021</v>
      </c>
      <c r="E534" s="2">
        <v>115.2</v>
      </c>
      <c r="F534" s="2">
        <v>99.9</v>
      </c>
    </row>
    <row r="535" spans="1:6" x14ac:dyDescent="0.2">
      <c r="A535" s="2" t="s">
        <v>68</v>
      </c>
      <c r="B535" s="2">
        <v>11</v>
      </c>
      <c r="C535" s="2">
        <v>6</v>
      </c>
      <c r="D535" s="2">
        <v>2021</v>
      </c>
      <c r="E535" s="2">
        <v>50.1</v>
      </c>
      <c r="F535" s="2">
        <v>99.9</v>
      </c>
    </row>
    <row r="536" spans="1:6" x14ac:dyDescent="0.2">
      <c r="A536" s="2" t="s">
        <v>7</v>
      </c>
      <c r="B536" s="2">
        <v>20</v>
      </c>
      <c r="C536" s="2">
        <v>6</v>
      </c>
      <c r="D536" s="2">
        <v>2021</v>
      </c>
      <c r="E536" s="2">
        <v>0</v>
      </c>
      <c r="F536" s="2">
        <v>99.9</v>
      </c>
    </row>
    <row r="537" spans="1:6" x14ac:dyDescent="0.2">
      <c r="A537" s="2" t="s">
        <v>60</v>
      </c>
      <c r="B537" s="2">
        <v>20</v>
      </c>
      <c r="C537" s="2">
        <v>10</v>
      </c>
      <c r="D537" s="2">
        <v>2021</v>
      </c>
      <c r="E537" s="2">
        <v>76.260000000000005</v>
      </c>
      <c r="F537" s="2">
        <v>99.82</v>
      </c>
    </row>
    <row r="538" spans="1:6" x14ac:dyDescent="0.2">
      <c r="A538" s="2" t="s">
        <v>88</v>
      </c>
      <c r="B538" s="2">
        <v>23</v>
      </c>
      <c r="C538" s="2">
        <v>5</v>
      </c>
      <c r="D538" s="2">
        <v>2021</v>
      </c>
      <c r="E538" s="2">
        <v>75.02</v>
      </c>
      <c r="F538" s="2">
        <v>99.82</v>
      </c>
    </row>
    <row r="539" spans="1:6" x14ac:dyDescent="0.2">
      <c r="A539" s="2" t="s">
        <v>90</v>
      </c>
      <c r="B539" s="2">
        <v>18</v>
      </c>
      <c r="C539" s="2">
        <v>8</v>
      </c>
      <c r="D539" s="2">
        <v>2021</v>
      </c>
      <c r="E539" s="2">
        <v>66.650000000000006</v>
      </c>
      <c r="F539" s="2">
        <v>99.82</v>
      </c>
    </row>
    <row r="540" spans="1:6" x14ac:dyDescent="0.2">
      <c r="A540" s="2" t="s">
        <v>44</v>
      </c>
      <c r="B540" s="2">
        <v>1</v>
      </c>
      <c r="C540" s="2">
        <v>8</v>
      </c>
      <c r="D540" s="2">
        <v>2021</v>
      </c>
      <c r="E540" s="2">
        <v>32.24</v>
      </c>
      <c r="F540" s="2">
        <v>99.82</v>
      </c>
    </row>
    <row r="541" spans="1:6" x14ac:dyDescent="0.2">
      <c r="A541" s="2" t="s">
        <v>61</v>
      </c>
      <c r="B541" s="2">
        <v>23</v>
      </c>
      <c r="C541" s="2">
        <v>11</v>
      </c>
      <c r="D541" s="2">
        <v>2021</v>
      </c>
      <c r="E541" s="2">
        <v>115.2</v>
      </c>
      <c r="F541" s="2">
        <v>99.6</v>
      </c>
    </row>
    <row r="542" spans="1:6" x14ac:dyDescent="0.2">
      <c r="A542" s="2" t="s">
        <v>6</v>
      </c>
      <c r="B542" s="2">
        <v>7</v>
      </c>
      <c r="C542" s="2">
        <v>6</v>
      </c>
      <c r="D542" s="2">
        <v>2021</v>
      </c>
      <c r="E542" s="2">
        <v>0</v>
      </c>
      <c r="F542" s="2">
        <v>99.6</v>
      </c>
    </row>
    <row r="543" spans="1:6" x14ac:dyDescent="0.2">
      <c r="A543" s="2" t="s">
        <v>59</v>
      </c>
      <c r="B543" s="2">
        <v>11</v>
      </c>
      <c r="C543" s="2">
        <v>4</v>
      </c>
      <c r="D543" s="2">
        <v>2021</v>
      </c>
      <c r="E543" s="2">
        <v>78.3</v>
      </c>
      <c r="F543" s="2">
        <v>99.3</v>
      </c>
    </row>
    <row r="544" spans="1:6" x14ac:dyDescent="0.2">
      <c r="A544" s="2" t="s">
        <v>70</v>
      </c>
      <c r="B544" s="2">
        <v>16</v>
      </c>
      <c r="C544" s="2">
        <v>6</v>
      </c>
      <c r="D544" s="2">
        <v>2021</v>
      </c>
      <c r="E544" s="2">
        <v>44.1</v>
      </c>
      <c r="F544" s="2">
        <v>99.3</v>
      </c>
    </row>
    <row r="545" spans="1:6" x14ac:dyDescent="0.2">
      <c r="A545" s="2" t="s">
        <v>52</v>
      </c>
      <c r="B545" s="2">
        <v>1</v>
      </c>
      <c r="C545" s="2">
        <v>10</v>
      </c>
      <c r="D545" s="2">
        <v>2021</v>
      </c>
      <c r="E545" s="2">
        <v>76.88</v>
      </c>
      <c r="F545" s="2">
        <v>99.2</v>
      </c>
    </row>
    <row r="546" spans="1:6" x14ac:dyDescent="0.2">
      <c r="A546" s="2" t="s">
        <v>74</v>
      </c>
      <c r="B546" s="2">
        <v>5</v>
      </c>
      <c r="C546" s="2">
        <v>4</v>
      </c>
      <c r="D546" s="2">
        <v>2021</v>
      </c>
      <c r="E546" s="2">
        <v>75</v>
      </c>
      <c r="F546" s="2">
        <v>99</v>
      </c>
    </row>
    <row r="547" spans="1:6" x14ac:dyDescent="0.2">
      <c r="A547" s="2" t="s">
        <v>84</v>
      </c>
      <c r="B547" s="2">
        <v>20</v>
      </c>
      <c r="C547" s="2">
        <v>9</v>
      </c>
      <c r="D547" s="2">
        <v>2021</v>
      </c>
      <c r="E547" s="2">
        <v>60</v>
      </c>
      <c r="F547" s="2">
        <v>99</v>
      </c>
    </row>
    <row r="548" spans="1:6" x14ac:dyDescent="0.2">
      <c r="A548" s="2" t="s">
        <v>83</v>
      </c>
      <c r="B548" s="2">
        <v>25</v>
      </c>
      <c r="C548" s="2">
        <v>1</v>
      </c>
      <c r="D548" s="2">
        <v>2021</v>
      </c>
      <c r="E548" s="2">
        <v>157.16999999999999</v>
      </c>
      <c r="F548" s="2">
        <v>98.89</v>
      </c>
    </row>
    <row r="549" spans="1:6" x14ac:dyDescent="0.2">
      <c r="A549" s="2" t="s">
        <v>68</v>
      </c>
      <c r="B549" s="2">
        <v>11</v>
      </c>
      <c r="C549" s="2">
        <v>12</v>
      </c>
      <c r="D549" s="2">
        <v>2021</v>
      </c>
      <c r="E549" s="2">
        <v>112.84</v>
      </c>
      <c r="F549" s="2">
        <v>98.89</v>
      </c>
    </row>
    <row r="550" spans="1:6" x14ac:dyDescent="0.2">
      <c r="A550" s="2" t="s">
        <v>83</v>
      </c>
      <c r="B550" s="2">
        <v>25</v>
      </c>
      <c r="C550" s="2">
        <v>10</v>
      </c>
      <c r="D550" s="2">
        <v>2021</v>
      </c>
      <c r="E550" s="2">
        <v>104.16</v>
      </c>
      <c r="F550" s="2">
        <v>98.89</v>
      </c>
    </row>
    <row r="551" spans="1:6" x14ac:dyDescent="0.2">
      <c r="A551" s="2" t="s">
        <v>38</v>
      </c>
      <c r="B551" s="2">
        <v>21</v>
      </c>
      <c r="C551" s="2">
        <v>3</v>
      </c>
      <c r="D551" s="2">
        <v>2021</v>
      </c>
      <c r="E551" s="2">
        <v>74.400000000000006</v>
      </c>
      <c r="F551" s="2">
        <v>98.89</v>
      </c>
    </row>
    <row r="552" spans="1:6" x14ac:dyDescent="0.2">
      <c r="A552" s="2" t="s">
        <v>67</v>
      </c>
      <c r="B552" s="2">
        <v>13</v>
      </c>
      <c r="C552" s="2">
        <v>3</v>
      </c>
      <c r="D552" s="2">
        <v>2021</v>
      </c>
      <c r="E552" s="2">
        <v>71.3</v>
      </c>
      <c r="F552" s="2">
        <v>98.89</v>
      </c>
    </row>
    <row r="553" spans="1:6" x14ac:dyDescent="0.2">
      <c r="A553" s="2" t="s">
        <v>75</v>
      </c>
      <c r="B553" s="2">
        <v>2</v>
      </c>
      <c r="C553" s="2">
        <v>7</v>
      </c>
      <c r="D553" s="2">
        <v>2021</v>
      </c>
      <c r="E553" s="2">
        <v>41.23</v>
      </c>
      <c r="F553" s="2">
        <v>98.89</v>
      </c>
    </row>
    <row r="554" spans="1:6" x14ac:dyDescent="0.2">
      <c r="A554" s="2" t="s">
        <v>63</v>
      </c>
      <c r="B554" s="2">
        <v>25</v>
      </c>
      <c r="C554" s="2">
        <v>7</v>
      </c>
      <c r="D554" s="2">
        <v>2021</v>
      </c>
      <c r="E554" s="2">
        <v>38.44</v>
      </c>
      <c r="F554" s="2">
        <v>98.89</v>
      </c>
    </row>
    <row r="555" spans="1:6" x14ac:dyDescent="0.2">
      <c r="A555" s="2" t="s">
        <v>1</v>
      </c>
      <c r="B555" s="2">
        <v>21</v>
      </c>
      <c r="C555" s="2">
        <v>9</v>
      </c>
      <c r="D555" s="2">
        <v>2021</v>
      </c>
      <c r="E555" s="2">
        <v>0</v>
      </c>
      <c r="F555" s="2">
        <v>98.7</v>
      </c>
    </row>
    <row r="556" spans="1:6" x14ac:dyDescent="0.2">
      <c r="A556" s="2" t="s">
        <v>1</v>
      </c>
      <c r="B556" s="2">
        <v>21</v>
      </c>
      <c r="C556" s="2">
        <v>8</v>
      </c>
      <c r="D556" s="2">
        <v>2021</v>
      </c>
      <c r="E556" s="1" t="s">
        <v>94</v>
      </c>
      <c r="F556" s="2">
        <v>98.58</v>
      </c>
    </row>
    <row r="557" spans="1:6" x14ac:dyDescent="0.2">
      <c r="A557" s="2" t="s">
        <v>61</v>
      </c>
      <c r="B557" s="2">
        <v>23</v>
      </c>
      <c r="C557" s="2">
        <v>7</v>
      </c>
      <c r="D557" s="2">
        <v>2021</v>
      </c>
      <c r="E557" s="2">
        <v>44.02</v>
      </c>
      <c r="F557" s="2">
        <v>98.58</v>
      </c>
    </row>
    <row r="558" spans="1:6" x14ac:dyDescent="0.2">
      <c r="A558" s="2" t="s">
        <v>80</v>
      </c>
      <c r="B558" s="2">
        <v>12</v>
      </c>
      <c r="C558" s="2">
        <v>11</v>
      </c>
      <c r="D558" s="2">
        <v>2021</v>
      </c>
      <c r="E558" s="2">
        <v>114.6</v>
      </c>
      <c r="F558" s="2">
        <v>98.4</v>
      </c>
    </row>
    <row r="559" spans="1:6" x14ac:dyDescent="0.2">
      <c r="A559" s="2" t="s">
        <v>90</v>
      </c>
      <c r="B559" s="2">
        <v>18</v>
      </c>
      <c r="C559" s="2">
        <v>2</v>
      </c>
      <c r="D559" s="2">
        <v>2021</v>
      </c>
      <c r="E559" s="2">
        <v>132.72</v>
      </c>
      <c r="F559" s="2">
        <v>98.28</v>
      </c>
    </row>
    <row r="560" spans="1:6" x14ac:dyDescent="0.2">
      <c r="A560" s="2" t="s">
        <v>65</v>
      </c>
      <c r="B560" s="2">
        <v>11</v>
      </c>
      <c r="C560" s="2">
        <v>2</v>
      </c>
      <c r="D560" s="2">
        <v>2021</v>
      </c>
      <c r="E560" s="2">
        <v>127.96</v>
      </c>
      <c r="F560" s="2">
        <v>98.28</v>
      </c>
    </row>
    <row r="561" spans="1:6" x14ac:dyDescent="0.2">
      <c r="A561" s="2" t="s">
        <v>90</v>
      </c>
      <c r="B561" s="2">
        <v>18</v>
      </c>
      <c r="C561" s="2">
        <v>3</v>
      </c>
      <c r="D561" s="2">
        <v>2021</v>
      </c>
      <c r="E561" s="2">
        <v>112.84</v>
      </c>
      <c r="F561" s="2">
        <v>98.27</v>
      </c>
    </row>
    <row r="562" spans="1:6" x14ac:dyDescent="0.2">
      <c r="A562" s="2" t="s">
        <v>64</v>
      </c>
      <c r="B562" s="2">
        <v>21</v>
      </c>
      <c r="C562" s="2">
        <v>12</v>
      </c>
      <c r="D562" s="2">
        <v>2021</v>
      </c>
      <c r="E562" s="2">
        <v>112.53</v>
      </c>
      <c r="F562" s="2">
        <v>98.27</v>
      </c>
    </row>
    <row r="563" spans="1:6" x14ac:dyDescent="0.2">
      <c r="A563" s="2" t="s">
        <v>79</v>
      </c>
      <c r="B563" s="2">
        <v>3</v>
      </c>
      <c r="C563" s="2">
        <v>8</v>
      </c>
      <c r="D563" s="2">
        <v>2021</v>
      </c>
      <c r="E563" s="2">
        <v>62.62</v>
      </c>
      <c r="F563" s="2">
        <v>98.27</v>
      </c>
    </row>
    <row r="564" spans="1:6" x14ac:dyDescent="0.2">
      <c r="A564" s="2" t="s">
        <v>70</v>
      </c>
      <c r="B564" s="2">
        <v>16</v>
      </c>
      <c r="C564" s="2">
        <v>5</v>
      </c>
      <c r="D564" s="2">
        <v>2021</v>
      </c>
      <c r="E564" s="2">
        <v>51.46</v>
      </c>
      <c r="F564" s="2">
        <v>98.27</v>
      </c>
    </row>
    <row r="565" spans="1:6" x14ac:dyDescent="0.2">
      <c r="A565" s="2" t="s">
        <v>60</v>
      </c>
      <c r="B565" s="2">
        <v>20</v>
      </c>
      <c r="C565" s="2">
        <v>8</v>
      </c>
      <c r="D565" s="2">
        <v>2021</v>
      </c>
      <c r="E565" s="2">
        <v>48.98</v>
      </c>
      <c r="F565" s="2">
        <v>98.27</v>
      </c>
    </row>
    <row r="566" spans="1:6" x14ac:dyDescent="0.2">
      <c r="A566" s="2" t="s">
        <v>76</v>
      </c>
      <c r="B566" s="2">
        <v>9</v>
      </c>
      <c r="C566" s="2">
        <v>8</v>
      </c>
      <c r="D566" s="2">
        <v>2021</v>
      </c>
      <c r="E566" s="2">
        <v>47.43</v>
      </c>
      <c r="F566" s="2">
        <v>98.27</v>
      </c>
    </row>
    <row r="567" spans="1:6" x14ac:dyDescent="0.2">
      <c r="A567" s="2" t="s">
        <v>81</v>
      </c>
      <c r="B567" s="2">
        <v>19</v>
      </c>
      <c r="C567" s="2">
        <v>5</v>
      </c>
      <c r="D567" s="2">
        <v>2021</v>
      </c>
      <c r="E567" s="2">
        <v>70.989999999999995</v>
      </c>
      <c r="F567" s="2">
        <v>97.96</v>
      </c>
    </row>
    <row r="568" spans="1:6" x14ac:dyDescent="0.2">
      <c r="A568" s="2" t="s">
        <v>83</v>
      </c>
      <c r="B568" s="2">
        <v>25</v>
      </c>
      <c r="C568" s="2">
        <v>8</v>
      </c>
      <c r="D568" s="2">
        <v>2021</v>
      </c>
      <c r="E568" s="2">
        <v>61.07</v>
      </c>
      <c r="F568" s="2">
        <v>97.96</v>
      </c>
    </row>
    <row r="569" spans="1:6" x14ac:dyDescent="0.2">
      <c r="A569" s="2" t="s">
        <v>80</v>
      </c>
      <c r="B569" s="2">
        <v>12</v>
      </c>
      <c r="C569" s="2">
        <v>7</v>
      </c>
      <c r="D569" s="2">
        <v>2021</v>
      </c>
      <c r="E569" s="2">
        <v>59.52</v>
      </c>
      <c r="F569" s="2">
        <v>97.96</v>
      </c>
    </row>
    <row r="570" spans="1:6" x14ac:dyDescent="0.2">
      <c r="A570" s="2" t="s">
        <v>64</v>
      </c>
      <c r="B570" s="2">
        <v>21</v>
      </c>
      <c r="C570" s="2">
        <v>8</v>
      </c>
      <c r="D570" s="2">
        <v>2021</v>
      </c>
      <c r="E570" s="2">
        <v>34.1</v>
      </c>
      <c r="F570" s="2">
        <v>97.96</v>
      </c>
    </row>
    <row r="571" spans="1:6" x14ac:dyDescent="0.2">
      <c r="A571" s="2" t="s">
        <v>67</v>
      </c>
      <c r="B571" s="2">
        <v>13</v>
      </c>
      <c r="C571" s="2">
        <v>11</v>
      </c>
      <c r="D571" s="2">
        <v>2021</v>
      </c>
      <c r="E571" s="2">
        <v>126.9</v>
      </c>
      <c r="F571" s="2">
        <v>97.8</v>
      </c>
    </row>
    <row r="572" spans="1:6" x14ac:dyDescent="0.2">
      <c r="A572" s="2" t="s">
        <v>83</v>
      </c>
      <c r="B572" s="2">
        <v>25</v>
      </c>
      <c r="C572" s="2">
        <v>6</v>
      </c>
      <c r="D572" s="2">
        <v>2021</v>
      </c>
      <c r="E572" s="2">
        <v>54.6</v>
      </c>
      <c r="F572" s="2">
        <v>97.8</v>
      </c>
    </row>
    <row r="573" spans="1:6" x14ac:dyDescent="0.2">
      <c r="A573" s="2" t="s">
        <v>68</v>
      </c>
      <c r="B573" s="2">
        <v>11</v>
      </c>
      <c r="C573" s="2">
        <v>7</v>
      </c>
      <c r="D573" s="2">
        <v>2021</v>
      </c>
      <c r="E573" s="2">
        <v>51.46</v>
      </c>
      <c r="F573" s="2">
        <v>97.65</v>
      </c>
    </row>
    <row r="574" spans="1:6" x14ac:dyDescent="0.2">
      <c r="A574" s="2" t="s">
        <v>84</v>
      </c>
      <c r="B574" s="2">
        <v>20</v>
      </c>
      <c r="C574" s="2">
        <v>2</v>
      </c>
      <c r="D574" s="2">
        <v>2021</v>
      </c>
      <c r="E574" s="2">
        <v>115.08</v>
      </c>
      <c r="F574" s="2">
        <v>97.44</v>
      </c>
    </row>
    <row r="575" spans="1:6" x14ac:dyDescent="0.2">
      <c r="A575" s="2" t="s">
        <v>97</v>
      </c>
      <c r="B575" s="2">
        <v>12</v>
      </c>
      <c r="C575" s="2">
        <v>7</v>
      </c>
      <c r="D575" s="2">
        <v>2021</v>
      </c>
      <c r="E575" s="1" t="s">
        <v>94</v>
      </c>
      <c r="F575" s="2">
        <v>97.34</v>
      </c>
    </row>
    <row r="576" spans="1:6" x14ac:dyDescent="0.2">
      <c r="A576" s="2" t="s">
        <v>84</v>
      </c>
      <c r="B576" s="2">
        <v>20</v>
      </c>
      <c r="C576" s="2">
        <v>8</v>
      </c>
      <c r="D576" s="2">
        <v>2021</v>
      </c>
      <c r="E576" s="2">
        <v>58.9</v>
      </c>
      <c r="F576" s="2">
        <v>97.34</v>
      </c>
    </row>
    <row r="577" spans="1:6" x14ac:dyDescent="0.2">
      <c r="A577" s="2" t="s">
        <v>67</v>
      </c>
      <c r="B577" s="2">
        <v>13</v>
      </c>
      <c r="C577" s="2">
        <v>5</v>
      </c>
      <c r="D577" s="2">
        <v>2021</v>
      </c>
      <c r="E577" s="2">
        <v>47.74</v>
      </c>
      <c r="F577" s="2">
        <v>97.34</v>
      </c>
    </row>
    <row r="578" spans="1:6" x14ac:dyDescent="0.2">
      <c r="A578" s="2" t="s">
        <v>2</v>
      </c>
      <c r="B578" s="2">
        <v>18</v>
      </c>
      <c r="C578" s="2">
        <v>7</v>
      </c>
      <c r="D578" s="2">
        <v>2021</v>
      </c>
      <c r="E578" s="2">
        <v>0</v>
      </c>
      <c r="F578" s="2">
        <v>97.34</v>
      </c>
    </row>
    <row r="579" spans="1:6" x14ac:dyDescent="0.2">
      <c r="A579" s="2" t="s">
        <v>88</v>
      </c>
      <c r="B579" s="2">
        <v>23</v>
      </c>
      <c r="C579" s="2">
        <v>11</v>
      </c>
      <c r="D579" s="2">
        <v>2021</v>
      </c>
      <c r="E579" s="2">
        <v>121.2</v>
      </c>
      <c r="F579" s="2">
        <v>97.2</v>
      </c>
    </row>
    <row r="580" spans="1:6" x14ac:dyDescent="0.2">
      <c r="A580" s="2" t="s">
        <v>52</v>
      </c>
      <c r="B580" s="2">
        <v>1</v>
      </c>
      <c r="C580" s="2">
        <v>11</v>
      </c>
      <c r="D580" s="2">
        <v>2021</v>
      </c>
      <c r="E580" s="2">
        <v>109.2</v>
      </c>
      <c r="F580" s="2">
        <v>97.2</v>
      </c>
    </row>
    <row r="581" spans="1:6" x14ac:dyDescent="0.2">
      <c r="A581" s="2" t="s">
        <v>52</v>
      </c>
      <c r="B581" s="2">
        <v>1</v>
      </c>
      <c r="C581" s="2">
        <v>4</v>
      </c>
      <c r="D581" s="2">
        <v>2021</v>
      </c>
      <c r="E581" s="2">
        <v>70.8</v>
      </c>
      <c r="F581" s="2">
        <v>97.2</v>
      </c>
    </row>
    <row r="582" spans="1:6" x14ac:dyDescent="0.2">
      <c r="A582" s="2" t="s">
        <v>61</v>
      </c>
      <c r="B582" s="2">
        <v>23</v>
      </c>
      <c r="C582" s="2">
        <v>1</v>
      </c>
      <c r="D582" s="2">
        <v>2021</v>
      </c>
      <c r="E582" s="2">
        <v>134.22999999999999</v>
      </c>
      <c r="F582" s="2">
        <v>97.03</v>
      </c>
    </row>
    <row r="583" spans="1:6" x14ac:dyDescent="0.2">
      <c r="A583" s="2" t="s">
        <v>41</v>
      </c>
      <c r="B583" s="2">
        <v>15</v>
      </c>
      <c r="C583" s="2">
        <v>12</v>
      </c>
      <c r="D583" s="2">
        <v>2021</v>
      </c>
      <c r="E583" s="2">
        <v>113.77</v>
      </c>
      <c r="F583" s="2">
        <v>97.03</v>
      </c>
    </row>
    <row r="584" spans="1:6" x14ac:dyDescent="0.2">
      <c r="A584" s="2" t="s">
        <v>61</v>
      </c>
      <c r="B584" s="2">
        <v>23</v>
      </c>
      <c r="C584" s="2">
        <v>5</v>
      </c>
      <c r="D584" s="2">
        <v>2021</v>
      </c>
      <c r="E584" s="2">
        <v>43.09</v>
      </c>
      <c r="F584" s="2">
        <v>97.03</v>
      </c>
    </row>
    <row r="585" spans="1:6" x14ac:dyDescent="0.2">
      <c r="A585" s="2" t="s">
        <v>99</v>
      </c>
      <c r="B585" s="2">
        <v>10</v>
      </c>
      <c r="C585" s="2">
        <v>6</v>
      </c>
      <c r="D585" s="2">
        <v>2021</v>
      </c>
      <c r="E585" s="1" t="s">
        <v>94</v>
      </c>
      <c r="F585" s="2">
        <v>96.9</v>
      </c>
    </row>
    <row r="586" spans="1:6" x14ac:dyDescent="0.2">
      <c r="A586" s="2" t="s">
        <v>73</v>
      </c>
      <c r="B586" s="2">
        <v>5</v>
      </c>
      <c r="C586" s="2">
        <v>11</v>
      </c>
      <c r="D586" s="2">
        <v>2021</v>
      </c>
      <c r="E586" s="2">
        <v>124.5</v>
      </c>
      <c r="F586" s="2">
        <v>96.9</v>
      </c>
    </row>
    <row r="587" spans="1:6" x14ac:dyDescent="0.2">
      <c r="A587" s="2" t="s">
        <v>69</v>
      </c>
      <c r="B587" s="2">
        <v>12</v>
      </c>
      <c r="C587" s="2">
        <v>12</v>
      </c>
      <c r="D587" s="2">
        <v>2021</v>
      </c>
      <c r="E587" s="2">
        <v>114.39</v>
      </c>
      <c r="F587" s="2">
        <v>96.72</v>
      </c>
    </row>
    <row r="588" spans="1:6" x14ac:dyDescent="0.2">
      <c r="A588" s="2" t="s">
        <v>73</v>
      </c>
      <c r="B588" s="2">
        <v>5</v>
      </c>
      <c r="C588" s="2">
        <v>5</v>
      </c>
      <c r="D588" s="2">
        <v>2021</v>
      </c>
      <c r="E588" s="2">
        <v>45.88</v>
      </c>
      <c r="F588" s="2">
        <v>96.72</v>
      </c>
    </row>
    <row r="589" spans="1:6" x14ac:dyDescent="0.2">
      <c r="A589" s="2" t="s">
        <v>81</v>
      </c>
      <c r="B589" s="2">
        <v>19</v>
      </c>
      <c r="C589" s="2">
        <v>3</v>
      </c>
      <c r="D589" s="2">
        <v>2021</v>
      </c>
      <c r="E589" s="2">
        <v>92.38</v>
      </c>
      <c r="F589" s="2">
        <v>96.41</v>
      </c>
    </row>
    <row r="590" spans="1:6" x14ac:dyDescent="0.2">
      <c r="A590" s="2" t="s">
        <v>74</v>
      </c>
      <c r="B590" s="2">
        <v>5</v>
      </c>
      <c r="C590" s="2">
        <v>10</v>
      </c>
      <c r="D590" s="2">
        <v>2021</v>
      </c>
      <c r="E590" s="2">
        <v>79.36</v>
      </c>
      <c r="F590" s="2">
        <v>96.41</v>
      </c>
    </row>
    <row r="591" spans="1:6" x14ac:dyDescent="0.2">
      <c r="A591" s="2" t="s">
        <v>90</v>
      </c>
      <c r="B591" s="2">
        <v>18</v>
      </c>
      <c r="C591" s="2">
        <v>11</v>
      </c>
      <c r="D591" s="2">
        <v>2021</v>
      </c>
      <c r="E591" s="2">
        <v>133.80000000000001</v>
      </c>
      <c r="F591" s="2">
        <v>96.3</v>
      </c>
    </row>
    <row r="592" spans="1:6" x14ac:dyDescent="0.2">
      <c r="A592" s="2" t="s">
        <v>76</v>
      </c>
      <c r="B592" s="2">
        <v>9</v>
      </c>
      <c r="C592" s="2">
        <v>11</v>
      </c>
      <c r="D592" s="2">
        <v>2021</v>
      </c>
      <c r="E592" s="2">
        <v>120.9</v>
      </c>
      <c r="F592" s="2">
        <v>96.3</v>
      </c>
    </row>
    <row r="593" spans="1:6" x14ac:dyDescent="0.2">
      <c r="A593" s="2" t="s">
        <v>73</v>
      </c>
      <c r="B593" s="2">
        <v>5</v>
      </c>
      <c r="C593" s="2">
        <v>12</v>
      </c>
      <c r="D593" s="2">
        <v>2021</v>
      </c>
      <c r="E593" s="2">
        <v>100.44</v>
      </c>
      <c r="F593" s="2">
        <v>96.1</v>
      </c>
    </row>
    <row r="594" spans="1:6" x14ac:dyDescent="0.2">
      <c r="A594" s="2" t="s">
        <v>90</v>
      </c>
      <c r="B594" s="2">
        <v>18</v>
      </c>
      <c r="C594" s="2">
        <v>5</v>
      </c>
      <c r="D594" s="2">
        <v>2021</v>
      </c>
      <c r="E594" s="2">
        <v>82.77</v>
      </c>
      <c r="F594" s="2">
        <v>96.1</v>
      </c>
    </row>
    <row r="595" spans="1:6" x14ac:dyDescent="0.2">
      <c r="A595" s="2" t="s">
        <v>54</v>
      </c>
      <c r="B595" s="2">
        <v>5</v>
      </c>
      <c r="C595" s="2">
        <v>5</v>
      </c>
      <c r="D595" s="2">
        <v>2021</v>
      </c>
      <c r="E595" s="2">
        <v>52.39</v>
      </c>
      <c r="F595" s="2">
        <v>96.1</v>
      </c>
    </row>
    <row r="596" spans="1:6" x14ac:dyDescent="0.2">
      <c r="A596" s="2" t="s">
        <v>1</v>
      </c>
      <c r="B596" s="2">
        <v>21</v>
      </c>
      <c r="C596" s="2">
        <v>5</v>
      </c>
      <c r="D596" s="2">
        <v>2021</v>
      </c>
      <c r="E596" s="2">
        <v>0</v>
      </c>
      <c r="F596" s="2">
        <v>96.1</v>
      </c>
    </row>
    <row r="597" spans="1:6" x14ac:dyDescent="0.2">
      <c r="A597" s="2" t="s">
        <v>67</v>
      </c>
      <c r="B597" s="2">
        <v>13</v>
      </c>
      <c r="C597" s="2">
        <v>9</v>
      </c>
      <c r="D597" s="2">
        <v>2021</v>
      </c>
      <c r="E597" s="2">
        <v>37.799999999999997</v>
      </c>
      <c r="F597" s="2">
        <v>96</v>
      </c>
    </row>
    <row r="598" spans="1:6" x14ac:dyDescent="0.2">
      <c r="A598" s="2" t="s">
        <v>77</v>
      </c>
      <c r="B598" s="2">
        <v>16</v>
      </c>
      <c r="C598" s="2">
        <v>1</v>
      </c>
      <c r="D598" s="2">
        <v>2021</v>
      </c>
      <c r="E598" s="2">
        <v>144.77000000000001</v>
      </c>
      <c r="F598" s="2">
        <v>95.79</v>
      </c>
    </row>
    <row r="599" spans="1:6" x14ac:dyDescent="0.2">
      <c r="A599" s="2" t="s">
        <v>76</v>
      </c>
      <c r="B599" s="2">
        <v>9</v>
      </c>
      <c r="C599" s="2">
        <v>1</v>
      </c>
      <c r="D599" s="2">
        <v>2021</v>
      </c>
      <c r="E599" s="2">
        <v>129.58000000000001</v>
      </c>
      <c r="F599" s="2">
        <v>95.79</v>
      </c>
    </row>
    <row r="600" spans="1:6" x14ac:dyDescent="0.2">
      <c r="A600" s="2" t="s">
        <v>78</v>
      </c>
      <c r="B600" s="2">
        <v>18</v>
      </c>
      <c r="C600" s="2">
        <v>3</v>
      </c>
      <c r="D600" s="2">
        <v>2021</v>
      </c>
      <c r="E600" s="2">
        <v>81.22</v>
      </c>
      <c r="F600" s="2">
        <v>95.79</v>
      </c>
    </row>
    <row r="601" spans="1:6" x14ac:dyDescent="0.2">
      <c r="A601" s="2" t="s">
        <v>88</v>
      </c>
      <c r="B601" s="2">
        <v>23</v>
      </c>
      <c r="C601" s="2">
        <v>7</v>
      </c>
      <c r="D601" s="2">
        <v>2021</v>
      </c>
      <c r="E601" s="2">
        <v>58.59</v>
      </c>
      <c r="F601" s="2">
        <v>95.79</v>
      </c>
    </row>
    <row r="602" spans="1:6" x14ac:dyDescent="0.2">
      <c r="A602" s="2" t="s">
        <v>59</v>
      </c>
      <c r="B602" s="2">
        <v>11</v>
      </c>
      <c r="C602" s="2">
        <v>11</v>
      </c>
      <c r="D602" s="2">
        <v>2021</v>
      </c>
      <c r="E602" s="2">
        <v>127.5</v>
      </c>
      <c r="F602" s="2">
        <v>95.7</v>
      </c>
    </row>
    <row r="603" spans="1:6" x14ac:dyDescent="0.2">
      <c r="A603" s="2" t="s">
        <v>78</v>
      </c>
      <c r="B603" s="2">
        <v>18</v>
      </c>
      <c r="C603" s="2">
        <v>4</v>
      </c>
      <c r="D603" s="2">
        <v>2021</v>
      </c>
      <c r="E603" s="2">
        <v>79.5</v>
      </c>
      <c r="F603" s="2">
        <v>95.7</v>
      </c>
    </row>
    <row r="604" spans="1:6" x14ac:dyDescent="0.2">
      <c r="A604" s="2" t="s">
        <v>74</v>
      </c>
      <c r="B604" s="2">
        <v>5</v>
      </c>
      <c r="C604" s="2">
        <v>1</v>
      </c>
      <c r="D604" s="2">
        <v>2021</v>
      </c>
      <c r="E604" s="2">
        <v>125.55</v>
      </c>
      <c r="F604" s="2">
        <v>95.48</v>
      </c>
    </row>
    <row r="605" spans="1:6" x14ac:dyDescent="0.2">
      <c r="A605" s="2" t="s">
        <v>52</v>
      </c>
      <c r="B605" s="2">
        <v>1</v>
      </c>
      <c r="C605" s="2">
        <v>3</v>
      </c>
      <c r="D605" s="2">
        <v>2021</v>
      </c>
      <c r="E605" s="2">
        <v>71.92</v>
      </c>
      <c r="F605" s="2">
        <v>95.48</v>
      </c>
    </row>
    <row r="606" spans="1:6" x14ac:dyDescent="0.2">
      <c r="A606" s="2" t="s">
        <v>64</v>
      </c>
      <c r="B606" s="2">
        <v>21</v>
      </c>
      <c r="C606" s="2">
        <v>7</v>
      </c>
      <c r="D606" s="2">
        <v>2021</v>
      </c>
      <c r="E606" s="2">
        <v>35.96</v>
      </c>
      <c r="F606" s="2">
        <v>95.48</v>
      </c>
    </row>
    <row r="607" spans="1:6" x14ac:dyDescent="0.2">
      <c r="A607" s="2" t="s">
        <v>1</v>
      </c>
      <c r="B607" s="2">
        <v>21</v>
      </c>
      <c r="C607" s="2">
        <v>7</v>
      </c>
      <c r="D607" s="2">
        <v>2021</v>
      </c>
      <c r="E607" s="2">
        <v>0</v>
      </c>
      <c r="F607" s="2">
        <v>95.48</v>
      </c>
    </row>
    <row r="608" spans="1:6" x14ac:dyDescent="0.2">
      <c r="A608" s="2" t="s">
        <v>54</v>
      </c>
      <c r="B608" s="2">
        <v>5</v>
      </c>
      <c r="C608" s="2">
        <v>10</v>
      </c>
      <c r="D608" s="2">
        <v>2021</v>
      </c>
      <c r="E608" s="2">
        <v>82.46</v>
      </c>
      <c r="F608" s="2">
        <v>95.17</v>
      </c>
    </row>
    <row r="609" spans="1:6" x14ac:dyDescent="0.2">
      <c r="A609" s="2" t="s">
        <v>87</v>
      </c>
      <c r="B609" s="2">
        <v>1</v>
      </c>
      <c r="C609" s="2">
        <v>5</v>
      </c>
      <c r="D609" s="2">
        <v>2021</v>
      </c>
      <c r="E609" s="2">
        <v>80.599999999999994</v>
      </c>
      <c r="F609" s="2">
        <v>95.17</v>
      </c>
    </row>
    <row r="610" spans="1:6" x14ac:dyDescent="0.2">
      <c r="A610" s="2" t="s">
        <v>69</v>
      </c>
      <c r="B610" s="2">
        <v>12</v>
      </c>
      <c r="C610" s="2">
        <v>11</v>
      </c>
      <c r="D610" s="2">
        <v>2021</v>
      </c>
      <c r="E610" s="2">
        <v>125.4</v>
      </c>
      <c r="F610" s="2">
        <v>95.1</v>
      </c>
    </row>
    <row r="611" spans="1:6" x14ac:dyDescent="0.2">
      <c r="A611" s="2" t="s">
        <v>54</v>
      </c>
      <c r="B611" s="2">
        <v>5</v>
      </c>
      <c r="C611" s="2">
        <v>4</v>
      </c>
      <c r="D611" s="2">
        <v>2021</v>
      </c>
      <c r="E611" s="2">
        <v>81.599999999999994</v>
      </c>
      <c r="F611" s="2">
        <v>95.1</v>
      </c>
    </row>
    <row r="612" spans="1:6" x14ac:dyDescent="0.2">
      <c r="A612" s="2" t="s">
        <v>64</v>
      </c>
      <c r="B612" s="2">
        <v>21</v>
      </c>
      <c r="C612" s="2">
        <v>6</v>
      </c>
      <c r="D612" s="2">
        <v>2021</v>
      </c>
      <c r="E612" s="2">
        <v>43.5</v>
      </c>
      <c r="F612" s="2">
        <v>95.1</v>
      </c>
    </row>
    <row r="613" spans="1:6" x14ac:dyDescent="0.2">
      <c r="A613" s="2" t="s">
        <v>67</v>
      </c>
      <c r="B613" s="2">
        <v>13</v>
      </c>
      <c r="C613" s="2">
        <v>6</v>
      </c>
      <c r="D613" s="2">
        <v>2021</v>
      </c>
      <c r="E613" s="2">
        <v>43.2</v>
      </c>
      <c r="F613" s="2">
        <v>95.1</v>
      </c>
    </row>
    <row r="614" spans="1:6" x14ac:dyDescent="0.2">
      <c r="A614" s="2" t="s">
        <v>64</v>
      </c>
      <c r="B614" s="2">
        <v>21</v>
      </c>
      <c r="C614" s="2">
        <v>1</v>
      </c>
      <c r="D614" s="2">
        <v>2021</v>
      </c>
      <c r="E614" s="2">
        <v>113.46</v>
      </c>
      <c r="F614" s="2">
        <v>94.86</v>
      </c>
    </row>
    <row r="615" spans="1:6" x14ac:dyDescent="0.2">
      <c r="A615" s="2" t="s">
        <v>65</v>
      </c>
      <c r="B615" s="2">
        <v>11</v>
      </c>
      <c r="C615" s="2">
        <v>3</v>
      </c>
      <c r="D615" s="2">
        <v>2021</v>
      </c>
      <c r="E615" s="2">
        <v>90.52</v>
      </c>
      <c r="F615" s="2">
        <v>94.86</v>
      </c>
    </row>
    <row r="616" spans="1:6" x14ac:dyDescent="0.2">
      <c r="A616" s="2" t="s">
        <v>76</v>
      </c>
      <c r="B616" s="2">
        <v>9</v>
      </c>
      <c r="C616" s="2">
        <v>3</v>
      </c>
      <c r="D616" s="2">
        <v>2021</v>
      </c>
      <c r="E616" s="2">
        <v>82.15</v>
      </c>
      <c r="F616" s="2">
        <v>94.86</v>
      </c>
    </row>
    <row r="617" spans="1:6" x14ac:dyDescent="0.2">
      <c r="A617" s="2" t="s">
        <v>43</v>
      </c>
      <c r="B617" s="2">
        <v>15</v>
      </c>
      <c r="C617" s="2">
        <v>3</v>
      </c>
      <c r="D617" s="2">
        <v>2021</v>
      </c>
      <c r="E617" s="2">
        <v>72.849999999999994</v>
      </c>
      <c r="F617" s="2">
        <v>94.86</v>
      </c>
    </row>
    <row r="618" spans="1:6" x14ac:dyDescent="0.2">
      <c r="A618" s="2" t="s">
        <v>44</v>
      </c>
      <c r="B618" s="2">
        <v>1</v>
      </c>
      <c r="C618" s="2">
        <v>11</v>
      </c>
      <c r="D618" s="2">
        <v>2021</v>
      </c>
      <c r="E618" s="2">
        <v>104.7</v>
      </c>
      <c r="F618" s="2">
        <v>94.8</v>
      </c>
    </row>
    <row r="619" spans="1:6" x14ac:dyDescent="0.2">
      <c r="A619" s="2" t="s">
        <v>90</v>
      </c>
      <c r="B619" s="2">
        <v>18</v>
      </c>
      <c r="C619" s="2">
        <v>9</v>
      </c>
      <c r="D619" s="2">
        <v>2021</v>
      </c>
      <c r="E619" s="2">
        <v>72.900000000000006</v>
      </c>
      <c r="F619" s="2">
        <v>94.8</v>
      </c>
    </row>
    <row r="620" spans="1:6" x14ac:dyDescent="0.2">
      <c r="A620" s="2" t="s">
        <v>56</v>
      </c>
      <c r="B620" s="2">
        <v>14</v>
      </c>
      <c r="C620" s="2">
        <v>6</v>
      </c>
      <c r="D620" s="2">
        <v>2021</v>
      </c>
      <c r="E620" s="2">
        <v>46.8</v>
      </c>
      <c r="F620" s="2">
        <v>94.8</v>
      </c>
    </row>
    <row r="621" spans="1:6" x14ac:dyDescent="0.2">
      <c r="A621" s="2" t="s">
        <v>57</v>
      </c>
      <c r="B621" s="2">
        <v>17</v>
      </c>
      <c r="C621" s="2">
        <v>3</v>
      </c>
      <c r="D621" s="2">
        <v>2021</v>
      </c>
      <c r="E621" s="2">
        <v>74.09</v>
      </c>
      <c r="F621" s="2">
        <v>94.55</v>
      </c>
    </row>
    <row r="622" spans="1:6" x14ac:dyDescent="0.2">
      <c r="A622" s="2" t="s">
        <v>74</v>
      </c>
      <c r="B622" s="2">
        <v>5</v>
      </c>
      <c r="C622" s="2">
        <v>5</v>
      </c>
      <c r="D622" s="2">
        <v>2021</v>
      </c>
      <c r="E622" s="2">
        <v>43.4</v>
      </c>
      <c r="F622" s="2">
        <v>94.55</v>
      </c>
    </row>
    <row r="623" spans="1:6" x14ac:dyDescent="0.2">
      <c r="A623" s="2" t="s">
        <v>73</v>
      </c>
      <c r="B623" s="2">
        <v>5</v>
      </c>
      <c r="C623" s="2">
        <v>8</v>
      </c>
      <c r="D623" s="2">
        <v>2021</v>
      </c>
      <c r="E623" s="2">
        <v>38.44</v>
      </c>
      <c r="F623" s="2">
        <v>94.55</v>
      </c>
    </row>
    <row r="624" spans="1:6" x14ac:dyDescent="0.2">
      <c r="A624" s="2" t="s">
        <v>74</v>
      </c>
      <c r="B624" s="2">
        <v>5</v>
      </c>
      <c r="C624" s="2">
        <v>11</v>
      </c>
      <c r="D624" s="2">
        <v>2021</v>
      </c>
      <c r="E624" s="2">
        <v>116.7</v>
      </c>
      <c r="F624" s="2">
        <v>94.5</v>
      </c>
    </row>
    <row r="625" spans="1:6" x14ac:dyDescent="0.2">
      <c r="A625" s="2" t="s">
        <v>81</v>
      </c>
      <c r="B625" s="2">
        <v>19</v>
      </c>
      <c r="C625" s="2">
        <v>12</v>
      </c>
      <c r="D625" s="2">
        <v>2021</v>
      </c>
      <c r="E625" s="2">
        <v>130.51</v>
      </c>
      <c r="F625" s="2">
        <v>94.24</v>
      </c>
    </row>
    <row r="626" spans="1:6" x14ac:dyDescent="0.2">
      <c r="A626" s="2" t="s">
        <v>72</v>
      </c>
      <c r="B626" s="2">
        <v>22</v>
      </c>
      <c r="C626" s="2">
        <v>3</v>
      </c>
      <c r="D626" s="2">
        <v>2021</v>
      </c>
      <c r="E626" s="2">
        <v>98.89</v>
      </c>
      <c r="F626" s="2">
        <v>94.24</v>
      </c>
    </row>
    <row r="627" spans="1:6" x14ac:dyDescent="0.2">
      <c r="A627" s="2" t="s">
        <v>83</v>
      </c>
      <c r="B627" s="2">
        <v>25</v>
      </c>
      <c r="C627" s="2">
        <v>9</v>
      </c>
      <c r="D627" s="2">
        <v>2021</v>
      </c>
      <c r="E627" s="2">
        <v>64.2</v>
      </c>
      <c r="F627" s="2">
        <v>94.2</v>
      </c>
    </row>
    <row r="628" spans="1:6" x14ac:dyDescent="0.2">
      <c r="A628" s="2" t="s">
        <v>70</v>
      </c>
      <c r="B628" s="2">
        <v>16</v>
      </c>
      <c r="C628" s="2">
        <v>9</v>
      </c>
      <c r="D628" s="2">
        <v>2021</v>
      </c>
      <c r="E628" s="2">
        <v>48.6</v>
      </c>
      <c r="F628" s="2">
        <v>94.2</v>
      </c>
    </row>
    <row r="629" spans="1:6" x14ac:dyDescent="0.2">
      <c r="A629" s="2" t="s">
        <v>44</v>
      </c>
      <c r="B629" s="2">
        <v>1</v>
      </c>
      <c r="C629" s="2">
        <v>9</v>
      </c>
      <c r="D629" s="2">
        <v>2021</v>
      </c>
      <c r="E629" s="2">
        <v>34.799999999999997</v>
      </c>
      <c r="F629" s="2">
        <v>94.2</v>
      </c>
    </row>
    <row r="630" spans="1:6" x14ac:dyDescent="0.2">
      <c r="A630" s="2" t="s">
        <v>54</v>
      </c>
      <c r="B630" s="2">
        <v>5</v>
      </c>
      <c r="C630" s="2">
        <v>12</v>
      </c>
      <c r="D630" s="2">
        <v>2021</v>
      </c>
      <c r="E630" s="2">
        <v>130.19999999999999</v>
      </c>
      <c r="F630" s="2">
        <v>93.93</v>
      </c>
    </row>
    <row r="631" spans="1:6" x14ac:dyDescent="0.2">
      <c r="A631" s="2" t="s">
        <v>59</v>
      </c>
      <c r="B631" s="2">
        <v>11</v>
      </c>
      <c r="C631" s="2">
        <v>1</v>
      </c>
      <c r="D631" s="2">
        <v>2021</v>
      </c>
      <c r="E631" s="2">
        <v>118.42</v>
      </c>
      <c r="F631" s="2">
        <v>93.93</v>
      </c>
    </row>
    <row r="632" spans="1:6" x14ac:dyDescent="0.2">
      <c r="A632" s="2" t="s">
        <v>86</v>
      </c>
      <c r="B632" s="2">
        <v>6</v>
      </c>
      <c r="C632" s="2">
        <v>10</v>
      </c>
      <c r="D632" s="2">
        <v>2021</v>
      </c>
      <c r="E632" s="2">
        <v>90.52</v>
      </c>
      <c r="F632" s="2">
        <v>93.93</v>
      </c>
    </row>
    <row r="633" spans="1:6" x14ac:dyDescent="0.2">
      <c r="A633" s="2" t="s">
        <v>65</v>
      </c>
      <c r="B633" s="2">
        <v>11</v>
      </c>
      <c r="C633" s="2">
        <v>10</v>
      </c>
      <c r="D633" s="2">
        <v>2021</v>
      </c>
      <c r="E633" s="2">
        <v>87.42</v>
      </c>
      <c r="F633" s="2">
        <v>93.93</v>
      </c>
    </row>
    <row r="634" spans="1:6" x14ac:dyDescent="0.2">
      <c r="A634" s="2" t="s">
        <v>64</v>
      </c>
      <c r="B634" s="2">
        <v>21</v>
      </c>
      <c r="C634" s="2">
        <v>10</v>
      </c>
      <c r="D634" s="2">
        <v>2021</v>
      </c>
      <c r="E634" s="2">
        <v>79.67</v>
      </c>
      <c r="F634" s="2">
        <v>93.93</v>
      </c>
    </row>
    <row r="635" spans="1:6" x14ac:dyDescent="0.2">
      <c r="A635" s="2" t="s">
        <v>52</v>
      </c>
      <c r="B635" s="2">
        <v>1</v>
      </c>
      <c r="C635" s="2">
        <v>9</v>
      </c>
      <c r="D635" s="2">
        <v>2021</v>
      </c>
      <c r="E635" s="2">
        <v>32.1</v>
      </c>
      <c r="F635" s="2">
        <v>93.9</v>
      </c>
    </row>
    <row r="636" spans="1:6" x14ac:dyDescent="0.2">
      <c r="A636" s="2" t="s">
        <v>78</v>
      </c>
      <c r="B636" s="2">
        <v>18</v>
      </c>
      <c r="C636" s="2">
        <v>10</v>
      </c>
      <c r="D636" s="2">
        <v>2021</v>
      </c>
      <c r="E636" s="2">
        <v>78.739999999999995</v>
      </c>
      <c r="F636" s="2">
        <v>93.62</v>
      </c>
    </row>
    <row r="637" spans="1:6" x14ac:dyDescent="0.2">
      <c r="A637" s="2" t="s">
        <v>79</v>
      </c>
      <c r="B637" s="2">
        <v>3</v>
      </c>
      <c r="C637" s="2">
        <v>2</v>
      </c>
      <c r="D637" s="2">
        <v>2021</v>
      </c>
      <c r="E637" s="2">
        <v>117.04</v>
      </c>
      <c r="F637" s="2">
        <v>93.52</v>
      </c>
    </row>
    <row r="638" spans="1:6" x14ac:dyDescent="0.2">
      <c r="A638" s="2" t="s">
        <v>59</v>
      </c>
      <c r="B638" s="2">
        <v>11</v>
      </c>
      <c r="C638" s="2">
        <v>10</v>
      </c>
      <c r="D638" s="2">
        <v>2021</v>
      </c>
      <c r="E638" s="2">
        <v>77.81</v>
      </c>
      <c r="F638" s="2">
        <v>93.31</v>
      </c>
    </row>
    <row r="639" spans="1:6" x14ac:dyDescent="0.2">
      <c r="A639" s="2" t="s">
        <v>61</v>
      </c>
      <c r="B639" s="2">
        <v>23</v>
      </c>
      <c r="C639" s="2">
        <v>3</v>
      </c>
      <c r="D639" s="2">
        <v>2021</v>
      </c>
      <c r="E639" s="2">
        <v>73.16</v>
      </c>
      <c r="F639" s="2">
        <v>93.31</v>
      </c>
    </row>
    <row r="640" spans="1:6" x14ac:dyDescent="0.2">
      <c r="A640" s="2" t="s">
        <v>34</v>
      </c>
      <c r="B640" s="2">
        <v>4</v>
      </c>
      <c r="C640" s="2">
        <v>3</v>
      </c>
      <c r="D640" s="2">
        <v>2021</v>
      </c>
      <c r="E640" s="2">
        <v>59.83</v>
      </c>
      <c r="F640" s="2">
        <v>93.31</v>
      </c>
    </row>
    <row r="641" spans="1:6" x14ac:dyDescent="0.2">
      <c r="A641" s="2" t="s">
        <v>43</v>
      </c>
      <c r="B641" s="2">
        <v>15</v>
      </c>
      <c r="C641" s="2">
        <v>7</v>
      </c>
      <c r="D641" s="2">
        <v>2021</v>
      </c>
      <c r="E641" s="2">
        <v>37.200000000000003</v>
      </c>
      <c r="F641" s="2">
        <v>93.31</v>
      </c>
    </row>
    <row r="642" spans="1:6" x14ac:dyDescent="0.2">
      <c r="A642" s="2" t="s">
        <v>71</v>
      </c>
      <c r="B642" s="2">
        <v>21</v>
      </c>
      <c r="C642" s="2">
        <v>2</v>
      </c>
      <c r="D642" s="2">
        <v>2021</v>
      </c>
      <c r="E642" s="2">
        <v>133</v>
      </c>
      <c r="F642" s="2">
        <v>93.24</v>
      </c>
    </row>
    <row r="643" spans="1:6" x14ac:dyDescent="0.2">
      <c r="A643" s="2" t="s">
        <v>84</v>
      </c>
      <c r="B643" s="2">
        <v>20</v>
      </c>
      <c r="C643" s="2">
        <v>11</v>
      </c>
      <c r="D643" s="2">
        <v>2021</v>
      </c>
      <c r="E643" s="2">
        <v>144</v>
      </c>
      <c r="F643" s="2">
        <v>93</v>
      </c>
    </row>
    <row r="644" spans="1:6" x14ac:dyDescent="0.2">
      <c r="A644" s="2" t="s">
        <v>92</v>
      </c>
      <c r="B644" s="2">
        <v>7</v>
      </c>
      <c r="C644" s="2">
        <v>3</v>
      </c>
      <c r="D644" s="2">
        <v>2021</v>
      </c>
      <c r="E644" s="2">
        <v>106.64</v>
      </c>
      <c r="F644" s="2">
        <v>93</v>
      </c>
    </row>
    <row r="645" spans="1:6" x14ac:dyDescent="0.2">
      <c r="A645" s="2" t="s">
        <v>60</v>
      </c>
      <c r="B645" s="2">
        <v>20</v>
      </c>
      <c r="C645" s="2">
        <v>6</v>
      </c>
      <c r="D645" s="2">
        <v>2021</v>
      </c>
      <c r="E645" s="2">
        <v>48.9</v>
      </c>
      <c r="F645" s="2">
        <v>93</v>
      </c>
    </row>
    <row r="646" spans="1:6" x14ac:dyDescent="0.2">
      <c r="A646" s="2" t="s">
        <v>61</v>
      </c>
      <c r="B646" s="2">
        <v>23</v>
      </c>
      <c r="C646" s="2">
        <v>4</v>
      </c>
      <c r="D646" s="2">
        <v>2021</v>
      </c>
      <c r="E646" s="2">
        <v>87</v>
      </c>
      <c r="F646" s="2">
        <v>92.7</v>
      </c>
    </row>
    <row r="647" spans="1:6" x14ac:dyDescent="0.2">
      <c r="A647" s="2" t="s">
        <v>41</v>
      </c>
      <c r="B647" s="2">
        <v>15</v>
      </c>
      <c r="C647" s="2">
        <v>4</v>
      </c>
      <c r="D647" s="2">
        <v>2021</v>
      </c>
      <c r="E647" s="2">
        <v>71.400000000000006</v>
      </c>
      <c r="F647" s="2">
        <v>92.7</v>
      </c>
    </row>
    <row r="648" spans="1:6" x14ac:dyDescent="0.2">
      <c r="A648" s="2" t="s">
        <v>75</v>
      </c>
      <c r="B648" s="2">
        <v>2</v>
      </c>
      <c r="C648" s="2">
        <v>1</v>
      </c>
      <c r="D648" s="2">
        <v>2021</v>
      </c>
      <c r="E648" s="2">
        <v>106.95</v>
      </c>
      <c r="F648" s="2">
        <v>92.69</v>
      </c>
    </row>
    <row r="649" spans="1:6" x14ac:dyDescent="0.2">
      <c r="A649" s="2" t="s">
        <v>76</v>
      </c>
      <c r="B649" s="2">
        <v>9</v>
      </c>
      <c r="C649" s="2">
        <v>4</v>
      </c>
      <c r="D649" s="2">
        <v>2021</v>
      </c>
      <c r="E649" s="2">
        <v>83.1</v>
      </c>
      <c r="F649" s="2">
        <v>92.4</v>
      </c>
    </row>
    <row r="650" spans="1:6" x14ac:dyDescent="0.2">
      <c r="A650" s="2" t="s">
        <v>88</v>
      </c>
      <c r="B650" s="2">
        <v>23</v>
      </c>
      <c r="C650" s="2">
        <v>6</v>
      </c>
      <c r="D650" s="2">
        <v>2021</v>
      </c>
      <c r="E650" s="2">
        <v>63.9</v>
      </c>
      <c r="F650" s="2">
        <v>92.4</v>
      </c>
    </row>
    <row r="651" spans="1:6" x14ac:dyDescent="0.2">
      <c r="A651" s="2" t="s">
        <v>87</v>
      </c>
      <c r="B651" s="2">
        <v>1</v>
      </c>
      <c r="C651" s="2">
        <v>6</v>
      </c>
      <c r="D651" s="2">
        <v>2021</v>
      </c>
      <c r="E651" s="2">
        <v>63.3</v>
      </c>
      <c r="F651" s="2">
        <v>92.4</v>
      </c>
    </row>
    <row r="652" spans="1:6" x14ac:dyDescent="0.2">
      <c r="A652" s="2" t="s">
        <v>76</v>
      </c>
      <c r="B652" s="2">
        <v>9</v>
      </c>
      <c r="C652" s="2">
        <v>6</v>
      </c>
      <c r="D652" s="2">
        <v>2021</v>
      </c>
      <c r="E652" s="2">
        <v>49.5</v>
      </c>
      <c r="F652" s="2">
        <v>92.4</v>
      </c>
    </row>
    <row r="653" spans="1:6" x14ac:dyDescent="0.2">
      <c r="A653" s="2" t="s">
        <v>37</v>
      </c>
      <c r="B653" s="2">
        <v>12</v>
      </c>
      <c r="C653" s="2">
        <v>1</v>
      </c>
      <c r="D653" s="2">
        <v>2021</v>
      </c>
      <c r="E653" s="2">
        <v>92.07</v>
      </c>
      <c r="F653" s="2">
        <v>92.38</v>
      </c>
    </row>
    <row r="654" spans="1:6" x14ac:dyDescent="0.2">
      <c r="A654" s="2" t="s">
        <v>86</v>
      </c>
      <c r="B654" s="2">
        <v>6</v>
      </c>
      <c r="C654" s="2">
        <v>3</v>
      </c>
      <c r="D654" s="2">
        <v>2021</v>
      </c>
      <c r="E654" s="2">
        <v>90.52</v>
      </c>
      <c r="F654" s="2">
        <v>92.38</v>
      </c>
    </row>
    <row r="655" spans="1:6" x14ac:dyDescent="0.2">
      <c r="A655" s="2" t="s">
        <v>46</v>
      </c>
      <c r="B655" s="2">
        <v>9</v>
      </c>
      <c r="C655" s="2">
        <v>7</v>
      </c>
      <c r="D655" s="2">
        <v>2021</v>
      </c>
      <c r="E655" s="2">
        <v>26.35</v>
      </c>
      <c r="F655" s="2">
        <v>92.38</v>
      </c>
    </row>
    <row r="656" spans="1:6" x14ac:dyDescent="0.2">
      <c r="A656" s="2" t="s">
        <v>97</v>
      </c>
      <c r="B656" s="2">
        <v>12</v>
      </c>
      <c r="C656" s="2">
        <v>9</v>
      </c>
      <c r="D656" s="2">
        <v>2021</v>
      </c>
      <c r="E656" s="1" t="s">
        <v>94</v>
      </c>
      <c r="F656" s="2">
        <v>92.1</v>
      </c>
    </row>
    <row r="657" spans="1:6" x14ac:dyDescent="0.2">
      <c r="A657" s="2" t="s">
        <v>65</v>
      </c>
      <c r="B657" s="2">
        <v>11</v>
      </c>
      <c r="C657" s="2">
        <v>12</v>
      </c>
      <c r="D657" s="2">
        <v>2021</v>
      </c>
      <c r="E657" s="2">
        <v>116.87</v>
      </c>
      <c r="F657" s="2">
        <v>92.07</v>
      </c>
    </row>
    <row r="658" spans="1:6" x14ac:dyDescent="0.2">
      <c r="A658" s="2" t="s">
        <v>93</v>
      </c>
      <c r="B658" s="2">
        <v>3</v>
      </c>
      <c r="C658" s="2">
        <v>10</v>
      </c>
      <c r="D658" s="2">
        <v>2021</v>
      </c>
      <c r="E658" s="2">
        <v>116.56</v>
      </c>
      <c r="F658" s="2">
        <v>92.07</v>
      </c>
    </row>
    <row r="659" spans="1:6" x14ac:dyDescent="0.2">
      <c r="A659" s="2" t="s">
        <v>59</v>
      </c>
      <c r="B659" s="2">
        <v>11</v>
      </c>
      <c r="C659" s="2">
        <v>3</v>
      </c>
      <c r="D659" s="2">
        <v>2021</v>
      </c>
      <c r="E659" s="2">
        <v>79.67</v>
      </c>
      <c r="F659" s="2">
        <v>92.07</v>
      </c>
    </row>
    <row r="660" spans="1:6" x14ac:dyDescent="0.2">
      <c r="A660" s="2" t="s">
        <v>73</v>
      </c>
      <c r="B660" s="2">
        <v>5</v>
      </c>
      <c r="C660" s="2">
        <v>3</v>
      </c>
      <c r="D660" s="2">
        <v>2021</v>
      </c>
      <c r="E660" s="2">
        <v>77.5</v>
      </c>
      <c r="F660" s="2">
        <v>92.07</v>
      </c>
    </row>
    <row r="661" spans="1:6" x14ac:dyDescent="0.2">
      <c r="A661" s="2" t="s">
        <v>92</v>
      </c>
      <c r="B661" s="2">
        <v>7</v>
      </c>
      <c r="C661" s="2">
        <v>8</v>
      </c>
      <c r="D661" s="2">
        <v>2021</v>
      </c>
      <c r="E661" s="2">
        <v>72.23</v>
      </c>
      <c r="F661" s="2">
        <v>92.07</v>
      </c>
    </row>
    <row r="662" spans="1:6" x14ac:dyDescent="0.2">
      <c r="A662" s="2" t="s">
        <v>73</v>
      </c>
      <c r="B662" s="2">
        <v>5</v>
      </c>
      <c r="C662" s="2">
        <v>10</v>
      </c>
      <c r="D662" s="2">
        <v>2021</v>
      </c>
      <c r="E662" s="2">
        <v>70.06</v>
      </c>
      <c r="F662" s="2">
        <v>92.07</v>
      </c>
    </row>
    <row r="663" spans="1:6" x14ac:dyDescent="0.2">
      <c r="A663" s="2" t="s">
        <v>86</v>
      </c>
      <c r="B663" s="2">
        <v>6</v>
      </c>
      <c r="C663" s="2">
        <v>5</v>
      </c>
      <c r="D663" s="2">
        <v>2021</v>
      </c>
      <c r="E663" s="2">
        <v>54.25</v>
      </c>
      <c r="F663" s="2">
        <v>92.07</v>
      </c>
    </row>
    <row r="664" spans="1:6" x14ac:dyDescent="0.2">
      <c r="A664" s="2" t="s">
        <v>43</v>
      </c>
      <c r="B664" s="2">
        <v>15</v>
      </c>
      <c r="C664" s="2">
        <v>8</v>
      </c>
      <c r="D664" s="2">
        <v>2021</v>
      </c>
      <c r="E664" s="2">
        <v>28.21</v>
      </c>
      <c r="F664" s="2">
        <v>92.07</v>
      </c>
    </row>
    <row r="665" spans="1:6" x14ac:dyDescent="0.2">
      <c r="A665" s="2" t="s">
        <v>45</v>
      </c>
      <c r="B665" s="2">
        <v>18</v>
      </c>
      <c r="C665" s="2">
        <v>8</v>
      </c>
      <c r="D665" s="2">
        <v>2021</v>
      </c>
      <c r="E665" s="2">
        <v>27.9</v>
      </c>
      <c r="F665" s="2">
        <v>92.07</v>
      </c>
    </row>
    <row r="666" spans="1:6" x14ac:dyDescent="0.2">
      <c r="A666" s="2" t="s">
        <v>78</v>
      </c>
      <c r="B666" s="2">
        <v>18</v>
      </c>
      <c r="C666" s="2">
        <v>11</v>
      </c>
      <c r="D666" s="2">
        <v>2021</v>
      </c>
      <c r="E666" s="2">
        <v>125.1</v>
      </c>
      <c r="F666" s="2">
        <v>91.8</v>
      </c>
    </row>
    <row r="667" spans="1:6" x14ac:dyDescent="0.2">
      <c r="A667" s="2" t="s">
        <v>86</v>
      </c>
      <c r="B667" s="2">
        <v>6</v>
      </c>
      <c r="C667" s="2">
        <v>12</v>
      </c>
      <c r="D667" s="2">
        <v>2021</v>
      </c>
      <c r="E667" s="2">
        <v>146.94</v>
      </c>
      <c r="F667" s="2">
        <v>91.76</v>
      </c>
    </row>
    <row r="668" spans="1:6" x14ac:dyDescent="0.2">
      <c r="A668" s="2" t="s">
        <v>93</v>
      </c>
      <c r="B668" s="2">
        <v>3</v>
      </c>
      <c r="C668" s="2">
        <v>3</v>
      </c>
      <c r="D668" s="2">
        <v>2021</v>
      </c>
      <c r="E668" s="2">
        <v>103.23</v>
      </c>
      <c r="F668" s="2">
        <v>91.76</v>
      </c>
    </row>
    <row r="669" spans="1:6" x14ac:dyDescent="0.2">
      <c r="A669" s="2" t="s">
        <v>70</v>
      </c>
      <c r="B669" s="2">
        <v>16</v>
      </c>
      <c r="C669" s="2">
        <v>3</v>
      </c>
      <c r="D669" s="2">
        <v>2021</v>
      </c>
      <c r="E669" s="2">
        <v>85.87</v>
      </c>
      <c r="F669" s="2">
        <v>91.76</v>
      </c>
    </row>
    <row r="670" spans="1:6" x14ac:dyDescent="0.2">
      <c r="A670" s="2" t="s">
        <v>4</v>
      </c>
      <c r="B670" s="2">
        <v>1</v>
      </c>
      <c r="C670" s="2">
        <v>7</v>
      </c>
      <c r="D670" s="2">
        <v>2021</v>
      </c>
      <c r="E670" s="2">
        <v>0</v>
      </c>
      <c r="F670" s="2">
        <v>91.76</v>
      </c>
    </row>
    <row r="671" spans="1:6" x14ac:dyDescent="0.2">
      <c r="A671" s="2" t="s">
        <v>38</v>
      </c>
      <c r="B671" s="2">
        <v>21</v>
      </c>
      <c r="C671" s="2">
        <v>11</v>
      </c>
      <c r="D671" s="2">
        <v>2021</v>
      </c>
      <c r="E671" s="2">
        <v>93.3</v>
      </c>
      <c r="F671" s="2">
        <v>91.5</v>
      </c>
    </row>
    <row r="672" spans="1:6" x14ac:dyDescent="0.2">
      <c r="A672" s="2" t="s">
        <v>63</v>
      </c>
      <c r="B672" s="2">
        <v>25</v>
      </c>
      <c r="C672" s="2">
        <v>10</v>
      </c>
      <c r="D672" s="2">
        <v>2021</v>
      </c>
      <c r="E672" s="2">
        <v>68.819999999999993</v>
      </c>
      <c r="F672" s="2">
        <v>91.45</v>
      </c>
    </row>
    <row r="673" spans="1:6" x14ac:dyDescent="0.2">
      <c r="A673" s="2" t="s">
        <v>65</v>
      </c>
      <c r="B673" s="2">
        <v>11</v>
      </c>
      <c r="C673" s="2">
        <v>7</v>
      </c>
      <c r="D673" s="2">
        <v>2021</v>
      </c>
      <c r="E673" s="2">
        <v>47.43</v>
      </c>
      <c r="F673" s="2">
        <v>91.45</v>
      </c>
    </row>
    <row r="674" spans="1:6" x14ac:dyDescent="0.2">
      <c r="A674" s="2" t="s">
        <v>63</v>
      </c>
      <c r="B674" s="2">
        <v>25</v>
      </c>
      <c r="C674" s="2">
        <v>8</v>
      </c>
      <c r="D674" s="2">
        <v>2021</v>
      </c>
      <c r="E674" s="2">
        <v>35.96</v>
      </c>
      <c r="F674" s="2">
        <v>91.45</v>
      </c>
    </row>
    <row r="675" spans="1:6" x14ac:dyDescent="0.2">
      <c r="A675" s="2" t="s">
        <v>87</v>
      </c>
      <c r="B675" s="2">
        <v>1</v>
      </c>
      <c r="C675" s="2">
        <v>4</v>
      </c>
      <c r="D675" s="2">
        <v>2021</v>
      </c>
      <c r="E675" s="2">
        <v>96.9</v>
      </c>
      <c r="F675" s="2">
        <v>91.2</v>
      </c>
    </row>
    <row r="676" spans="1:6" x14ac:dyDescent="0.2">
      <c r="A676" s="2" t="s">
        <v>87</v>
      </c>
      <c r="B676" s="2">
        <v>1</v>
      </c>
      <c r="C676" s="2">
        <v>10</v>
      </c>
      <c r="D676" s="2">
        <v>2021</v>
      </c>
      <c r="E676" s="2">
        <v>109.43</v>
      </c>
      <c r="F676" s="2">
        <v>91.14</v>
      </c>
    </row>
    <row r="677" spans="1:6" x14ac:dyDescent="0.2">
      <c r="A677" s="2" t="s">
        <v>66</v>
      </c>
      <c r="B677" s="2">
        <v>23</v>
      </c>
      <c r="C677" s="2">
        <v>7</v>
      </c>
      <c r="D677" s="2">
        <v>2021</v>
      </c>
      <c r="E677" s="2">
        <v>44.64</v>
      </c>
      <c r="F677" s="2">
        <v>91.14</v>
      </c>
    </row>
    <row r="678" spans="1:6" x14ac:dyDescent="0.2">
      <c r="A678" s="2" t="s">
        <v>2</v>
      </c>
      <c r="B678" s="2">
        <v>18</v>
      </c>
      <c r="C678" s="2">
        <v>9</v>
      </c>
      <c r="D678" s="2">
        <v>2021</v>
      </c>
      <c r="E678" s="1" t="s">
        <v>94</v>
      </c>
      <c r="F678" s="2">
        <v>90.9</v>
      </c>
    </row>
    <row r="679" spans="1:6" x14ac:dyDescent="0.2">
      <c r="A679" s="2" t="s">
        <v>75</v>
      </c>
      <c r="B679" s="2">
        <v>2</v>
      </c>
      <c r="C679" s="2">
        <v>11</v>
      </c>
      <c r="D679" s="2">
        <v>2021</v>
      </c>
      <c r="E679" s="2">
        <v>120.3</v>
      </c>
      <c r="F679" s="2">
        <v>90.9</v>
      </c>
    </row>
    <row r="680" spans="1:6" x14ac:dyDescent="0.2">
      <c r="A680" s="2" t="s">
        <v>43</v>
      </c>
      <c r="B680" s="2">
        <v>15</v>
      </c>
      <c r="C680" s="2">
        <v>9</v>
      </c>
      <c r="D680" s="2">
        <v>2021</v>
      </c>
      <c r="E680" s="2">
        <v>47.1</v>
      </c>
      <c r="F680" s="2">
        <v>90.9</v>
      </c>
    </row>
    <row r="681" spans="1:6" x14ac:dyDescent="0.2">
      <c r="A681" s="2" t="s">
        <v>76</v>
      </c>
      <c r="B681" s="2">
        <v>9</v>
      </c>
      <c r="C681" s="2">
        <v>7</v>
      </c>
      <c r="D681" s="2">
        <v>2021</v>
      </c>
      <c r="E681" s="2">
        <v>44.64</v>
      </c>
      <c r="F681" s="2">
        <v>90.83</v>
      </c>
    </row>
    <row r="682" spans="1:6" x14ac:dyDescent="0.2">
      <c r="A682" s="2" t="s">
        <v>84</v>
      </c>
      <c r="B682" s="2">
        <v>20</v>
      </c>
      <c r="C682" s="2">
        <v>6</v>
      </c>
      <c r="D682" s="2">
        <v>2021</v>
      </c>
      <c r="E682" s="2">
        <v>46.8</v>
      </c>
      <c r="F682" s="2">
        <v>90.6</v>
      </c>
    </row>
    <row r="683" spans="1:6" x14ac:dyDescent="0.2">
      <c r="A683" s="2" t="s">
        <v>69</v>
      </c>
      <c r="B683" s="2">
        <v>12</v>
      </c>
      <c r="C683" s="2">
        <v>5</v>
      </c>
      <c r="D683" s="2">
        <v>2021</v>
      </c>
      <c r="E683" s="2">
        <v>47.12</v>
      </c>
      <c r="F683" s="2">
        <v>90.52</v>
      </c>
    </row>
    <row r="684" spans="1:6" x14ac:dyDescent="0.2">
      <c r="A684" s="2" t="s">
        <v>44</v>
      </c>
      <c r="B684" s="2">
        <v>1</v>
      </c>
      <c r="C684" s="2">
        <v>2</v>
      </c>
      <c r="D684" s="2">
        <v>2021</v>
      </c>
      <c r="E684" s="2">
        <v>122.64</v>
      </c>
      <c r="F684" s="2">
        <v>90.44</v>
      </c>
    </row>
    <row r="685" spans="1:6" x14ac:dyDescent="0.2">
      <c r="A685" s="2" t="s">
        <v>88</v>
      </c>
      <c r="B685" s="2">
        <v>23</v>
      </c>
      <c r="C685" s="2">
        <v>9</v>
      </c>
      <c r="D685" s="2">
        <v>2021</v>
      </c>
      <c r="E685" s="2">
        <v>69</v>
      </c>
      <c r="F685" s="2">
        <v>90.3</v>
      </c>
    </row>
    <row r="686" spans="1:6" x14ac:dyDescent="0.2">
      <c r="A686" s="2" t="s">
        <v>45</v>
      </c>
      <c r="B686" s="2">
        <v>18</v>
      </c>
      <c r="C686" s="2">
        <v>9</v>
      </c>
      <c r="D686" s="2">
        <v>2021</v>
      </c>
      <c r="E686" s="2">
        <v>40.799999999999997</v>
      </c>
      <c r="F686" s="2">
        <v>90.3</v>
      </c>
    </row>
    <row r="687" spans="1:6" x14ac:dyDescent="0.2">
      <c r="A687" s="2" t="s">
        <v>97</v>
      </c>
      <c r="B687" s="2">
        <v>12</v>
      </c>
      <c r="C687" s="2">
        <v>5</v>
      </c>
      <c r="D687" s="2">
        <v>2021</v>
      </c>
      <c r="E687" s="1" t="s">
        <v>94</v>
      </c>
      <c r="F687" s="2">
        <v>90.21</v>
      </c>
    </row>
    <row r="688" spans="1:6" x14ac:dyDescent="0.2">
      <c r="A688" s="2" t="s">
        <v>93</v>
      </c>
      <c r="B688" s="2">
        <v>3</v>
      </c>
      <c r="C688" s="2">
        <v>1</v>
      </c>
      <c r="D688" s="2">
        <v>2021</v>
      </c>
      <c r="E688" s="2">
        <v>160.58000000000001</v>
      </c>
      <c r="F688" s="2">
        <v>90.21</v>
      </c>
    </row>
    <row r="689" spans="1:6" x14ac:dyDescent="0.2">
      <c r="A689" s="2" t="s">
        <v>76</v>
      </c>
      <c r="B689" s="2">
        <v>9</v>
      </c>
      <c r="C689" s="2">
        <v>12</v>
      </c>
      <c r="D689" s="2">
        <v>2021</v>
      </c>
      <c r="E689" s="2">
        <v>105.4</v>
      </c>
      <c r="F689" s="2">
        <v>90.21</v>
      </c>
    </row>
    <row r="690" spans="1:6" x14ac:dyDescent="0.2">
      <c r="A690" s="2" t="s">
        <v>54</v>
      </c>
      <c r="B690" s="2">
        <v>5</v>
      </c>
      <c r="C690" s="2">
        <v>11</v>
      </c>
      <c r="D690" s="2">
        <v>2021</v>
      </c>
      <c r="E690" s="2">
        <v>108.3</v>
      </c>
      <c r="F690" s="2">
        <v>90</v>
      </c>
    </row>
    <row r="691" spans="1:6" x14ac:dyDescent="0.2">
      <c r="A691" s="2" t="s">
        <v>46</v>
      </c>
      <c r="B691" s="2">
        <v>9</v>
      </c>
      <c r="C691" s="2">
        <v>4</v>
      </c>
      <c r="D691" s="2">
        <v>2021</v>
      </c>
      <c r="E691" s="2">
        <v>66.3</v>
      </c>
      <c r="F691" s="2">
        <v>90</v>
      </c>
    </row>
    <row r="692" spans="1:6" x14ac:dyDescent="0.2">
      <c r="A692" s="2" t="s">
        <v>86</v>
      </c>
      <c r="B692" s="2">
        <v>6</v>
      </c>
      <c r="C692" s="2">
        <v>6</v>
      </c>
      <c r="D692" s="2">
        <v>2021</v>
      </c>
      <c r="E692" s="2">
        <v>49.8</v>
      </c>
      <c r="F692" s="2">
        <v>90</v>
      </c>
    </row>
    <row r="693" spans="1:6" x14ac:dyDescent="0.2">
      <c r="A693" s="2" t="s">
        <v>61</v>
      </c>
      <c r="B693" s="2">
        <v>23</v>
      </c>
      <c r="C693" s="2">
        <v>12</v>
      </c>
      <c r="D693" s="2">
        <v>2021</v>
      </c>
      <c r="E693" s="2">
        <v>122.14</v>
      </c>
      <c r="F693" s="2">
        <v>89.9</v>
      </c>
    </row>
    <row r="694" spans="1:6" x14ac:dyDescent="0.2">
      <c r="A694" s="2" t="s">
        <v>61</v>
      </c>
      <c r="B694" s="2">
        <v>23</v>
      </c>
      <c r="C694" s="2">
        <v>10</v>
      </c>
      <c r="D694" s="2">
        <v>2021</v>
      </c>
      <c r="E694" s="2">
        <v>86.49</v>
      </c>
      <c r="F694" s="2">
        <v>89.9</v>
      </c>
    </row>
    <row r="695" spans="1:6" x14ac:dyDescent="0.2">
      <c r="A695" s="2" t="s">
        <v>69</v>
      </c>
      <c r="B695" s="2">
        <v>12</v>
      </c>
      <c r="C695" s="2">
        <v>7</v>
      </c>
      <c r="D695" s="2">
        <v>2021</v>
      </c>
      <c r="E695" s="2">
        <v>37.51</v>
      </c>
      <c r="F695" s="2">
        <v>89.9</v>
      </c>
    </row>
    <row r="696" spans="1:6" x14ac:dyDescent="0.2">
      <c r="A696" s="2" t="s">
        <v>65</v>
      </c>
      <c r="B696" s="2">
        <v>11</v>
      </c>
      <c r="C696" s="2">
        <v>4</v>
      </c>
      <c r="D696" s="2">
        <v>2021</v>
      </c>
      <c r="E696" s="2">
        <v>88.2</v>
      </c>
      <c r="F696" s="2">
        <v>89.7</v>
      </c>
    </row>
    <row r="697" spans="1:6" x14ac:dyDescent="0.2">
      <c r="A697" s="2" t="s">
        <v>57</v>
      </c>
      <c r="B697" s="2">
        <v>17</v>
      </c>
      <c r="C697" s="2">
        <v>6</v>
      </c>
      <c r="D697" s="2">
        <v>2021</v>
      </c>
      <c r="E697" s="2">
        <v>39.6</v>
      </c>
      <c r="F697" s="2">
        <v>89.7</v>
      </c>
    </row>
    <row r="698" spans="1:6" x14ac:dyDescent="0.2">
      <c r="A698" s="2" t="s">
        <v>52</v>
      </c>
      <c r="B698" s="2">
        <v>1</v>
      </c>
      <c r="C698" s="2">
        <v>1</v>
      </c>
      <c r="D698" s="2">
        <v>2021</v>
      </c>
      <c r="E698" s="2">
        <v>100.75</v>
      </c>
      <c r="F698" s="2">
        <v>89.59</v>
      </c>
    </row>
    <row r="699" spans="1:6" x14ac:dyDescent="0.2">
      <c r="A699" s="2" t="s">
        <v>38</v>
      </c>
      <c r="B699" s="2">
        <v>21</v>
      </c>
      <c r="C699" s="2">
        <v>10</v>
      </c>
      <c r="D699" s="2">
        <v>2021</v>
      </c>
      <c r="E699" s="2">
        <v>70.06</v>
      </c>
      <c r="F699" s="2">
        <v>89.59</v>
      </c>
    </row>
    <row r="700" spans="1:6" x14ac:dyDescent="0.2">
      <c r="A700" s="2" t="s">
        <v>85</v>
      </c>
      <c r="B700" s="2">
        <v>3</v>
      </c>
      <c r="C700" s="2">
        <v>5</v>
      </c>
      <c r="D700" s="2">
        <v>2021</v>
      </c>
      <c r="E700" s="2">
        <v>69.13</v>
      </c>
      <c r="F700" s="2">
        <v>89.59</v>
      </c>
    </row>
    <row r="701" spans="1:6" x14ac:dyDescent="0.2">
      <c r="A701" s="2" t="s">
        <v>72</v>
      </c>
      <c r="B701" s="2">
        <v>22</v>
      </c>
      <c r="C701" s="2">
        <v>2</v>
      </c>
      <c r="D701" s="2">
        <v>2021</v>
      </c>
      <c r="E701" s="2">
        <v>116.76</v>
      </c>
      <c r="F701" s="2">
        <v>89.32</v>
      </c>
    </row>
    <row r="702" spans="1:6" x14ac:dyDescent="0.2">
      <c r="A702" s="2" t="s">
        <v>63</v>
      </c>
      <c r="B702" s="2">
        <v>25</v>
      </c>
      <c r="C702" s="2">
        <v>2</v>
      </c>
      <c r="D702" s="2">
        <v>2021</v>
      </c>
      <c r="E702" s="2">
        <v>102.48</v>
      </c>
      <c r="F702" s="2">
        <v>89.32</v>
      </c>
    </row>
    <row r="703" spans="1:6" x14ac:dyDescent="0.2">
      <c r="A703" s="2" t="s">
        <v>51</v>
      </c>
      <c r="B703" s="2">
        <v>16</v>
      </c>
      <c r="C703" s="2">
        <v>3</v>
      </c>
      <c r="D703" s="2">
        <v>2021</v>
      </c>
      <c r="E703" s="2">
        <v>66.03</v>
      </c>
      <c r="F703" s="2">
        <v>89.28</v>
      </c>
    </row>
    <row r="704" spans="1:6" x14ac:dyDescent="0.2">
      <c r="A704" s="2" t="s">
        <v>86</v>
      </c>
      <c r="B704" s="2">
        <v>6</v>
      </c>
      <c r="C704" s="2">
        <v>8</v>
      </c>
      <c r="D704" s="2">
        <v>2021</v>
      </c>
      <c r="E704" s="2">
        <v>60.45</v>
      </c>
      <c r="F704" s="2">
        <v>89.28</v>
      </c>
    </row>
    <row r="705" spans="1:6" x14ac:dyDescent="0.2">
      <c r="A705" s="2" t="s">
        <v>39</v>
      </c>
      <c r="B705" s="2">
        <v>22</v>
      </c>
      <c r="C705" s="2">
        <v>5</v>
      </c>
      <c r="D705" s="2">
        <v>2021</v>
      </c>
      <c r="E705" s="2">
        <v>38.130000000000003</v>
      </c>
      <c r="F705" s="2">
        <v>89.28</v>
      </c>
    </row>
    <row r="706" spans="1:6" x14ac:dyDescent="0.2">
      <c r="A706" s="2" t="s">
        <v>41</v>
      </c>
      <c r="B706" s="2">
        <v>15</v>
      </c>
      <c r="C706" s="2">
        <v>7</v>
      </c>
      <c r="D706" s="2">
        <v>2021</v>
      </c>
      <c r="E706" s="2">
        <v>26.66</v>
      </c>
      <c r="F706" s="2">
        <v>89.28</v>
      </c>
    </row>
    <row r="707" spans="1:6" x14ac:dyDescent="0.2">
      <c r="A707" s="2" t="s">
        <v>57</v>
      </c>
      <c r="B707" s="2">
        <v>17</v>
      </c>
      <c r="C707" s="2">
        <v>12</v>
      </c>
      <c r="D707" s="2">
        <v>2021</v>
      </c>
      <c r="E707" s="2">
        <v>140.74</v>
      </c>
      <c r="F707" s="2">
        <v>88.97</v>
      </c>
    </row>
    <row r="708" spans="1:6" x14ac:dyDescent="0.2">
      <c r="A708" s="2" t="s">
        <v>41</v>
      </c>
      <c r="B708" s="2">
        <v>15</v>
      </c>
      <c r="C708" s="2">
        <v>8</v>
      </c>
      <c r="D708" s="2">
        <v>2021</v>
      </c>
      <c r="E708" s="2">
        <v>35.03</v>
      </c>
      <c r="F708" s="2">
        <v>88.97</v>
      </c>
    </row>
    <row r="709" spans="1:6" x14ac:dyDescent="0.2">
      <c r="A709" s="2" t="s">
        <v>92</v>
      </c>
      <c r="B709" s="2">
        <v>7</v>
      </c>
      <c r="C709" s="2">
        <v>11</v>
      </c>
      <c r="D709" s="2">
        <v>2021</v>
      </c>
      <c r="E709" s="2">
        <v>129.9</v>
      </c>
      <c r="F709" s="2">
        <v>88.8</v>
      </c>
    </row>
    <row r="710" spans="1:6" x14ac:dyDescent="0.2">
      <c r="A710" s="2" t="s">
        <v>79</v>
      </c>
      <c r="B710" s="2">
        <v>3</v>
      </c>
      <c r="C710" s="2">
        <v>6</v>
      </c>
      <c r="D710" s="2">
        <v>2021</v>
      </c>
      <c r="E710" s="2">
        <v>59.1</v>
      </c>
      <c r="F710" s="2">
        <v>88.8</v>
      </c>
    </row>
    <row r="711" spans="1:6" x14ac:dyDescent="0.2">
      <c r="A711" s="2" t="s">
        <v>73</v>
      </c>
      <c r="B711" s="2">
        <v>5</v>
      </c>
      <c r="C711" s="2">
        <v>9</v>
      </c>
      <c r="D711" s="2">
        <v>2021</v>
      </c>
      <c r="E711" s="2">
        <v>47.1</v>
      </c>
      <c r="F711" s="2">
        <v>88.8</v>
      </c>
    </row>
    <row r="712" spans="1:6" x14ac:dyDescent="0.2">
      <c r="A712" s="2" t="s">
        <v>38</v>
      </c>
      <c r="B712" s="2">
        <v>21</v>
      </c>
      <c r="C712" s="2">
        <v>1</v>
      </c>
      <c r="D712" s="2">
        <v>2021</v>
      </c>
      <c r="E712" s="2">
        <v>97.34</v>
      </c>
      <c r="F712" s="2">
        <v>88.66</v>
      </c>
    </row>
    <row r="713" spans="1:6" x14ac:dyDescent="0.2">
      <c r="A713" s="2" t="s">
        <v>57</v>
      </c>
      <c r="B713" s="2">
        <v>17</v>
      </c>
      <c r="C713" s="2">
        <v>10</v>
      </c>
      <c r="D713" s="2">
        <v>2021</v>
      </c>
      <c r="E713" s="2">
        <v>81.84</v>
      </c>
      <c r="F713" s="2">
        <v>88.66</v>
      </c>
    </row>
    <row r="714" spans="1:6" x14ac:dyDescent="0.2">
      <c r="A714" s="2" t="s">
        <v>54</v>
      </c>
      <c r="B714" s="2">
        <v>5</v>
      </c>
      <c r="C714" s="2">
        <v>3</v>
      </c>
      <c r="D714" s="2">
        <v>2021</v>
      </c>
      <c r="E714" s="2">
        <v>74.09</v>
      </c>
      <c r="F714" s="2">
        <v>88.66</v>
      </c>
    </row>
    <row r="715" spans="1:6" x14ac:dyDescent="0.2">
      <c r="A715" s="2" t="s">
        <v>2</v>
      </c>
      <c r="B715" s="2">
        <v>18</v>
      </c>
      <c r="C715" s="2">
        <v>8</v>
      </c>
      <c r="D715" s="2">
        <v>2021</v>
      </c>
      <c r="E715" s="2">
        <v>0</v>
      </c>
      <c r="F715" s="2">
        <v>88.66</v>
      </c>
    </row>
    <row r="716" spans="1:6" x14ac:dyDescent="0.2">
      <c r="A716" s="2" t="s">
        <v>64</v>
      </c>
      <c r="B716" s="2">
        <v>21</v>
      </c>
      <c r="C716" s="2">
        <v>4</v>
      </c>
      <c r="D716" s="2">
        <v>2021</v>
      </c>
      <c r="E716" s="2">
        <v>71.7</v>
      </c>
      <c r="F716" s="2">
        <v>88.5</v>
      </c>
    </row>
    <row r="717" spans="1:6" x14ac:dyDescent="0.2">
      <c r="A717" s="2" t="s">
        <v>78</v>
      </c>
      <c r="B717" s="2">
        <v>18</v>
      </c>
      <c r="C717" s="2">
        <v>6</v>
      </c>
      <c r="D717" s="2">
        <v>2021</v>
      </c>
      <c r="E717" s="2">
        <v>42.3</v>
      </c>
      <c r="F717" s="2">
        <v>88.5</v>
      </c>
    </row>
    <row r="718" spans="1:6" x14ac:dyDescent="0.2">
      <c r="A718" s="2" t="s">
        <v>2</v>
      </c>
      <c r="B718" s="2">
        <v>18</v>
      </c>
      <c r="C718" s="2">
        <v>6</v>
      </c>
      <c r="D718" s="2">
        <v>2021</v>
      </c>
      <c r="E718" s="2">
        <v>0</v>
      </c>
      <c r="F718" s="2">
        <v>88.5</v>
      </c>
    </row>
    <row r="719" spans="1:6" x14ac:dyDescent="0.2">
      <c r="A719" s="2" t="s">
        <v>63</v>
      </c>
      <c r="B719" s="2">
        <v>25</v>
      </c>
      <c r="C719" s="2">
        <v>12</v>
      </c>
      <c r="D719" s="2">
        <v>2021</v>
      </c>
      <c r="E719" s="2">
        <v>128.65</v>
      </c>
      <c r="F719" s="2">
        <v>88.35</v>
      </c>
    </row>
    <row r="720" spans="1:6" x14ac:dyDescent="0.2">
      <c r="A720" s="2" t="s">
        <v>85</v>
      </c>
      <c r="B720" s="2">
        <v>3</v>
      </c>
      <c r="C720" s="2">
        <v>1</v>
      </c>
      <c r="D720" s="2">
        <v>2021</v>
      </c>
      <c r="E720" s="2">
        <v>125.86</v>
      </c>
      <c r="F720" s="2">
        <v>88.35</v>
      </c>
    </row>
    <row r="721" spans="1:6" x14ac:dyDescent="0.2">
      <c r="A721" s="2" t="s">
        <v>88</v>
      </c>
      <c r="B721" s="2">
        <v>23</v>
      </c>
      <c r="C721" s="2">
        <v>3</v>
      </c>
      <c r="D721" s="2">
        <v>2021</v>
      </c>
      <c r="E721" s="2">
        <v>110.98</v>
      </c>
      <c r="F721" s="2">
        <v>88.35</v>
      </c>
    </row>
    <row r="722" spans="1:6" x14ac:dyDescent="0.2">
      <c r="A722" s="2" t="s">
        <v>84</v>
      </c>
      <c r="B722" s="2">
        <v>20</v>
      </c>
      <c r="C722" s="2">
        <v>10</v>
      </c>
      <c r="D722" s="2">
        <v>2021</v>
      </c>
      <c r="E722" s="2">
        <v>88.66</v>
      </c>
      <c r="F722" s="2">
        <v>88.35</v>
      </c>
    </row>
    <row r="723" spans="1:6" x14ac:dyDescent="0.2">
      <c r="A723" s="2" t="s">
        <v>65</v>
      </c>
      <c r="B723" s="2">
        <v>11</v>
      </c>
      <c r="C723" s="2">
        <v>5</v>
      </c>
      <c r="D723" s="2">
        <v>2021</v>
      </c>
      <c r="E723" s="2">
        <v>53.94</v>
      </c>
      <c r="F723" s="2">
        <v>88.35</v>
      </c>
    </row>
    <row r="724" spans="1:6" x14ac:dyDescent="0.2">
      <c r="A724" s="2" t="s">
        <v>76</v>
      </c>
      <c r="B724" s="2">
        <v>9</v>
      </c>
      <c r="C724" s="2">
        <v>2</v>
      </c>
      <c r="D724" s="2">
        <v>2021</v>
      </c>
      <c r="E724" s="2">
        <v>108.36</v>
      </c>
      <c r="F724" s="2">
        <v>88.2</v>
      </c>
    </row>
    <row r="725" spans="1:6" x14ac:dyDescent="0.2">
      <c r="A725" s="2" t="s">
        <v>86</v>
      </c>
      <c r="B725" s="2">
        <v>6</v>
      </c>
      <c r="C725" s="2">
        <v>9</v>
      </c>
      <c r="D725" s="2">
        <v>2021</v>
      </c>
      <c r="E725" s="2">
        <v>59.4</v>
      </c>
      <c r="F725" s="2">
        <v>88.2</v>
      </c>
    </row>
    <row r="726" spans="1:6" x14ac:dyDescent="0.2">
      <c r="A726" s="2" t="s">
        <v>90</v>
      </c>
      <c r="B726" s="2">
        <v>18</v>
      </c>
      <c r="C726" s="2">
        <v>12</v>
      </c>
      <c r="D726" s="2">
        <v>2021</v>
      </c>
      <c r="E726" s="2">
        <v>144.46</v>
      </c>
      <c r="F726" s="2">
        <v>88.04</v>
      </c>
    </row>
    <row r="727" spans="1:6" x14ac:dyDescent="0.2">
      <c r="A727" s="2" t="s">
        <v>88</v>
      </c>
      <c r="B727" s="2">
        <v>23</v>
      </c>
      <c r="C727" s="2">
        <v>1</v>
      </c>
      <c r="D727" s="2">
        <v>2021</v>
      </c>
      <c r="E727" s="2">
        <v>141.97999999999999</v>
      </c>
      <c r="F727" s="2">
        <v>88.04</v>
      </c>
    </row>
    <row r="728" spans="1:6" x14ac:dyDescent="0.2">
      <c r="A728" s="2" t="s">
        <v>78</v>
      </c>
      <c r="B728" s="2">
        <v>18</v>
      </c>
      <c r="C728" s="2">
        <v>1</v>
      </c>
      <c r="D728" s="2">
        <v>2021</v>
      </c>
      <c r="E728" s="2">
        <v>125.55</v>
      </c>
      <c r="F728" s="2">
        <v>88.04</v>
      </c>
    </row>
    <row r="729" spans="1:6" x14ac:dyDescent="0.2">
      <c r="A729" s="2" t="s">
        <v>51</v>
      </c>
      <c r="B729" s="2">
        <v>16</v>
      </c>
      <c r="C729" s="2">
        <v>12</v>
      </c>
      <c r="D729" s="2">
        <v>2021</v>
      </c>
      <c r="E729" s="2">
        <v>112.84</v>
      </c>
      <c r="F729" s="2">
        <v>88.04</v>
      </c>
    </row>
    <row r="730" spans="1:6" x14ac:dyDescent="0.2">
      <c r="A730" s="2" t="s">
        <v>46</v>
      </c>
      <c r="B730" s="2">
        <v>9</v>
      </c>
      <c r="C730" s="2">
        <v>3</v>
      </c>
      <c r="D730" s="2">
        <v>2021</v>
      </c>
      <c r="E730" s="2">
        <v>59.21</v>
      </c>
      <c r="F730" s="2">
        <v>88.04</v>
      </c>
    </row>
    <row r="731" spans="1:6" x14ac:dyDescent="0.2">
      <c r="A731" s="2" t="s">
        <v>70</v>
      </c>
      <c r="B731" s="2">
        <v>16</v>
      </c>
      <c r="C731" s="2">
        <v>7</v>
      </c>
      <c r="D731" s="2">
        <v>2021</v>
      </c>
      <c r="E731" s="2">
        <v>45.26</v>
      </c>
      <c r="F731" s="2">
        <v>88.04</v>
      </c>
    </row>
    <row r="732" spans="1:6" x14ac:dyDescent="0.2">
      <c r="A732" s="2" t="s">
        <v>51</v>
      </c>
      <c r="B732" s="2">
        <v>16</v>
      </c>
      <c r="C732" s="2">
        <v>5</v>
      </c>
      <c r="D732" s="2">
        <v>2021</v>
      </c>
      <c r="E732" s="2">
        <v>38.44</v>
      </c>
      <c r="F732" s="2">
        <v>88.04</v>
      </c>
    </row>
    <row r="733" spans="1:6" x14ac:dyDescent="0.2">
      <c r="A733" s="2" t="s">
        <v>45</v>
      </c>
      <c r="B733" s="2">
        <v>18</v>
      </c>
      <c r="C733" s="2">
        <v>5</v>
      </c>
      <c r="D733" s="2">
        <v>2021</v>
      </c>
      <c r="E733" s="2">
        <v>35.65</v>
      </c>
      <c r="F733" s="2">
        <v>88.04</v>
      </c>
    </row>
    <row r="734" spans="1:6" x14ac:dyDescent="0.2">
      <c r="A734" s="2" t="s">
        <v>77</v>
      </c>
      <c r="B734" s="2">
        <v>16</v>
      </c>
      <c r="C734" s="2">
        <v>2</v>
      </c>
      <c r="D734" s="2">
        <v>2021</v>
      </c>
      <c r="E734" s="2">
        <v>115.64</v>
      </c>
      <c r="F734" s="2">
        <v>87.92</v>
      </c>
    </row>
    <row r="735" spans="1:6" x14ac:dyDescent="0.2">
      <c r="A735" s="2" t="s">
        <v>93</v>
      </c>
      <c r="B735" s="2">
        <v>3</v>
      </c>
      <c r="C735" s="2">
        <v>4</v>
      </c>
      <c r="D735" s="2">
        <v>2021</v>
      </c>
      <c r="E735" s="2">
        <v>111.3</v>
      </c>
      <c r="F735" s="2">
        <v>87.9</v>
      </c>
    </row>
    <row r="736" spans="1:6" x14ac:dyDescent="0.2">
      <c r="A736" s="2" t="s">
        <v>60</v>
      </c>
      <c r="B736" s="2">
        <v>20</v>
      </c>
      <c r="C736" s="2">
        <v>9</v>
      </c>
      <c r="D736" s="2">
        <v>2021</v>
      </c>
      <c r="E736" s="2">
        <v>43.8</v>
      </c>
      <c r="F736" s="2">
        <v>87.9</v>
      </c>
    </row>
    <row r="737" spans="1:6" x14ac:dyDescent="0.2">
      <c r="A737" s="2" t="s">
        <v>33</v>
      </c>
      <c r="B737" s="2">
        <v>21</v>
      </c>
      <c r="C737" s="2">
        <v>12</v>
      </c>
      <c r="D737" s="2">
        <v>2021</v>
      </c>
      <c r="E737" s="2">
        <v>94.86</v>
      </c>
      <c r="F737" s="2">
        <v>87.73</v>
      </c>
    </row>
    <row r="738" spans="1:6" x14ac:dyDescent="0.2">
      <c r="A738" s="2" t="s">
        <v>55</v>
      </c>
      <c r="B738" s="2">
        <v>18</v>
      </c>
      <c r="C738" s="2">
        <v>3</v>
      </c>
      <c r="D738" s="2">
        <v>2021</v>
      </c>
      <c r="E738" s="2">
        <v>71.61</v>
      </c>
      <c r="F738" s="2">
        <v>87.73</v>
      </c>
    </row>
    <row r="739" spans="1:6" x14ac:dyDescent="0.2">
      <c r="A739" s="2" t="s">
        <v>84</v>
      </c>
      <c r="B739" s="2">
        <v>20</v>
      </c>
      <c r="C739" s="2">
        <v>7</v>
      </c>
      <c r="D739" s="2">
        <v>2021</v>
      </c>
      <c r="E739" s="2">
        <v>58.28</v>
      </c>
      <c r="F739" s="2">
        <v>87.73</v>
      </c>
    </row>
    <row r="740" spans="1:6" x14ac:dyDescent="0.2">
      <c r="A740" s="2" t="s">
        <v>37</v>
      </c>
      <c r="B740" s="2">
        <v>12</v>
      </c>
      <c r="C740" s="2">
        <v>5</v>
      </c>
      <c r="D740" s="2">
        <v>2021</v>
      </c>
      <c r="E740" s="2">
        <v>28.83</v>
      </c>
      <c r="F740" s="2">
        <v>87.73</v>
      </c>
    </row>
    <row r="741" spans="1:6" x14ac:dyDescent="0.2">
      <c r="A741" s="2" t="s">
        <v>47</v>
      </c>
      <c r="B741" s="2">
        <v>19</v>
      </c>
      <c r="C741" s="2">
        <v>9</v>
      </c>
      <c r="D741" s="2">
        <v>2021</v>
      </c>
      <c r="E741" s="2">
        <v>27.6</v>
      </c>
      <c r="F741" s="2">
        <v>87.6</v>
      </c>
    </row>
    <row r="742" spans="1:6" x14ac:dyDescent="0.2">
      <c r="A742" s="2" t="s">
        <v>46</v>
      </c>
      <c r="B742" s="2">
        <v>9</v>
      </c>
      <c r="C742" s="2">
        <v>6</v>
      </c>
      <c r="D742" s="2">
        <v>2021</v>
      </c>
      <c r="E742" s="2">
        <v>24.6</v>
      </c>
      <c r="F742" s="2">
        <v>87.6</v>
      </c>
    </row>
    <row r="743" spans="1:6" x14ac:dyDescent="0.2">
      <c r="A743" s="2" t="s">
        <v>66</v>
      </c>
      <c r="B743" s="2">
        <v>23</v>
      </c>
      <c r="C743" s="2">
        <v>12</v>
      </c>
      <c r="D743" s="2">
        <v>2021</v>
      </c>
      <c r="E743" s="2">
        <v>128.65</v>
      </c>
      <c r="F743" s="2">
        <v>87.42</v>
      </c>
    </row>
    <row r="744" spans="1:6" x14ac:dyDescent="0.2">
      <c r="A744" s="2" t="s">
        <v>60</v>
      </c>
      <c r="B744" s="2">
        <v>20</v>
      </c>
      <c r="C744" s="2">
        <v>3</v>
      </c>
      <c r="D744" s="2">
        <v>2021</v>
      </c>
      <c r="E744" s="2">
        <v>78.430000000000007</v>
      </c>
      <c r="F744" s="2">
        <v>87.42</v>
      </c>
    </row>
    <row r="745" spans="1:6" x14ac:dyDescent="0.2">
      <c r="A745" s="2" t="s">
        <v>53</v>
      </c>
      <c r="B745" s="2">
        <v>18</v>
      </c>
      <c r="C745" s="2">
        <v>3</v>
      </c>
      <c r="D745" s="2">
        <v>2021</v>
      </c>
      <c r="E745" s="2">
        <v>73.16</v>
      </c>
      <c r="F745" s="2">
        <v>87.42</v>
      </c>
    </row>
    <row r="746" spans="1:6" x14ac:dyDescent="0.2">
      <c r="A746" s="2" t="s">
        <v>64</v>
      </c>
      <c r="B746" s="2">
        <v>21</v>
      </c>
      <c r="C746" s="2">
        <v>5</v>
      </c>
      <c r="D746" s="2">
        <v>2021</v>
      </c>
      <c r="E746" s="2">
        <v>40.61</v>
      </c>
      <c r="F746" s="2">
        <v>87.42</v>
      </c>
    </row>
    <row r="747" spans="1:6" x14ac:dyDescent="0.2">
      <c r="A747" s="2" t="s">
        <v>40</v>
      </c>
      <c r="B747" s="2">
        <v>15</v>
      </c>
      <c r="C747" s="2">
        <v>8</v>
      </c>
      <c r="D747" s="2">
        <v>2021</v>
      </c>
      <c r="E747" s="2">
        <v>25.11</v>
      </c>
      <c r="F747" s="2">
        <v>87.42</v>
      </c>
    </row>
    <row r="748" spans="1:6" x14ac:dyDescent="0.2">
      <c r="A748" s="2" t="s">
        <v>75</v>
      </c>
      <c r="B748" s="2">
        <v>2</v>
      </c>
      <c r="C748" s="2">
        <v>4</v>
      </c>
      <c r="D748" s="2">
        <v>2021</v>
      </c>
      <c r="E748" s="2">
        <v>78</v>
      </c>
      <c r="F748" s="2">
        <v>87.3</v>
      </c>
    </row>
    <row r="749" spans="1:6" x14ac:dyDescent="0.2">
      <c r="A749" s="2" t="s">
        <v>37</v>
      </c>
      <c r="B749" s="2">
        <v>12</v>
      </c>
      <c r="C749" s="2">
        <v>6</v>
      </c>
      <c r="D749" s="2">
        <v>2021</v>
      </c>
      <c r="E749" s="2">
        <v>29.1</v>
      </c>
      <c r="F749" s="2">
        <v>87.3</v>
      </c>
    </row>
    <row r="750" spans="1:6" x14ac:dyDescent="0.2">
      <c r="A750" s="2" t="s">
        <v>89</v>
      </c>
      <c r="B750" s="2">
        <v>2</v>
      </c>
      <c r="C750" s="2">
        <v>3</v>
      </c>
      <c r="D750" s="2">
        <v>2021</v>
      </c>
      <c r="E750" s="2">
        <v>91.45</v>
      </c>
      <c r="F750" s="2">
        <v>87.11</v>
      </c>
    </row>
    <row r="751" spans="1:6" x14ac:dyDescent="0.2">
      <c r="A751" s="2" t="s">
        <v>43</v>
      </c>
      <c r="B751" s="2">
        <v>15</v>
      </c>
      <c r="C751" s="2">
        <v>10</v>
      </c>
      <c r="D751" s="2">
        <v>2021</v>
      </c>
      <c r="E751" s="2">
        <v>66.34</v>
      </c>
      <c r="F751" s="2">
        <v>87.11</v>
      </c>
    </row>
    <row r="752" spans="1:6" x14ac:dyDescent="0.2">
      <c r="A752" s="2" t="s">
        <v>40</v>
      </c>
      <c r="B752" s="2">
        <v>15</v>
      </c>
      <c r="C752" s="2">
        <v>3</v>
      </c>
      <c r="D752" s="2">
        <v>2021</v>
      </c>
      <c r="E752" s="2">
        <v>65.72</v>
      </c>
      <c r="F752" s="2">
        <v>87.11</v>
      </c>
    </row>
    <row r="753" spans="1:6" x14ac:dyDescent="0.2">
      <c r="A753" s="2" t="s">
        <v>40</v>
      </c>
      <c r="B753" s="2">
        <v>15</v>
      </c>
      <c r="C753" s="2">
        <v>7</v>
      </c>
      <c r="D753" s="2">
        <v>2021</v>
      </c>
      <c r="E753" s="2">
        <v>31.62</v>
      </c>
      <c r="F753" s="2">
        <v>87.11</v>
      </c>
    </row>
    <row r="754" spans="1:6" x14ac:dyDescent="0.2">
      <c r="A754" s="2" t="s">
        <v>51</v>
      </c>
      <c r="B754" s="2">
        <v>16</v>
      </c>
      <c r="C754" s="2">
        <v>7</v>
      </c>
      <c r="D754" s="2">
        <v>2021</v>
      </c>
      <c r="E754" s="2">
        <v>28.83</v>
      </c>
      <c r="F754" s="2">
        <v>87.11</v>
      </c>
    </row>
    <row r="755" spans="1:6" x14ac:dyDescent="0.2">
      <c r="A755" s="2" t="s">
        <v>38</v>
      </c>
      <c r="B755" s="2">
        <v>21</v>
      </c>
      <c r="C755" s="2">
        <v>2</v>
      </c>
      <c r="D755" s="2">
        <v>2021</v>
      </c>
      <c r="E755" s="2">
        <v>89.88</v>
      </c>
      <c r="F755" s="2">
        <v>87.08</v>
      </c>
    </row>
    <row r="756" spans="1:6" x14ac:dyDescent="0.2">
      <c r="A756" s="2" t="s">
        <v>46</v>
      </c>
      <c r="B756" s="2">
        <v>9</v>
      </c>
      <c r="C756" s="2">
        <v>9</v>
      </c>
      <c r="D756" s="2">
        <v>2021</v>
      </c>
      <c r="E756" s="2">
        <v>31.5</v>
      </c>
      <c r="F756" s="2">
        <v>87</v>
      </c>
    </row>
    <row r="757" spans="1:6" x14ac:dyDescent="0.2">
      <c r="A757" s="2" t="s">
        <v>87</v>
      </c>
      <c r="B757" s="2">
        <v>1</v>
      </c>
      <c r="C757" s="2">
        <v>1</v>
      </c>
      <c r="D757" s="2">
        <v>2021</v>
      </c>
      <c r="E757" s="2">
        <v>150.97</v>
      </c>
      <c r="F757" s="2">
        <v>86.8</v>
      </c>
    </row>
    <row r="758" spans="1:6" x14ac:dyDescent="0.2">
      <c r="A758" s="2" t="s">
        <v>80</v>
      </c>
      <c r="B758" s="2">
        <v>12</v>
      </c>
      <c r="C758" s="2">
        <v>5</v>
      </c>
      <c r="D758" s="2">
        <v>2021</v>
      </c>
      <c r="E758" s="2">
        <v>65.72</v>
      </c>
      <c r="F758" s="2">
        <v>86.8</v>
      </c>
    </row>
    <row r="759" spans="1:6" x14ac:dyDescent="0.2">
      <c r="A759" s="2" t="s">
        <v>80</v>
      </c>
      <c r="B759" s="2">
        <v>12</v>
      </c>
      <c r="C759" s="2">
        <v>8</v>
      </c>
      <c r="D759" s="2">
        <v>2021</v>
      </c>
      <c r="E759" s="2">
        <v>52.08</v>
      </c>
      <c r="F759" s="2">
        <v>86.8</v>
      </c>
    </row>
    <row r="760" spans="1:6" x14ac:dyDescent="0.2">
      <c r="A760" s="2" t="s">
        <v>51</v>
      </c>
      <c r="B760" s="2">
        <v>16</v>
      </c>
      <c r="C760" s="2">
        <v>8</v>
      </c>
      <c r="D760" s="2">
        <v>2021</v>
      </c>
      <c r="E760" s="2">
        <v>31.62</v>
      </c>
      <c r="F760" s="2">
        <v>86.8</v>
      </c>
    </row>
    <row r="761" spans="1:6" x14ac:dyDescent="0.2">
      <c r="A761" s="2" t="s">
        <v>43</v>
      </c>
      <c r="B761" s="2">
        <v>15</v>
      </c>
      <c r="C761" s="2">
        <v>4</v>
      </c>
      <c r="D761" s="2">
        <v>2021</v>
      </c>
      <c r="E761" s="2">
        <v>74.099999999999994</v>
      </c>
      <c r="F761" s="2">
        <v>86.7</v>
      </c>
    </row>
    <row r="762" spans="1:6" x14ac:dyDescent="0.2">
      <c r="A762" s="2" t="s">
        <v>34</v>
      </c>
      <c r="B762" s="2">
        <v>4</v>
      </c>
      <c r="C762" s="2">
        <v>9</v>
      </c>
      <c r="D762" s="2">
        <v>2021</v>
      </c>
      <c r="E762" s="2">
        <v>23.1</v>
      </c>
      <c r="F762" s="2">
        <v>86.7</v>
      </c>
    </row>
    <row r="763" spans="1:6" x14ac:dyDescent="0.2">
      <c r="A763" s="2" t="s">
        <v>87</v>
      </c>
      <c r="B763" s="2">
        <v>1</v>
      </c>
      <c r="C763" s="2">
        <v>12</v>
      </c>
      <c r="D763" s="2">
        <v>2021</v>
      </c>
      <c r="E763" s="2">
        <v>128.96</v>
      </c>
      <c r="F763" s="2">
        <v>86.49</v>
      </c>
    </row>
    <row r="764" spans="1:6" x14ac:dyDescent="0.2">
      <c r="A764" s="2" t="s">
        <v>73</v>
      </c>
      <c r="B764" s="2">
        <v>5</v>
      </c>
      <c r="C764" s="2">
        <v>1</v>
      </c>
      <c r="D764" s="2">
        <v>2021</v>
      </c>
      <c r="E764" s="2">
        <v>120.59</v>
      </c>
      <c r="F764" s="2">
        <v>86.49</v>
      </c>
    </row>
    <row r="765" spans="1:6" x14ac:dyDescent="0.2">
      <c r="A765" s="2" t="s">
        <v>90</v>
      </c>
      <c r="B765" s="2">
        <v>18</v>
      </c>
      <c r="C765" s="2">
        <v>10</v>
      </c>
      <c r="D765" s="2">
        <v>2021</v>
      </c>
      <c r="E765" s="2">
        <v>109.12</v>
      </c>
      <c r="F765" s="2">
        <v>86.49</v>
      </c>
    </row>
    <row r="766" spans="1:6" x14ac:dyDescent="0.2">
      <c r="A766" s="2" t="s">
        <v>46</v>
      </c>
      <c r="B766" s="2">
        <v>9</v>
      </c>
      <c r="C766" s="2">
        <v>12</v>
      </c>
      <c r="D766" s="2">
        <v>2021</v>
      </c>
      <c r="E766" s="2">
        <v>102.3</v>
      </c>
      <c r="F766" s="2">
        <v>86.49</v>
      </c>
    </row>
    <row r="767" spans="1:6" x14ac:dyDescent="0.2">
      <c r="A767" s="2" t="s">
        <v>78</v>
      </c>
      <c r="B767" s="2">
        <v>18</v>
      </c>
      <c r="C767" s="2">
        <v>7</v>
      </c>
      <c r="D767" s="2">
        <v>2021</v>
      </c>
      <c r="E767" s="2">
        <v>53.01</v>
      </c>
      <c r="F767" s="2">
        <v>86.49</v>
      </c>
    </row>
    <row r="768" spans="1:6" x14ac:dyDescent="0.2">
      <c r="A768" s="2" t="s">
        <v>65</v>
      </c>
      <c r="B768" s="2">
        <v>11</v>
      </c>
      <c r="C768" s="2">
        <v>11</v>
      </c>
      <c r="D768" s="2">
        <v>2021</v>
      </c>
      <c r="E768" s="2">
        <v>134.4</v>
      </c>
      <c r="F768" s="2">
        <v>86.4</v>
      </c>
    </row>
    <row r="769" spans="1:6" x14ac:dyDescent="0.2">
      <c r="A769" s="2" t="s">
        <v>66</v>
      </c>
      <c r="B769" s="2">
        <v>23</v>
      </c>
      <c r="C769" s="2">
        <v>11</v>
      </c>
      <c r="D769" s="2">
        <v>2021</v>
      </c>
      <c r="E769" s="2">
        <v>125.4</v>
      </c>
      <c r="F769" s="2">
        <v>86.4</v>
      </c>
    </row>
    <row r="770" spans="1:6" x14ac:dyDescent="0.2">
      <c r="A770" s="2" t="s">
        <v>45</v>
      </c>
      <c r="B770" s="2">
        <v>18</v>
      </c>
      <c r="C770" s="2">
        <v>11</v>
      </c>
      <c r="D770" s="2">
        <v>2021</v>
      </c>
      <c r="E770" s="2">
        <v>95.7</v>
      </c>
      <c r="F770" s="2">
        <v>86.4</v>
      </c>
    </row>
    <row r="771" spans="1:6" x14ac:dyDescent="0.2">
      <c r="A771" s="2" t="s">
        <v>53</v>
      </c>
      <c r="B771" s="2">
        <v>18</v>
      </c>
      <c r="C771" s="2">
        <v>4</v>
      </c>
      <c r="D771" s="2">
        <v>2021</v>
      </c>
      <c r="E771" s="2">
        <v>71.099999999999994</v>
      </c>
      <c r="F771" s="2">
        <v>86.4</v>
      </c>
    </row>
    <row r="772" spans="1:6" x14ac:dyDescent="0.2">
      <c r="A772" s="2" t="s">
        <v>81</v>
      </c>
      <c r="B772" s="2">
        <v>19</v>
      </c>
      <c r="C772" s="2">
        <v>9</v>
      </c>
      <c r="D772" s="2">
        <v>2021</v>
      </c>
      <c r="E772" s="2">
        <v>56.4</v>
      </c>
      <c r="F772" s="2">
        <v>86.4</v>
      </c>
    </row>
    <row r="773" spans="1:6" x14ac:dyDescent="0.2">
      <c r="A773" s="2" t="s">
        <v>38</v>
      </c>
      <c r="B773" s="2">
        <v>21</v>
      </c>
      <c r="C773" s="2">
        <v>6</v>
      </c>
      <c r="D773" s="2">
        <v>2021</v>
      </c>
      <c r="E773" s="2">
        <v>23.7</v>
      </c>
      <c r="F773" s="2">
        <v>86.4</v>
      </c>
    </row>
    <row r="774" spans="1:6" x14ac:dyDescent="0.2">
      <c r="A774" s="2" t="s">
        <v>81</v>
      </c>
      <c r="B774" s="2">
        <v>19</v>
      </c>
      <c r="C774" s="2">
        <v>2</v>
      </c>
      <c r="D774" s="2">
        <v>2021</v>
      </c>
      <c r="E774" s="2">
        <v>118.16</v>
      </c>
      <c r="F774" s="2">
        <v>86.24</v>
      </c>
    </row>
    <row r="775" spans="1:6" x14ac:dyDescent="0.2">
      <c r="A775" s="2" t="s">
        <v>56</v>
      </c>
      <c r="B775" s="2">
        <v>14</v>
      </c>
      <c r="C775" s="2">
        <v>5</v>
      </c>
      <c r="D775" s="2">
        <v>2021</v>
      </c>
      <c r="E775" s="2">
        <v>44.95</v>
      </c>
      <c r="F775" s="2">
        <v>86.18</v>
      </c>
    </row>
    <row r="776" spans="1:6" x14ac:dyDescent="0.2">
      <c r="A776" s="2" t="s">
        <v>52</v>
      </c>
      <c r="B776" s="2">
        <v>1</v>
      </c>
      <c r="C776" s="2">
        <v>7</v>
      </c>
      <c r="D776" s="2">
        <v>2021</v>
      </c>
      <c r="E776" s="2">
        <v>33.17</v>
      </c>
      <c r="F776" s="2">
        <v>86.18</v>
      </c>
    </row>
    <row r="777" spans="1:6" x14ac:dyDescent="0.2">
      <c r="A777" s="2" t="s">
        <v>66</v>
      </c>
      <c r="B777" s="2">
        <v>23</v>
      </c>
      <c r="C777" s="2">
        <v>4</v>
      </c>
      <c r="D777" s="2">
        <v>2021</v>
      </c>
      <c r="E777" s="2">
        <v>80.099999999999994</v>
      </c>
      <c r="F777" s="2">
        <v>86.1</v>
      </c>
    </row>
    <row r="778" spans="1:6" x14ac:dyDescent="0.2">
      <c r="A778" s="2" t="s">
        <v>56</v>
      </c>
      <c r="B778" s="2">
        <v>14</v>
      </c>
      <c r="C778" s="2">
        <v>9</v>
      </c>
      <c r="D778" s="2">
        <v>2021</v>
      </c>
      <c r="E778" s="2">
        <v>54.3</v>
      </c>
      <c r="F778" s="2">
        <v>86.1</v>
      </c>
    </row>
    <row r="779" spans="1:6" x14ac:dyDescent="0.2">
      <c r="A779" s="2" t="s">
        <v>67</v>
      </c>
      <c r="B779" s="2">
        <v>13</v>
      </c>
      <c r="C779" s="2">
        <v>1</v>
      </c>
      <c r="D779" s="2">
        <v>2021</v>
      </c>
      <c r="E779" s="2">
        <v>102.3</v>
      </c>
      <c r="F779" s="2">
        <v>85.87</v>
      </c>
    </row>
    <row r="780" spans="1:6" x14ac:dyDescent="0.2">
      <c r="A780" s="2" t="s">
        <v>91</v>
      </c>
      <c r="B780" s="2">
        <v>5</v>
      </c>
      <c r="C780" s="2">
        <v>3</v>
      </c>
      <c r="D780" s="2">
        <v>2021</v>
      </c>
      <c r="E780" s="2">
        <v>100.44</v>
      </c>
      <c r="F780" s="2">
        <v>85.87</v>
      </c>
    </row>
    <row r="781" spans="1:6" x14ac:dyDescent="0.2">
      <c r="A781" s="2" t="s">
        <v>68</v>
      </c>
      <c r="B781" s="2">
        <v>11</v>
      </c>
      <c r="C781" s="2">
        <v>3</v>
      </c>
      <c r="D781" s="2">
        <v>2021</v>
      </c>
      <c r="E781" s="2">
        <v>81.84</v>
      </c>
      <c r="F781" s="2">
        <v>85.87</v>
      </c>
    </row>
    <row r="782" spans="1:6" x14ac:dyDescent="0.2">
      <c r="A782" s="2" t="s">
        <v>69</v>
      </c>
      <c r="B782" s="2">
        <v>12</v>
      </c>
      <c r="C782" s="2">
        <v>8</v>
      </c>
      <c r="D782" s="2">
        <v>2021</v>
      </c>
      <c r="E782" s="2">
        <v>38.75</v>
      </c>
      <c r="F782" s="2">
        <v>85.87</v>
      </c>
    </row>
    <row r="783" spans="1:6" x14ac:dyDescent="0.2">
      <c r="A783" s="2" t="s">
        <v>68</v>
      </c>
      <c r="B783" s="2">
        <v>11</v>
      </c>
      <c r="C783" s="2">
        <v>11</v>
      </c>
      <c r="D783" s="2">
        <v>2021</v>
      </c>
      <c r="E783" s="2">
        <v>131.4</v>
      </c>
      <c r="F783" s="2">
        <v>85.8</v>
      </c>
    </row>
    <row r="784" spans="1:6" x14ac:dyDescent="0.2">
      <c r="A784" s="2" t="s">
        <v>90</v>
      </c>
      <c r="B784" s="2">
        <v>18</v>
      </c>
      <c r="C784" s="2">
        <v>4</v>
      </c>
      <c r="D784" s="2">
        <v>2021</v>
      </c>
      <c r="E784" s="2">
        <v>110.4</v>
      </c>
      <c r="F784" s="2">
        <v>85.8</v>
      </c>
    </row>
    <row r="785" spans="1:6" x14ac:dyDescent="0.2">
      <c r="A785" s="2" t="s">
        <v>60</v>
      </c>
      <c r="B785" s="2">
        <v>20</v>
      </c>
      <c r="C785" s="2">
        <v>11</v>
      </c>
      <c r="D785" s="2">
        <v>2021</v>
      </c>
      <c r="E785" s="2">
        <v>108</v>
      </c>
      <c r="F785" s="2">
        <v>85.8</v>
      </c>
    </row>
    <row r="786" spans="1:6" x14ac:dyDescent="0.2">
      <c r="A786" s="2" t="s">
        <v>88</v>
      </c>
      <c r="B786" s="2">
        <v>23</v>
      </c>
      <c r="C786" s="2">
        <v>2</v>
      </c>
      <c r="D786" s="2">
        <v>2021</v>
      </c>
      <c r="E786" s="2">
        <v>133.28</v>
      </c>
      <c r="F786" s="2">
        <v>85.68</v>
      </c>
    </row>
    <row r="787" spans="1:6" x14ac:dyDescent="0.2">
      <c r="A787" s="2" t="s">
        <v>60</v>
      </c>
      <c r="B787" s="2">
        <v>20</v>
      </c>
      <c r="C787" s="2">
        <v>2</v>
      </c>
      <c r="D787" s="2">
        <v>2021</v>
      </c>
      <c r="E787" s="2">
        <v>98</v>
      </c>
      <c r="F787" s="2">
        <v>85.68</v>
      </c>
    </row>
    <row r="788" spans="1:6" x14ac:dyDescent="0.2">
      <c r="A788" s="2" t="s">
        <v>56</v>
      </c>
      <c r="B788" s="2">
        <v>14</v>
      </c>
      <c r="C788" s="2">
        <v>1</v>
      </c>
      <c r="D788" s="2">
        <v>2021</v>
      </c>
      <c r="E788" s="2">
        <v>138.88</v>
      </c>
      <c r="F788" s="2">
        <v>85.56</v>
      </c>
    </row>
    <row r="789" spans="1:6" x14ac:dyDescent="0.2">
      <c r="A789" s="2" t="s">
        <v>37</v>
      </c>
      <c r="B789" s="2">
        <v>12</v>
      </c>
      <c r="C789" s="2">
        <v>12</v>
      </c>
      <c r="D789" s="2">
        <v>2021</v>
      </c>
      <c r="E789" s="2">
        <v>93.93</v>
      </c>
      <c r="F789" s="2">
        <v>85.56</v>
      </c>
    </row>
    <row r="790" spans="1:6" x14ac:dyDescent="0.2">
      <c r="A790" s="2" t="s">
        <v>91</v>
      </c>
      <c r="B790" s="2">
        <v>5</v>
      </c>
      <c r="C790" s="2">
        <v>5</v>
      </c>
      <c r="D790" s="2">
        <v>2021</v>
      </c>
      <c r="E790" s="2">
        <v>66.03</v>
      </c>
      <c r="F790" s="2">
        <v>85.56</v>
      </c>
    </row>
    <row r="791" spans="1:6" x14ac:dyDescent="0.2">
      <c r="A791" s="2" t="s">
        <v>76</v>
      </c>
      <c r="B791" s="2">
        <v>9</v>
      </c>
      <c r="C791" s="2">
        <v>5</v>
      </c>
      <c r="D791" s="2">
        <v>2021</v>
      </c>
      <c r="E791" s="2">
        <v>56.42</v>
      </c>
      <c r="F791" s="2">
        <v>85.56</v>
      </c>
    </row>
    <row r="792" spans="1:6" x14ac:dyDescent="0.2">
      <c r="A792" s="2" t="s">
        <v>70</v>
      </c>
      <c r="B792" s="2">
        <v>16</v>
      </c>
      <c r="C792" s="2">
        <v>11</v>
      </c>
      <c r="D792" s="2">
        <v>2021</v>
      </c>
      <c r="E792" s="2">
        <v>131.4</v>
      </c>
      <c r="F792" s="2">
        <v>85.5</v>
      </c>
    </row>
    <row r="793" spans="1:6" x14ac:dyDescent="0.2">
      <c r="A793" s="2" t="s">
        <v>43</v>
      </c>
      <c r="B793" s="2">
        <v>15</v>
      </c>
      <c r="C793" s="2">
        <v>11</v>
      </c>
      <c r="D793" s="2">
        <v>2021</v>
      </c>
      <c r="E793" s="2">
        <v>120.9</v>
      </c>
      <c r="F793" s="2">
        <v>85.5</v>
      </c>
    </row>
    <row r="794" spans="1:6" x14ac:dyDescent="0.2">
      <c r="A794" s="2" t="s">
        <v>87</v>
      </c>
      <c r="B794" s="2">
        <v>1</v>
      </c>
      <c r="C794" s="2">
        <v>7</v>
      </c>
      <c r="D794" s="2">
        <v>2021</v>
      </c>
      <c r="E794" s="2">
        <v>63.86</v>
      </c>
      <c r="F794" s="2">
        <v>85.25</v>
      </c>
    </row>
    <row r="795" spans="1:6" x14ac:dyDescent="0.2">
      <c r="A795" s="2" t="s">
        <v>85</v>
      </c>
      <c r="B795" s="2">
        <v>3</v>
      </c>
      <c r="C795" s="2">
        <v>4</v>
      </c>
      <c r="D795" s="2">
        <v>2021</v>
      </c>
      <c r="E795" s="2">
        <v>99</v>
      </c>
      <c r="F795" s="2">
        <v>85.2</v>
      </c>
    </row>
    <row r="796" spans="1:6" x14ac:dyDescent="0.2">
      <c r="A796" s="2" t="s">
        <v>51</v>
      </c>
      <c r="B796" s="2">
        <v>16</v>
      </c>
      <c r="C796" s="2">
        <v>6</v>
      </c>
      <c r="D796" s="2">
        <v>2021</v>
      </c>
      <c r="E796" s="2">
        <v>27</v>
      </c>
      <c r="F796" s="2">
        <v>85.2</v>
      </c>
    </row>
    <row r="797" spans="1:6" x14ac:dyDescent="0.2">
      <c r="A797" s="2" t="s">
        <v>45</v>
      </c>
      <c r="B797" s="2">
        <v>18</v>
      </c>
      <c r="C797" s="2">
        <v>6</v>
      </c>
      <c r="D797" s="2">
        <v>2021</v>
      </c>
      <c r="E797" s="2">
        <v>24.3</v>
      </c>
      <c r="F797" s="2">
        <v>85.2</v>
      </c>
    </row>
    <row r="798" spans="1:6" x14ac:dyDescent="0.2">
      <c r="A798" s="2" t="s">
        <v>1</v>
      </c>
      <c r="B798" s="2">
        <v>21</v>
      </c>
      <c r="C798" s="2">
        <v>6</v>
      </c>
      <c r="D798" s="2">
        <v>2021</v>
      </c>
      <c r="E798" s="2">
        <v>0</v>
      </c>
      <c r="F798" s="2">
        <v>85.2</v>
      </c>
    </row>
    <row r="799" spans="1:6" x14ac:dyDescent="0.2">
      <c r="A799" s="2" t="s">
        <v>91</v>
      </c>
      <c r="B799" s="2">
        <v>5</v>
      </c>
      <c r="C799" s="2">
        <v>10</v>
      </c>
      <c r="D799" s="2">
        <v>2021</v>
      </c>
      <c r="E799" s="2">
        <v>94.86</v>
      </c>
      <c r="F799" s="2">
        <v>84.94</v>
      </c>
    </row>
    <row r="800" spans="1:6" x14ac:dyDescent="0.2">
      <c r="A800" s="2" t="s">
        <v>80</v>
      </c>
      <c r="B800" s="2">
        <v>12</v>
      </c>
      <c r="C800" s="2">
        <v>10</v>
      </c>
      <c r="D800" s="2">
        <v>2021</v>
      </c>
      <c r="E800" s="2">
        <v>87.11</v>
      </c>
      <c r="F800" s="2">
        <v>84.94</v>
      </c>
    </row>
    <row r="801" spans="1:6" x14ac:dyDescent="0.2">
      <c r="A801" s="2" t="s">
        <v>55</v>
      </c>
      <c r="B801" s="2">
        <v>18</v>
      </c>
      <c r="C801" s="2">
        <v>10</v>
      </c>
      <c r="D801" s="2">
        <v>2021</v>
      </c>
      <c r="E801" s="2">
        <v>83.39</v>
      </c>
      <c r="F801" s="2">
        <v>84.94</v>
      </c>
    </row>
    <row r="802" spans="1:6" x14ac:dyDescent="0.2">
      <c r="A802" s="2" t="s">
        <v>93</v>
      </c>
      <c r="B802" s="2">
        <v>3</v>
      </c>
      <c r="C802" s="2">
        <v>5</v>
      </c>
      <c r="D802" s="2">
        <v>2021</v>
      </c>
      <c r="E802" s="2">
        <v>73.16</v>
      </c>
      <c r="F802" s="2">
        <v>84.94</v>
      </c>
    </row>
    <row r="803" spans="1:6" x14ac:dyDescent="0.2">
      <c r="A803" s="2" t="s">
        <v>78</v>
      </c>
      <c r="B803" s="2">
        <v>18</v>
      </c>
      <c r="C803" s="2">
        <v>8</v>
      </c>
      <c r="D803" s="2">
        <v>2021</v>
      </c>
      <c r="E803" s="2">
        <v>43.4</v>
      </c>
      <c r="F803" s="2">
        <v>84.94</v>
      </c>
    </row>
    <row r="804" spans="1:6" x14ac:dyDescent="0.2">
      <c r="A804" s="2" t="s">
        <v>47</v>
      </c>
      <c r="B804" s="2">
        <v>19</v>
      </c>
      <c r="C804" s="2">
        <v>11</v>
      </c>
      <c r="D804" s="2">
        <v>2021</v>
      </c>
      <c r="E804" s="2">
        <v>87.9</v>
      </c>
      <c r="F804" s="2">
        <v>84.9</v>
      </c>
    </row>
    <row r="805" spans="1:6" x14ac:dyDescent="0.2">
      <c r="A805" s="2" t="s">
        <v>73</v>
      </c>
      <c r="B805" s="2">
        <v>5</v>
      </c>
      <c r="C805" s="2">
        <v>4</v>
      </c>
      <c r="D805" s="2">
        <v>2021</v>
      </c>
      <c r="E805" s="2">
        <v>79.5</v>
      </c>
      <c r="F805" s="2">
        <v>84.9</v>
      </c>
    </row>
    <row r="806" spans="1:6" x14ac:dyDescent="0.2">
      <c r="A806" s="2" t="s">
        <v>55</v>
      </c>
      <c r="B806" s="2">
        <v>18</v>
      </c>
      <c r="C806" s="2">
        <v>4</v>
      </c>
      <c r="D806" s="2">
        <v>2021</v>
      </c>
      <c r="E806" s="2">
        <v>71.7</v>
      </c>
      <c r="F806" s="2">
        <v>84.9</v>
      </c>
    </row>
    <row r="807" spans="1:6" x14ac:dyDescent="0.2">
      <c r="A807" s="2" t="s">
        <v>87</v>
      </c>
      <c r="B807" s="2">
        <v>1</v>
      </c>
      <c r="C807" s="2">
        <v>2</v>
      </c>
      <c r="D807" s="2">
        <v>2021</v>
      </c>
      <c r="E807" s="2">
        <v>129.63999999999999</v>
      </c>
      <c r="F807" s="2">
        <v>84.84</v>
      </c>
    </row>
    <row r="808" spans="1:6" x14ac:dyDescent="0.2">
      <c r="A808" s="2" t="s">
        <v>44</v>
      </c>
      <c r="B808" s="2">
        <v>1</v>
      </c>
      <c r="C808" s="2">
        <v>12</v>
      </c>
      <c r="D808" s="2">
        <v>2021</v>
      </c>
      <c r="E808" s="2">
        <v>110.98</v>
      </c>
      <c r="F808" s="2">
        <v>84.63</v>
      </c>
    </row>
    <row r="809" spans="1:6" x14ac:dyDescent="0.2">
      <c r="A809" s="2" t="s">
        <v>90</v>
      </c>
      <c r="B809" s="2">
        <v>18</v>
      </c>
      <c r="C809" s="2">
        <v>7</v>
      </c>
      <c r="D809" s="2">
        <v>2021</v>
      </c>
      <c r="E809" s="2">
        <v>70.680000000000007</v>
      </c>
      <c r="F809" s="2">
        <v>84.63</v>
      </c>
    </row>
    <row r="810" spans="1:6" x14ac:dyDescent="0.2">
      <c r="A810" s="2" t="s">
        <v>53</v>
      </c>
      <c r="B810" s="2">
        <v>18</v>
      </c>
      <c r="C810" s="2">
        <v>8</v>
      </c>
      <c r="D810" s="2">
        <v>2021</v>
      </c>
      <c r="E810" s="2">
        <v>27.59</v>
      </c>
      <c r="F810" s="2">
        <v>84.63</v>
      </c>
    </row>
    <row r="811" spans="1:6" x14ac:dyDescent="0.2">
      <c r="A811" s="2" t="s">
        <v>38</v>
      </c>
      <c r="B811" s="2">
        <v>21</v>
      </c>
      <c r="C811" s="2">
        <v>7</v>
      </c>
      <c r="D811" s="2">
        <v>2021</v>
      </c>
      <c r="E811" s="2">
        <v>23.25</v>
      </c>
      <c r="F811" s="2">
        <v>84.63</v>
      </c>
    </row>
    <row r="812" spans="1:6" x14ac:dyDescent="0.2">
      <c r="A812" s="2" t="s">
        <v>56</v>
      </c>
      <c r="B812" s="2">
        <v>14</v>
      </c>
      <c r="C812" s="2">
        <v>11</v>
      </c>
      <c r="D812" s="2">
        <v>2021</v>
      </c>
      <c r="E812" s="2">
        <v>108</v>
      </c>
      <c r="F812" s="2">
        <v>84.6</v>
      </c>
    </row>
    <row r="813" spans="1:6" x14ac:dyDescent="0.2">
      <c r="A813" s="2" t="s">
        <v>63</v>
      </c>
      <c r="B813" s="2">
        <v>25</v>
      </c>
      <c r="C813" s="2">
        <v>4</v>
      </c>
      <c r="D813" s="2">
        <v>2021</v>
      </c>
      <c r="E813" s="2">
        <v>74.099999999999994</v>
      </c>
      <c r="F813" s="2">
        <v>84.6</v>
      </c>
    </row>
    <row r="814" spans="1:6" x14ac:dyDescent="0.2">
      <c r="A814" s="2" t="s">
        <v>80</v>
      </c>
      <c r="B814" s="2">
        <v>12</v>
      </c>
      <c r="C814" s="2">
        <v>6</v>
      </c>
      <c r="D814" s="2">
        <v>2021</v>
      </c>
      <c r="E814" s="2">
        <v>54.3</v>
      </c>
      <c r="F814" s="2">
        <v>84.6</v>
      </c>
    </row>
    <row r="815" spans="1:6" x14ac:dyDescent="0.2">
      <c r="A815" s="2" t="s">
        <v>66</v>
      </c>
      <c r="B815" s="2">
        <v>23</v>
      </c>
      <c r="C815" s="2">
        <v>6</v>
      </c>
      <c r="D815" s="2">
        <v>2021</v>
      </c>
      <c r="E815" s="2">
        <v>45.6</v>
      </c>
      <c r="F815" s="2">
        <v>84.6</v>
      </c>
    </row>
    <row r="816" spans="1:6" x14ac:dyDescent="0.2">
      <c r="A816" s="2" t="s">
        <v>96</v>
      </c>
      <c r="B816" s="2">
        <v>3</v>
      </c>
      <c r="C816" s="2">
        <v>3</v>
      </c>
      <c r="D816" s="2">
        <v>2021</v>
      </c>
      <c r="E816" s="1" t="s">
        <v>94</v>
      </c>
      <c r="F816" s="2">
        <v>84.32</v>
      </c>
    </row>
    <row r="817" spans="1:6" x14ac:dyDescent="0.2">
      <c r="A817" s="2" t="s">
        <v>34</v>
      </c>
      <c r="B817" s="2">
        <v>4</v>
      </c>
      <c r="C817" s="2">
        <v>12</v>
      </c>
      <c r="D817" s="2">
        <v>2021</v>
      </c>
      <c r="E817" s="2">
        <v>85.56</v>
      </c>
      <c r="F817" s="2">
        <v>84.32</v>
      </c>
    </row>
    <row r="818" spans="1:6" x14ac:dyDescent="0.2">
      <c r="A818" s="2" t="s">
        <v>46</v>
      </c>
      <c r="B818" s="2">
        <v>9</v>
      </c>
      <c r="C818" s="2">
        <v>5</v>
      </c>
      <c r="D818" s="2">
        <v>2021</v>
      </c>
      <c r="E818" s="2">
        <v>39.99</v>
      </c>
      <c r="F818" s="2">
        <v>84.32</v>
      </c>
    </row>
    <row r="819" spans="1:6" x14ac:dyDescent="0.2">
      <c r="A819" s="2" t="s">
        <v>89</v>
      </c>
      <c r="B819" s="2">
        <v>2</v>
      </c>
      <c r="C819" s="2">
        <v>11</v>
      </c>
      <c r="D819" s="2">
        <v>2021</v>
      </c>
      <c r="E819" s="2">
        <v>124.2</v>
      </c>
      <c r="F819" s="2">
        <v>84.3</v>
      </c>
    </row>
    <row r="820" spans="1:6" x14ac:dyDescent="0.2">
      <c r="A820" s="2" t="s">
        <v>84</v>
      </c>
      <c r="B820" s="2">
        <v>20</v>
      </c>
      <c r="C820" s="2">
        <v>4</v>
      </c>
      <c r="D820" s="2">
        <v>2021</v>
      </c>
      <c r="E820" s="2">
        <v>84.3</v>
      </c>
      <c r="F820" s="2">
        <v>84.3</v>
      </c>
    </row>
    <row r="821" spans="1:6" x14ac:dyDescent="0.2">
      <c r="A821" s="2" t="s">
        <v>65</v>
      </c>
      <c r="B821" s="2">
        <v>11</v>
      </c>
      <c r="C821" s="2">
        <v>6</v>
      </c>
      <c r="D821" s="2">
        <v>2021</v>
      </c>
      <c r="E821" s="2">
        <v>42.3</v>
      </c>
      <c r="F821" s="2">
        <v>84.3</v>
      </c>
    </row>
    <row r="822" spans="1:6" x14ac:dyDescent="0.2">
      <c r="A822" s="2" t="s">
        <v>74</v>
      </c>
      <c r="B822" s="2">
        <v>5</v>
      </c>
      <c r="C822" s="2">
        <v>9</v>
      </c>
      <c r="D822" s="2">
        <v>2021</v>
      </c>
      <c r="E822" s="2">
        <v>40.799999999999997</v>
      </c>
      <c r="F822" s="2">
        <v>84.3</v>
      </c>
    </row>
    <row r="823" spans="1:6" x14ac:dyDescent="0.2">
      <c r="A823" s="2" t="s">
        <v>61</v>
      </c>
      <c r="B823" s="2">
        <v>23</v>
      </c>
      <c r="C823" s="2">
        <v>2</v>
      </c>
      <c r="D823" s="2">
        <v>2021</v>
      </c>
      <c r="E823" s="2">
        <v>119.28</v>
      </c>
      <c r="F823" s="2">
        <v>84.28</v>
      </c>
    </row>
    <row r="824" spans="1:6" x14ac:dyDescent="0.2">
      <c r="A824" s="2" t="s">
        <v>41</v>
      </c>
      <c r="B824" s="2">
        <v>15</v>
      </c>
      <c r="C824" s="2">
        <v>5</v>
      </c>
      <c r="D824" s="2">
        <v>2021</v>
      </c>
      <c r="E824" s="2">
        <v>31.62</v>
      </c>
      <c r="F824" s="2">
        <v>84.01</v>
      </c>
    </row>
    <row r="825" spans="1:6" x14ac:dyDescent="0.2">
      <c r="A825" s="2" t="s">
        <v>78</v>
      </c>
      <c r="B825" s="2">
        <v>18</v>
      </c>
      <c r="C825" s="2">
        <v>2</v>
      </c>
      <c r="D825" s="2">
        <v>2021</v>
      </c>
      <c r="E825" s="2">
        <v>116.48</v>
      </c>
      <c r="F825" s="2">
        <v>84</v>
      </c>
    </row>
    <row r="826" spans="1:6" x14ac:dyDescent="0.2">
      <c r="A826" s="2" t="s">
        <v>43</v>
      </c>
      <c r="B826" s="2">
        <v>15</v>
      </c>
      <c r="C826" s="2">
        <v>2</v>
      </c>
      <c r="D826" s="2">
        <v>2021</v>
      </c>
      <c r="E826" s="2">
        <v>105</v>
      </c>
      <c r="F826" s="2">
        <v>84</v>
      </c>
    </row>
    <row r="827" spans="1:6" x14ac:dyDescent="0.2">
      <c r="A827" s="2" t="s">
        <v>39</v>
      </c>
      <c r="B827" s="2">
        <v>22</v>
      </c>
      <c r="C827" s="2">
        <v>2</v>
      </c>
      <c r="D827" s="2">
        <v>2021</v>
      </c>
      <c r="E827" s="2">
        <v>98.56</v>
      </c>
      <c r="F827" s="2">
        <v>84</v>
      </c>
    </row>
    <row r="828" spans="1:6" x14ac:dyDescent="0.2">
      <c r="A828" s="2" t="s">
        <v>93</v>
      </c>
      <c r="B828" s="2">
        <v>3</v>
      </c>
      <c r="C828" s="2">
        <v>9</v>
      </c>
      <c r="D828" s="2">
        <v>2021</v>
      </c>
      <c r="E828" s="2">
        <v>80.7</v>
      </c>
      <c r="F828" s="2">
        <v>84</v>
      </c>
    </row>
    <row r="829" spans="1:6" x14ac:dyDescent="0.2">
      <c r="A829" s="2" t="s">
        <v>59</v>
      </c>
      <c r="B829" s="2">
        <v>11</v>
      </c>
      <c r="C829" s="2">
        <v>6</v>
      </c>
      <c r="D829" s="2">
        <v>2021</v>
      </c>
      <c r="E829" s="2">
        <v>39.299999999999997</v>
      </c>
      <c r="F829" s="2">
        <v>84</v>
      </c>
    </row>
    <row r="830" spans="1:6" x14ac:dyDescent="0.2">
      <c r="A830" s="2" t="s">
        <v>67</v>
      </c>
      <c r="B830" s="2">
        <v>13</v>
      </c>
      <c r="C830" s="2">
        <v>4</v>
      </c>
      <c r="D830" s="2">
        <v>2021</v>
      </c>
      <c r="E830" s="2">
        <v>78.900000000000006</v>
      </c>
      <c r="F830" s="2">
        <v>83.7</v>
      </c>
    </row>
    <row r="831" spans="1:6" x14ac:dyDescent="0.2">
      <c r="A831" s="2" t="s">
        <v>89</v>
      </c>
      <c r="B831" s="2">
        <v>2</v>
      </c>
      <c r="C831" s="2">
        <v>7</v>
      </c>
      <c r="D831" s="2">
        <v>2021</v>
      </c>
      <c r="E831" s="2">
        <v>63.24</v>
      </c>
      <c r="F831" s="2">
        <v>83.7</v>
      </c>
    </row>
    <row r="832" spans="1:6" x14ac:dyDescent="0.2">
      <c r="A832" s="2" t="s">
        <v>81</v>
      </c>
      <c r="B832" s="2">
        <v>19</v>
      </c>
      <c r="C832" s="2">
        <v>8</v>
      </c>
      <c r="D832" s="2">
        <v>2021</v>
      </c>
      <c r="E832" s="2">
        <v>60.76</v>
      </c>
      <c r="F832" s="2">
        <v>83.7</v>
      </c>
    </row>
    <row r="833" spans="1:6" x14ac:dyDescent="0.2">
      <c r="A833" s="2" t="s">
        <v>51</v>
      </c>
      <c r="B833" s="2">
        <v>16</v>
      </c>
      <c r="C833" s="2">
        <v>9</v>
      </c>
      <c r="D833" s="2">
        <v>2021</v>
      </c>
      <c r="E833" s="2">
        <v>39.9</v>
      </c>
      <c r="F833" s="2">
        <v>83.7</v>
      </c>
    </row>
    <row r="834" spans="1:6" x14ac:dyDescent="0.2">
      <c r="A834" s="2" t="s">
        <v>67</v>
      </c>
      <c r="B834" s="2">
        <v>13</v>
      </c>
      <c r="C834" s="2">
        <v>8</v>
      </c>
      <c r="D834" s="2">
        <v>2021</v>
      </c>
      <c r="E834" s="2">
        <v>37.200000000000003</v>
      </c>
      <c r="F834" s="2">
        <v>83.7</v>
      </c>
    </row>
    <row r="835" spans="1:6" x14ac:dyDescent="0.2">
      <c r="A835" s="2" t="s">
        <v>39</v>
      </c>
      <c r="B835" s="2">
        <v>22</v>
      </c>
      <c r="C835" s="2">
        <v>7</v>
      </c>
      <c r="D835" s="2">
        <v>2021</v>
      </c>
      <c r="E835" s="2">
        <v>31.62</v>
      </c>
      <c r="F835" s="2">
        <v>83.7</v>
      </c>
    </row>
    <row r="836" spans="1:6" x14ac:dyDescent="0.2">
      <c r="A836" s="2" t="s">
        <v>39</v>
      </c>
      <c r="B836" s="2">
        <v>22</v>
      </c>
      <c r="C836" s="2">
        <v>6</v>
      </c>
      <c r="D836" s="2">
        <v>2021</v>
      </c>
      <c r="E836" s="2">
        <v>30.6</v>
      </c>
      <c r="F836" s="2">
        <v>83.7</v>
      </c>
    </row>
    <row r="837" spans="1:6" x14ac:dyDescent="0.2">
      <c r="A837" s="2" t="s">
        <v>95</v>
      </c>
      <c r="B837" s="2">
        <v>24</v>
      </c>
      <c r="C837" s="2">
        <v>9</v>
      </c>
      <c r="D837" s="2">
        <v>2021</v>
      </c>
      <c r="E837" s="1" t="s">
        <v>94</v>
      </c>
      <c r="F837" s="2">
        <v>83.4</v>
      </c>
    </row>
    <row r="838" spans="1:6" x14ac:dyDescent="0.2">
      <c r="A838" s="2" t="s">
        <v>85</v>
      </c>
      <c r="B838" s="2">
        <v>3</v>
      </c>
      <c r="C838" s="2">
        <v>11</v>
      </c>
      <c r="D838" s="2">
        <v>2021</v>
      </c>
      <c r="E838" s="2">
        <v>132.6</v>
      </c>
      <c r="F838" s="2">
        <v>83.4</v>
      </c>
    </row>
    <row r="839" spans="1:6" x14ac:dyDescent="0.2">
      <c r="A839" s="2" t="s">
        <v>90</v>
      </c>
      <c r="B839" s="2">
        <v>18</v>
      </c>
      <c r="C839" s="2">
        <v>6</v>
      </c>
      <c r="D839" s="2">
        <v>2021</v>
      </c>
      <c r="E839" s="2">
        <v>66.599999999999994</v>
      </c>
      <c r="F839" s="2">
        <v>83.4</v>
      </c>
    </row>
    <row r="840" spans="1:6" x14ac:dyDescent="0.2">
      <c r="A840" s="2" t="s">
        <v>69</v>
      </c>
      <c r="B840" s="2">
        <v>12</v>
      </c>
      <c r="C840" s="2">
        <v>9</v>
      </c>
      <c r="D840" s="2">
        <v>2021</v>
      </c>
      <c r="E840" s="2">
        <v>44.4</v>
      </c>
      <c r="F840" s="2">
        <v>83.4</v>
      </c>
    </row>
    <row r="841" spans="1:6" x14ac:dyDescent="0.2">
      <c r="A841" s="2" t="s">
        <v>74</v>
      </c>
      <c r="B841" s="2">
        <v>5</v>
      </c>
      <c r="C841" s="2">
        <v>12</v>
      </c>
      <c r="D841" s="2">
        <v>2021</v>
      </c>
      <c r="E841" s="2">
        <v>128.03</v>
      </c>
      <c r="F841" s="2">
        <v>83.39</v>
      </c>
    </row>
    <row r="842" spans="1:6" x14ac:dyDescent="0.2">
      <c r="A842" s="2" t="s">
        <v>75</v>
      </c>
      <c r="B842" s="2">
        <v>2</v>
      </c>
      <c r="C842" s="2">
        <v>10</v>
      </c>
      <c r="D842" s="2">
        <v>2021</v>
      </c>
      <c r="E842" s="2">
        <v>76.569999999999993</v>
      </c>
      <c r="F842" s="2">
        <v>83.39</v>
      </c>
    </row>
    <row r="843" spans="1:6" x14ac:dyDescent="0.2">
      <c r="A843" s="2" t="s">
        <v>80</v>
      </c>
      <c r="B843" s="2">
        <v>12</v>
      </c>
      <c r="C843" s="2">
        <v>12</v>
      </c>
      <c r="D843" s="2">
        <v>2021</v>
      </c>
      <c r="E843" s="2">
        <v>113.46</v>
      </c>
      <c r="F843" s="2">
        <v>83.08</v>
      </c>
    </row>
    <row r="844" spans="1:6" x14ac:dyDescent="0.2">
      <c r="A844" s="2" t="s">
        <v>74</v>
      </c>
      <c r="B844" s="2">
        <v>5</v>
      </c>
      <c r="C844" s="2">
        <v>3</v>
      </c>
      <c r="D844" s="2">
        <v>2021</v>
      </c>
      <c r="E844" s="2">
        <v>79.67</v>
      </c>
      <c r="F844" s="2">
        <v>83.08</v>
      </c>
    </row>
    <row r="845" spans="1:6" x14ac:dyDescent="0.2">
      <c r="A845" s="2" t="s">
        <v>67</v>
      </c>
      <c r="B845" s="2">
        <v>13</v>
      </c>
      <c r="C845" s="2">
        <v>10</v>
      </c>
      <c r="D845" s="2">
        <v>2021</v>
      </c>
      <c r="E845" s="2">
        <v>76.88</v>
      </c>
      <c r="F845" s="2">
        <v>83.08</v>
      </c>
    </row>
    <row r="846" spans="1:6" x14ac:dyDescent="0.2">
      <c r="A846" s="2" t="s">
        <v>50</v>
      </c>
      <c r="B846" s="2">
        <v>24</v>
      </c>
      <c r="C846" s="2">
        <v>10</v>
      </c>
      <c r="D846" s="2">
        <v>2021</v>
      </c>
      <c r="E846" s="2">
        <v>67.58</v>
      </c>
      <c r="F846" s="2">
        <v>83.08</v>
      </c>
    </row>
    <row r="847" spans="1:6" x14ac:dyDescent="0.2">
      <c r="A847" s="2" t="s">
        <v>63</v>
      </c>
      <c r="B847" s="2">
        <v>25</v>
      </c>
      <c r="C847" s="2">
        <v>9</v>
      </c>
      <c r="D847" s="2">
        <v>2021</v>
      </c>
      <c r="E847" s="2">
        <v>43.5</v>
      </c>
      <c r="F847" s="2">
        <v>82.8</v>
      </c>
    </row>
    <row r="848" spans="1:6" x14ac:dyDescent="0.2">
      <c r="A848" s="2" t="s">
        <v>60</v>
      </c>
      <c r="B848" s="2">
        <v>20</v>
      </c>
      <c r="C848" s="2">
        <v>12</v>
      </c>
      <c r="D848" s="2">
        <v>2021</v>
      </c>
      <c r="E848" s="2">
        <v>137.02000000000001</v>
      </c>
      <c r="F848" s="2">
        <v>82.77</v>
      </c>
    </row>
    <row r="849" spans="1:6" x14ac:dyDescent="0.2">
      <c r="A849" s="2" t="s">
        <v>47</v>
      </c>
      <c r="B849" s="2">
        <v>19</v>
      </c>
      <c r="C849" s="2">
        <v>7</v>
      </c>
      <c r="D849" s="2">
        <v>2021</v>
      </c>
      <c r="E849" s="2">
        <v>30.07</v>
      </c>
      <c r="F849" s="2">
        <v>82.77</v>
      </c>
    </row>
    <row r="850" spans="1:6" x14ac:dyDescent="0.2">
      <c r="A850" s="2" t="s">
        <v>33</v>
      </c>
      <c r="B850" s="2">
        <v>21</v>
      </c>
      <c r="C850" s="2">
        <v>4</v>
      </c>
      <c r="D850" s="2">
        <v>2021</v>
      </c>
      <c r="E850" s="2">
        <v>52.8</v>
      </c>
      <c r="F850" s="2">
        <v>82.5</v>
      </c>
    </row>
    <row r="851" spans="1:6" x14ac:dyDescent="0.2">
      <c r="A851" s="2" t="s">
        <v>64</v>
      </c>
      <c r="B851" s="2">
        <v>21</v>
      </c>
      <c r="C851" s="2">
        <v>9</v>
      </c>
      <c r="D851" s="2">
        <v>2021</v>
      </c>
      <c r="E851" s="2">
        <v>51.9</v>
      </c>
      <c r="F851" s="2">
        <v>82.5</v>
      </c>
    </row>
    <row r="852" spans="1:6" x14ac:dyDescent="0.2">
      <c r="A852" s="2" t="s">
        <v>95</v>
      </c>
      <c r="B852" s="2">
        <v>24</v>
      </c>
      <c r="C852" s="2">
        <v>5</v>
      </c>
      <c r="D852" s="2">
        <v>2021</v>
      </c>
      <c r="E852" s="1" t="s">
        <v>94</v>
      </c>
      <c r="F852" s="2">
        <v>82.46</v>
      </c>
    </row>
    <row r="853" spans="1:6" x14ac:dyDescent="0.2">
      <c r="A853" s="2" t="s">
        <v>33</v>
      </c>
      <c r="B853" s="2">
        <v>21</v>
      </c>
      <c r="C853" s="2">
        <v>1</v>
      </c>
      <c r="D853" s="2">
        <v>2021</v>
      </c>
      <c r="E853" s="2">
        <v>102.3</v>
      </c>
      <c r="F853" s="2">
        <v>82.46</v>
      </c>
    </row>
    <row r="854" spans="1:6" x14ac:dyDescent="0.2">
      <c r="A854" s="2" t="s">
        <v>39</v>
      </c>
      <c r="B854" s="2">
        <v>22</v>
      </c>
      <c r="C854" s="2">
        <v>3</v>
      </c>
      <c r="D854" s="2">
        <v>2021</v>
      </c>
      <c r="E854" s="2">
        <v>52.39</v>
      </c>
      <c r="F854" s="2">
        <v>82.46</v>
      </c>
    </row>
    <row r="855" spans="1:6" x14ac:dyDescent="0.2">
      <c r="A855" s="2" t="s">
        <v>73</v>
      </c>
      <c r="B855" s="2">
        <v>5</v>
      </c>
      <c r="C855" s="2">
        <v>7</v>
      </c>
      <c r="D855" s="2">
        <v>2021</v>
      </c>
      <c r="E855" s="2">
        <v>47.12</v>
      </c>
      <c r="F855" s="2">
        <v>82.46</v>
      </c>
    </row>
    <row r="856" spans="1:6" x14ac:dyDescent="0.2">
      <c r="A856" s="2" t="s">
        <v>56</v>
      </c>
      <c r="B856" s="2">
        <v>14</v>
      </c>
      <c r="C856" s="2">
        <v>7</v>
      </c>
      <c r="D856" s="2">
        <v>2021</v>
      </c>
      <c r="E856" s="2">
        <v>39.06</v>
      </c>
      <c r="F856" s="2">
        <v>82.46</v>
      </c>
    </row>
    <row r="857" spans="1:6" x14ac:dyDescent="0.2">
      <c r="A857" s="2" t="s">
        <v>74</v>
      </c>
      <c r="B857" s="2">
        <v>5</v>
      </c>
      <c r="C857" s="2">
        <v>8</v>
      </c>
      <c r="D857" s="2">
        <v>2021</v>
      </c>
      <c r="E857" s="2">
        <v>38.44</v>
      </c>
      <c r="F857" s="2">
        <v>82.46</v>
      </c>
    </row>
    <row r="858" spans="1:6" x14ac:dyDescent="0.2">
      <c r="A858" s="2" t="s">
        <v>86</v>
      </c>
      <c r="B858" s="2">
        <v>6</v>
      </c>
      <c r="C858" s="2">
        <v>2</v>
      </c>
      <c r="D858" s="2">
        <v>2021</v>
      </c>
      <c r="E858" s="2">
        <v>115.64</v>
      </c>
      <c r="F858" s="2">
        <v>82.32</v>
      </c>
    </row>
    <row r="859" spans="1:6" x14ac:dyDescent="0.2">
      <c r="A859" s="2" t="s">
        <v>96</v>
      </c>
      <c r="B859" s="2">
        <v>3</v>
      </c>
      <c r="C859" s="2">
        <v>12</v>
      </c>
      <c r="D859" s="2">
        <v>2021</v>
      </c>
      <c r="E859" s="1" t="s">
        <v>94</v>
      </c>
      <c r="F859" s="2">
        <v>82.15</v>
      </c>
    </row>
    <row r="860" spans="1:6" x14ac:dyDescent="0.2">
      <c r="A860" s="2" t="s">
        <v>66</v>
      </c>
      <c r="B860" s="2">
        <v>23</v>
      </c>
      <c r="C860" s="2">
        <v>3</v>
      </c>
      <c r="D860" s="2">
        <v>2021</v>
      </c>
      <c r="E860" s="2">
        <v>82.46</v>
      </c>
      <c r="F860" s="2">
        <v>82.15</v>
      </c>
    </row>
    <row r="861" spans="1:6" x14ac:dyDescent="0.2">
      <c r="A861" s="2" t="s">
        <v>89</v>
      </c>
      <c r="B861" s="2">
        <v>2</v>
      </c>
      <c r="C861" s="2">
        <v>5</v>
      </c>
      <c r="D861" s="2">
        <v>2021</v>
      </c>
      <c r="E861" s="2">
        <v>66.650000000000006</v>
      </c>
      <c r="F861" s="2">
        <v>82.15</v>
      </c>
    </row>
    <row r="862" spans="1:6" x14ac:dyDescent="0.2">
      <c r="A862" s="2" t="s">
        <v>33</v>
      </c>
      <c r="B862" s="2">
        <v>21</v>
      </c>
      <c r="C862" s="2">
        <v>10</v>
      </c>
      <c r="D862" s="2">
        <v>2021</v>
      </c>
      <c r="E862" s="2">
        <v>62</v>
      </c>
      <c r="F862" s="2">
        <v>82.15</v>
      </c>
    </row>
    <row r="863" spans="1:6" x14ac:dyDescent="0.2">
      <c r="A863" s="2" t="s">
        <v>46</v>
      </c>
      <c r="B863" s="2">
        <v>9</v>
      </c>
      <c r="C863" s="2">
        <v>11</v>
      </c>
      <c r="D863" s="2">
        <v>2021</v>
      </c>
      <c r="E863" s="2">
        <v>112.5</v>
      </c>
      <c r="F863" s="2">
        <v>81.900000000000006</v>
      </c>
    </row>
    <row r="864" spans="1:6" x14ac:dyDescent="0.2">
      <c r="A864" s="2" t="s">
        <v>41</v>
      </c>
      <c r="B864" s="2">
        <v>15</v>
      </c>
      <c r="C864" s="2">
        <v>11</v>
      </c>
      <c r="D864" s="2">
        <v>2021</v>
      </c>
      <c r="E864" s="2">
        <v>112.2</v>
      </c>
      <c r="F864" s="2">
        <v>81.900000000000006</v>
      </c>
    </row>
    <row r="865" spans="1:6" x14ac:dyDescent="0.2">
      <c r="A865" s="2" t="s">
        <v>60</v>
      </c>
      <c r="B865" s="2">
        <v>20</v>
      </c>
      <c r="C865" s="2">
        <v>1</v>
      </c>
      <c r="D865" s="2">
        <v>2021</v>
      </c>
      <c r="E865" s="2">
        <v>104.78</v>
      </c>
      <c r="F865" s="2">
        <v>81.84</v>
      </c>
    </row>
    <row r="866" spans="1:6" x14ac:dyDescent="0.2">
      <c r="A866" s="2" t="s">
        <v>47</v>
      </c>
      <c r="B866" s="2">
        <v>19</v>
      </c>
      <c r="C866" s="2">
        <v>1</v>
      </c>
      <c r="D866" s="2">
        <v>2021</v>
      </c>
      <c r="E866" s="2">
        <v>104.47</v>
      </c>
      <c r="F866" s="2">
        <v>81.84</v>
      </c>
    </row>
    <row r="867" spans="1:6" x14ac:dyDescent="0.2">
      <c r="A867" s="2" t="s">
        <v>35</v>
      </c>
      <c r="B867" s="2">
        <v>9</v>
      </c>
      <c r="C867" s="2">
        <v>3</v>
      </c>
      <c r="D867" s="2">
        <v>2021</v>
      </c>
      <c r="E867" s="2">
        <v>56.73</v>
      </c>
      <c r="F867" s="2">
        <v>81.84</v>
      </c>
    </row>
    <row r="868" spans="1:6" x14ac:dyDescent="0.2">
      <c r="A868" s="2" t="s">
        <v>54</v>
      </c>
      <c r="B868" s="2">
        <v>5</v>
      </c>
      <c r="C868" s="2">
        <v>2</v>
      </c>
      <c r="D868" s="2">
        <v>2021</v>
      </c>
      <c r="E868" s="2">
        <v>96.32</v>
      </c>
      <c r="F868" s="2">
        <v>81.760000000000005</v>
      </c>
    </row>
    <row r="869" spans="1:6" x14ac:dyDescent="0.2">
      <c r="A869" s="2" t="s">
        <v>54</v>
      </c>
      <c r="B869" s="2">
        <v>5</v>
      </c>
      <c r="C869" s="2">
        <v>9</v>
      </c>
      <c r="D869" s="2">
        <v>2021</v>
      </c>
      <c r="E869" s="2">
        <v>51.9</v>
      </c>
      <c r="F869" s="2">
        <v>81.599999999999994</v>
      </c>
    </row>
    <row r="870" spans="1:6" x14ac:dyDescent="0.2">
      <c r="A870" s="2" t="s">
        <v>41</v>
      </c>
      <c r="B870" s="2">
        <v>15</v>
      </c>
      <c r="C870" s="2">
        <v>6</v>
      </c>
      <c r="D870" s="2">
        <v>2021</v>
      </c>
      <c r="E870" s="2">
        <v>21.6</v>
      </c>
      <c r="F870" s="2">
        <v>81.599999999999994</v>
      </c>
    </row>
    <row r="871" spans="1:6" x14ac:dyDescent="0.2">
      <c r="A871" s="2" t="s">
        <v>0</v>
      </c>
      <c r="B871" s="2">
        <v>25</v>
      </c>
      <c r="C871" s="2">
        <v>7</v>
      </c>
      <c r="D871" s="2">
        <v>2021</v>
      </c>
      <c r="E871" s="1" t="s">
        <v>94</v>
      </c>
      <c r="F871" s="2">
        <v>81.53</v>
      </c>
    </row>
    <row r="872" spans="1:6" x14ac:dyDescent="0.2">
      <c r="A872" s="2" t="s">
        <v>91</v>
      </c>
      <c r="B872" s="2">
        <v>5</v>
      </c>
      <c r="C872" s="2">
        <v>12</v>
      </c>
      <c r="D872" s="2">
        <v>2021</v>
      </c>
      <c r="E872" s="2">
        <v>154.07</v>
      </c>
      <c r="F872" s="2">
        <v>81.53</v>
      </c>
    </row>
    <row r="873" spans="1:6" x14ac:dyDescent="0.2">
      <c r="A873" s="2" t="s">
        <v>75</v>
      </c>
      <c r="B873" s="2">
        <v>2</v>
      </c>
      <c r="C873" s="2">
        <v>5</v>
      </c>
      <c r="D873" s="2">
        <v>2021</v>
      </c>
      <c r="E873" s="2">
        <v>47.12</v>
      </c>
      <c r="F873" s="2">
        <v>81.53</v>
      </c>
    </row>
    <row r="874" spans="1:6" x14ac:dyDescent="0.2">
      <c r="A874" s="2" t="s">
        <v>53</v>
      </c>
      <c r="B874" s="2">
        <v>18</v>
      </c>
      <c r="C874" s="2">
        <v>7</v>
      </c>
      <c r="D874" s="2">
        <v>2021</v>
      </c>
      <c r="E874" s="2">
        <v>32.24</v>
      </c>
      <c r="F874" s="2">
        <v>81.53</v>
      </c>
    </row>
    <row r="875" spans="1:6" x14ac:dyDescent="0.2">
      <c r="A875" s="2" t="s">
        <v>39</v>
      </c>
      <c r="B875" s="2">
        <v>22</v>
      </c>
      <c r="C875" s="2">
        <v>8</v>
      </c>
      <c r="D875" s="2">
        <v>2021</v>
      </c>
      <c r="E875" s="2">
        <v>29.45</v>
      </c>
      <c r="F875" s="2">
        <v>81.53</v>
      </c>
    </row>
    <row r="876" spans="1:6" x14ac:dyDescent="0.2">
      <c r="A876" s="2" t="s">
        <v>93</v>
      </c>
      <c r="B876" s="2">
        <v>3</v>
      </c>
      <c r="C876" s="2">
        <v>2</v>
      </c>
      <c r="D876" s="2">
        <v>2021</v>
      </c>
      <c r="E876" s="2">
        <v>137.47999999999999</v>
      </c>
      <c r="F876" s="2">
        <v>81.48</v>
      </c>
    </row>
    <row r="877" spans="1:6" x14ac:dyDescent="0.2">
      <c r="A877" s="2" t="s">
        <v>74</v>
      </c>
      <c r="B877" s="2">
        <v>5</v>
      </c>
      <c r="C877" s="2">
        <v>6</v>
      </c>
      <c r="D877" s="2">
        <v>2021</v>
      </c>
      <c r="E877" s="2">
        <v>42.3</v>
      </c>
      <c r="F877" s="2">
        <v>81.3</v>
      </c>
    </row>
    <row r="878" spans="1:6" x14ac:dyDescent="0.2">
      <c r="A878" s="2" t="s">
        <v>66</v>
      </c>
      <c r="B878" s="2">
        <v>23</v>
      </c>
      <c r="C878" s="2">
        <v>1</v>
      </c>
      <c r="D878" s="2">
        <v>2021</v>
      </c>
      <c r="E878" s="2">
        <v>149.11000000000001</v>
      </c>
      <c r="F878" s="2">
        <v>81.22</v>
      </c>
    </row>
    <row r="879" spans="1:6" x14ac:dyDescent="0.2">
      <c r="A879" s="2" t="s">
        <v>81</v>
      </c>
      <c r="B879" s="2">
        <v>19</v>
      </c>
      <c r="C879" s="2">
        <v>1</v>
      </c>
      <c r="D879" s="2">
        <v>2021</v>
      </c>
      <c r="E879" s="2">
        <v>119.04</v>
      </c>
      <c r="F879" s="2">
        <v>81.22</v>
      </c>
    </row>
    <row r="880" spans="1:6" x14ac:dyDescent="0.2">
      <c r="A880" s="2" t="s">
        <v>85</v>
      </c>
      <c r="B880" s="2">
        <v>3</v>
      </c>
      <c r="C880" s="2">
        <v>10</v>
      </c>
      <c r="D880" s="2">
        <v>2021</v>
      </c>
      <c r="E880" s="2">
        <v>102.3</v>
      </c>
      <c r="F880" s="2">
        <v>81.22</v>
      </c>
    </row>
    <row r="881" spans="1:6" x14ac:dyDescent="0.2">
      <c r="A881" s="2" t="s">
        <v>41</v>
      </c>
      <c r="B881" s="2">
        <v>15</v>
      </c>
      <c r="C881" s="2">
        <v>2</v>
      </c>
      <c r="D881" s="2">
        <v>2021</v>
      </c>
      <c r="E881" s="2">
        <v>117.88</v>
      </c>
      <c r="F881" s="2">
        <v>81.2</v>
      </c>
    </row>
    <row r="882" spans="1:6" x14ac:dyDescent="0.2">
      <c r="A882" s="2" t="s">
        <v>81</v>
      </c>
      <c r="B882" s="2">
        <v>19</v>
      </c>
      <c r="C882" s="2">
        <v>6</v>
      </c>
      <c r="D882" s="2">
        <v>2021</v>
      </c>
      <c r="E882" s="2">
        <v>56.4</v>
      </c>
      <c r="F882" s="2">
        <v>81</v>
      </c>
    </row>
    <row r="883" spans="1:6" x14ac:dyDescent="0.2">
      <c r="A883" s="2" t="s">
        <v>59</v>
      </c>
      <c r="B883" s="2">
        <v>11</v>
      </c>
      <c r="C883" s="2">
        <v>9</v>
      </c>
      <c r="D883" s="2">
        <v>2021</v>
      </c>
      <c r="E883" s="2">
        <v>45</v>
      </c>
      <c r="F883" s="2">
        <v>81</v>
      </c>
    </row>
    <row r="884" spans="1:6" x14ac:dyDescent="0.2">
      <c r="A884" s="2" t="s">
        <v>44</v>
      </c>
      <c r="B884" s="2">
        <v>1</v>
      </c>
      <c r="C884" s="2">
        <v>6</v>
      </c>
      <c r="D884" s="2">
        <v>2021</v>
      </c>
      <c r="E884" s="2">
        <v>28.5</v>
      </c>
      <c r="F884" s="2">
        <v>81</v>
      </c>
    </row>
    <row r="885" spans="1:6" x14ac:dyDescent="0.2">
      <c r="A885" s="2" t="s">
        <v>59</v>
      </c>
      <c r="B885" s="2">
        <v>11</v>
      </c>
      <c r="C885" s="2">
        <v>12</v>
      </c>
      <c r="D885" s="2">
        <v>2021</v>
      </c>
      <c r="E885" s="2">
        <v>135.78</v>
      </c>
      <c r="F885" s="2">
        <v>80.91</v>
      </c>
    </row>
    <row r="886" spans="1:6" x14ac:dyDescent="0.2">
      <c r="A886" s="2" t="s">
        <v>91</v>
      </c>
      <c r="B886" s="2">
        <v>5</v>
      </c>
      <c r="C886" s="2">
        <v>1</v>
      </c>
      <c r="D886" s="2">
        <v>2021</v>
      </c>
      <c r="E886" s="2">
        <v>132.68</v>
      </c>
      <c r="F886" s="2">
        <v>80.91</v>
      </c>
    </row>
    <row r="887" spans="1:6" x14ac:dyDescent="0.2">
      <c r="A887" s="2" t="s">
        <v>40</v>
      </c>
      <c r="B887" s="2">
        <v>15</v>
      </c>
      <c r="C887" s="2">
        <v>1</v>
      </c>
      <c r="D887" s="2">
        <v>2021</v>
      </c>
      <c r="E887" s="2">
        <v>105.4</v>
      </c>
      <c r="F887" s="2">
        <v>80.91</v>
      </c>
    </row>
    <row r="888" spans="1:6" x14ac:dyDescent="0.2">
      <c r="A888" s="2" t="s">
        <v>85</v>
      </c>
      <c r="B888" s="2">
        <v>3</v>
      </c>
      <c r="C888" s="2">
        <v>7</v>
      </c>
      <c r="D888" s="2">
        <v>2021</v>
      </c>
      <c r="E888" s="2">
        <v>68.510000000000005</v>
      </c>
      <c r="F888" s="2">
        <v>80.91</v>
      </c>
    </row>
    <row r="889" spans="1:6" x14ac:dyDescent="0.2">
      <c r="A889" s="2" t="s">
        <v>53</v>
      </c>
      <c r="B889" s="2">
        <v>18</v>
      </c>
      <c r="C889" s="2">
        <v>10</v>
      </c>
      <c r="D889" s="2">
        <v>2021</v>
      </c>
      <c r="E889" s="2">
        <v>63.24</v>
      </c>
      <c r="F889" s="2">
        <v>80.91</v>
      </c>
    </row>
    <row r="890" spans="1:6" x14ac:dyDescent="0.2">
      <c r="A890" s="2" t="s">
        <v>57</v>
      </c>
      <c r="B890" s="2">
        <v>17</v>
      </c>
      <c r="C890" s="2">
        <v>5</v>
      </c>
      <c r="D890" s="2">
        <v>2021</v>
      </c>
      <c r="E890" s="2">
        <v>51.77</v>
      </c>
      <c r="F890" s="2">
        <v>80.91</v>
      </c>
    </row>
    <row r="891" spans="1:6" x14ac:dyDescent="0.2">
      <c r="A891" s="2" t="s">
        <v>57</v>
      </c>
      <c r="B891" s="2">
        <v>17</v>
      </c>
      <c r="C891" s="2">
        <v>8</v>
      </c>
      <c r="D891" s="2">
        <v>2021</v>
      </c>
      <c r="E891" s="2">
        <v>31.31</v>
      </c>
      <c r="F891" s="2">
        <v>80.91</v>
      </c>
    </row>
    <row r="892" spans="1:6" x14ac:dyDescent="0.2">
      <c r="A892" s="2" t="s">
        <v>95</v>
      </c>
      <c r="B892" s="2">
        <v>24</v>
      </c>
      <c r="C892" s="2">
        <v>4</v>
      </c>
      <c r="D892" s="2">
        <v>2021</v>
      </c>
      <c r="E892" s="1" t="s">
        <v>94</v>
      </c>
      <c r="F892" s="2">
        <v>80.7</v>
      </c>
    </row>
    <row r="893" spans="1:6" x14ac:dyDescent="0.2">
      <c r="A893" s="2" t="s">
        <v>91</v>
      </c>
      <c r="B893" s="2">
        <v>5</v>
      </c>
      <c r="C893" s="2">
        <v>4</v>
      </c>
      <c r="D893" s="2">
        <v>2021</v>
      </c>
      <c r="E893" s="2">
        <v>96.3</v>
      </c>
      <c r="F893" s="2">
        <v>80.7</v>
      </c>
    </row>
    <row r="894" spans="1:6" x14ac:dyDescent="0.2">
      <c r="A894" s="2" t="s">
        <v>73</v>
      </c>
      <c r="B894" s="2">
        <v>5</v>
      </c>
      <c r="C894" s="2">
        <v>6</v>
      </c>
      <c r="D894" s="2">
        <v>2021</v>
      </c>
      <c r="E894" s="2">
        <v>38.4</v>
      </c>
      <c r="F894" s="2">
        <v>80.7</v>
      </c>
    </row>
    <row r="895" spans="1:6" x14ac:dyDescent="0.2">
      <c r="A895" s="2" t="s">
        <v>34</v>
      </c>
      <c r="B895" s="2">
        <v>4</v>
      </c>
      <c r="C895" s="2">
        <v>1</v>
      </c>
      <c r="D895" s="2">
        <v>2021</v>
      </c>
      <c r="E895" s="2">
        <v>91.45</v>
      </c>
      <c r="F895" s="2">
        <v>80.599999999999994</v>
      </c>
    </row>
    <row r="896" spans="1:6" x14ac:dyDescent="0.2">
      <c r="A896" s="2" t="s">
        <v>55</v>
      </c>
      <c r="B896" s="2">
        <v>18</v>
      </c>
      <c r="C896" s="2">
        <v>8</v>
      </c>
      <c r="D896" s="2">
        <v>2021</v>
      </c>
      <c r="E896" s="2">
        <v>39.369999999999997</v>
      </c>
      <c r="F896" s="2">
        <v>80.599999999999994</v>
      </c>
    </row>
    <row r="897" spans="1:6" x14ac:dyDescent="0.2">
      <c r="A897" s="2" t="s">
        <v>92</v>
      </c>
      <c r="B897" s="2">
        <v>7</v>
      </c>
      <c r="C897" s="2">
        <v>6</v>
      </c>
      <c r="D897" s="2">
        <v>2021</v>
      </c>
      <c r="E897" s="2">
        <v>66.3</v>
      </c>
      <c r="F897" s="2">
        <v>80.400000000000006</v>
      </c>
    </row>
    <row r="898" spans="1:6" x14ac:dyDescent="0.2">
      <c r="A898" s="2" t="s">
        <v>73</v>
      </c>
      <c r="B898" s="2">
        <v>5</v>
      </c>
      <c r="C898" s="2">
        <v>2</v>
      </c>
      <c r="D898" s="2">
        <v>2021</v>
      </c>
      <c r="E898" s="2">
        <v>110.32</v>
      </c>
      <c r="F898" s="2">
        <v>80.36</v>
      </c>
    </row>
    <row r="899" spans="1:6" x14ac:dyDescent="0.2">
      <c r="A899" s="2" t="s">
        <v>43</v>
      </c>
      <c r="B899" s="2">
        <v>15</v>
      </c>
      <c r="C899" s="2">
        <v>12</v>
      </c>
      <c r="D899" s="2">
        <v>2021</v>
      </c>
      <c r="E899" s="2">
        <v>111.29</v>
      </c>
      <c r="F899" s="2">
        <v>80.290000000000006</v>
      </c>
    </row>
    <row r="900" spans="1:6" x14ac:dyDescent="0.2">
      <c r="A900" s="2" t="s">
        <v>58</v>
      </c>
      <c r="B900" s="2">
        <v>16</v>
      </c>
      <c r="C900" s="2">
        <v>12</v>
      </c>
      <c r="D900" s="2">
        <v>2021</v>
      </c>
      <c r="E900" s="2">
        <v>95.79</v>
      </c>
      <c r="F900" s="2">
        <v>80.290000000000006</v>
      </c>
    </row>
    <row r="901" spans="1:6" x14ac:dyDescent="0.2">
      <c r="A901" s="2" t="s">
        <v>76</v>
      </c>
      <c r="B901" s="2">
        <v>9</v>
      </c>
      <c r="C901" s="2">
        <v>10</v>
      </c>
      <c r="D901" s="2">
        <v>2021</v>
      </c>
      <c r="E901" s="2">
        <v>82.77</v>
      </c>
      <c r="F901" s="2">
        <v>80.290000000000006</v>
      </c>
    </row>
    <row r="902" spans="1:6" x14ac:dyDescent="0.2">
      <c r="A902" s="2" t="s">
        <v>41</v>
      </c>
      <c r="B902" s="2">
        <v>15</v>
      </c>
      <c r="C902" s="2">
        <v>3</v>
      </c>
      <c r="D902" s="2">
        <v>2021</v>
      </c>
      <c r="E902" s="2">
        <v>65.41</v>
      </c>
      <c r="F902" s="2">
        <v>80.290000000000006</v>
      </c>
    </row>
    <row r="903" spans="1:6" x14ac:dyDescent="0.2">
      <c r="A903" s="2" t="s">
        <v>44</v>
      </c>
      <c r="B903" s="2">
        <v>1</v>
      </c>
      <c r="C903" s="2">
        <v>5</v>
      </c>
      <c r="D903" s="2">
        <v>2021</v>
      </c>
      <c r="E903" s="2">
        <v>40.92</v>
      </c>
      <c r="F903" s="2">
        <v>80.290000000000006</v>
      </c>
    </row>
    <row r="904" spans="1:6" x14ac:dyDescent="0.2">
      <c r="A904" s="2" t="s">
        <v>42</v>
      </c>
      <c r="B904" s="2">
        <v>12</v>
      </c>
      <c r="C904" s="2">
        <v>7</v>
      </c>
      <c r="D904" s="2">
        <v>2021</v>
      </c>
      <c r="E904" s="2">
        <v>25.73</v>
      </c>
      <c r="F904" s="2">
        <v>80.290000000000006</v>
      </c>
    </row>
    <row r="905" spans="1:6" x14ac:dyDescent="0.2">
      <c r="A905" s="2" t="s">
        <v>96</v>
      </c>
      <c r="B905" s="2">
        <v>3</v>
      </c>
      <c r="C905" s="2">
        <v>11</v>
      </c>
      <c r="D905" s="2">
        <v>2021</v>
      </c>
      <c r="E905" s="1" t="s">
        <v>94</v>
      </c>
      <c r="F905" s="2">
        <v>80.099999999999994</v>
      </c>
    </row>
    <row r="906" spans="1:6" x14ac:dyDescent="0.2">
      <c r="A906" s="2" t="s">
        <v>75</v>
      </c>
      <c r="B906" s="2">
        <v>2</v>
      </c>
      <c r="C906" s="2">
        <v>9</v>
      </c>
      <c r="D906" s="2">
        <v>2021</v>
      </c>
      <c r="E906" s="2">
        <v>48.3</v>
      </c>
      <c r="F906" s="2">
        <v>80.099999999999994</v>
      </c>
    </row>
    <row r="907" spans="1:6" x14ac:dyDescent="0.2">
      <c r="A907" s="2" t="s">
        <v>62</v>
      </c>
      <c r="B907" s="2">
        <v>1</v>
      </c>
      <c r="C907" s="2">
        <v>1</v>
      </c>
      <c r="D907" s="2">
        <v>2021</v>
      </c>
      <c r="E907" s="2">
        <v>119.97</v>
      </c>
      <c r="F907" s="2">
        <v>79.98</v>
      </c>
    </row>
    <row r="908" spans="1:6" x14ac:dyDescent="0.2">
      <c r="A908" s="2" t="s">
        <v>47</v>
      </c>
      <c r="B908" s="2">
        <v>19</v>
      </c>
      <c r="C908" s="2">
        <v>3</v>
      </c>
      <c r="D908" s="2">
        <v>2021</v>
      </c>
      <c r="E908" s="2">
        <v>62.62</v>
      </c>
      <c r="F908" s="2">
        <v>79.98</v>
      </c>
    </row>
    <row r="909" spans="1:6" x14ac:dyDescent="0.2">
      <c r="A909" s="2" t="s">
        <v>35</v>
      </c>
      <c r="B909" s="2">
        <v>9</v>
      </c>
      <c r="C909" s="2">
        <v>1</v>
      </c>
      <c r="D909" s="2">
        <v>2021</v>
      </c>
      <c r="E909" s="2">
        <v>109.43</v>
      </c>
      <c r="F909" s="2">
        <v>79.67</v>
      </c>
    </row>
    <row r="910" spans="1:6" x14ac:dyDescent="0.2">
      <c r="A910" s="2" t="s">
        <v>45</v>
      </c>
      <c r="B910" s="2">
        <v>18</v>
      </c>
      <c r="C910" s="2">
        <v>3</v>
      </c>
      <c r="D910" s="2">
        <v>2021</v>
      </c>
      <c r="E910" s="2">
        <v>62</v>
      </c>
      <c r="F910" s="2">
        <v>79.67</v>
      </c>
    </row>
    <row r="911" spans="1:6" x14ac:dyDescent="0.2">
      <c r="A911" s="2" t="s">
        <v>57</v>
      </c>
      <c r="B911" s="2">
        <v>17</v>
      </c>
      <c r="C911" s="2">
        <v>7</v>
      </c>
      <c r="D911" s="2">
        <v>2021</v>
      </c>
      <c r="E911" s="2">
        <v>31.93</v>
      </c>
      <c r="F911" s="2">
        <v>79.67</v>
      </c>
    </row>
    <row r="912" spans="1:6" x14ac:dyDescent="0.2">
      <c r="A912" s="2" t="s">
        <v>37</v>
      </c>
      <c r="B912" s="2">
        <v>12</v>
      </c>
      <c r="C912" s="2">
        <v>2</v>
      </c>
      <c r="D912" s="2">
        <v>2021</v>
      </c>
      <c r="E912" s="2">
        <v>98.28</v>
      </c>
      <c r="F912" s="2">
        <v>79.52</v>
      </c>
    </row>
    <row r="913" spans="1:6" x14ac:dyDescent="0.2">
      <c r="A913" s="2" t="s">
        <v>87</v>
      </c>
      <c r="B913" s="2">
        <v>1</v>
      </c>
      <c r="C913" s="2">
        <v>11</v>
      </c>
      <c r="D913" s="2">
        <v>2021</v>
      </c>
      <c r="E913" s="2">
        <v>129</v>
      </c>
      <c r="F913" s="2">
        <v>79.5</v>
      </c>
    </row>
    <row r="914" spans="1:6" x14ac:dyDescent="0.2">
      <c r="A914" s="2" t="s">
        <v>57</v>
      </c>
      <c r="B914" s="2">
        <v>17</v>
      </c>
      <c r="C914" s="2">
        <v>1</v>
      </c>
      <c r="D914" s="2">
        <v>2021</v>
      </c>
      <c r="E914" s="2">
        <v>141.66999999999999</v>
      </c>
      <c r="F914" s="2">
        <v>79.36</v>
      </c>
    </row>
    <row r="915" spans="1:6" x14ac:dyDescent="0.2">
      <c r="A915" s="2" t="s">
        <v>80</v>
      </c>
      <c r="B915" s="2">
        <v>12</v>
      </c>
      <c r="C915" s="2">
        <v>1</v>
      </c>
      <c r="D915" s="2">
        <v>2021</v>
      </c>
      <c r="E915" s="2">
        <v>113.77</v>
      </c>
      <c r="F915" s="2">
        <v>79.36</v>
      </c>
    </row>
    <row r="916" spans="1:6" x14ac:dyDescent="0.2">
      <c r="A916" s="2" t="s">
        <v>67</v>
      </c>
      <c r="B916" s="2">
        <v>13</v>
      </c>
      <c r="C916" s="2">
        <v>12</v>
      </c>
      <c r="D916" s="2">
        <v>2021</v>
      </c>
      <c r="E916" s="2">
        <v>111.29</v>
      </c>
      <c r="F916" s="2">
        <v>79.36</v>
      </c>
    </row>
    <row r="917" spans="1:6" x14ac:dyDescent="0.2">
      <c r="A917" s="2" t="s">
        <v>87</v>
      </c>
      <c r="B917" s="2">
        <v>1</v>
      </c>
      <c r="C917" s="2">
        <v>8</v>
      </c>
      <c r="D917" s="2">
        <v>2021</v>
      </c>
      <c r="E917" s="2">
        <v>72.849999999999994</v>
      </c>
      <c r="F917" s="2">
        <v>79.36</v>
      </c>
    </row>
    <row r="918" spans="1:6" x14ac:dyDescent="0.2">
      <c r="A918" s="2" t="s">
        <v>46</v>
      </c>
      <c r="B918" s="2">
        <v>9</v>
      </c>
      <c r="C918" s="2">
        <v>10</v>
      </c>
      <c r="D918" s="2">
        <v>2021</v>
      </c>
      <c r="E918" s="2">
        <v>63.86</v>
      </c>
      <c r="F918" s="2">
        <v>79.36</v>
      </c>
    </row>
    <row r="919" spans="1:6" x14ac:dyDescent="0.2">
      <c r="A919" s="2" t="s">
        <v>92</v>
      </c>
      <c r="B919" s="2">
        <v>7</v>
      </c>
      <c r="C919" s="2">
        <v>7</v>
      </c>
      <c r="D919" s="2">
        <v>2021</v>
      </c>
      <c r="E919" s="2">
        <v>63.24</v>
      </c>
      <c r="F919" s="2">
        <v>79.36</v>
      </c>
    </row>
    <row r="920" spans="1:6" x14ac:dyDescent="0.2">
      <c r="A920" s="2" t="s">
        <v>59</v>
      </c>
      <c r="B920" s="2">
        <v>11</v>
      </c>
      <c r="C920" s="2">
        <v>8</v>
      </c>
      <c r="D920" s="2">
        <v>2021</v>
      </c>
      <c r="E920" s="2">
        <v>39.369999999999997</v>
      </c>
      <c r="F920" s="2">
        <v>79.36</v>
      </c>
    </row>
    <row r="921" spans="1:6" x14ac:dyDescent="0.2">
      <c r="A921" s="2" t="s">
        <v>34</v>
      </c>
      <c r="B921" s="2">
        <v>4</v>
      </c>
      <c r="C921" s="2">
        <v>8</v>
      </c>
      <c r="D921" s="2">
        <v>2021</v>
      </c>
      <c r="E921" s="2">
        <v>21.7</v>
      </c>
      <c r="F921" s="2">
        <v>79.36</v>
      </c>
    </row>
    <row r="922" spans="1:6" x14ac:dyDescent="0.2">
      <c r="A922" s="2" t="s">
        <v>91</v>
      </c>
      <c r="B922" s="2">
        <v>5</v>
      </c>
      <c r="C922" s="2">
        <v>2</v>
      </c>
      <c r="D922" s="2">
        <v>2021</v>
      </c>
      <c r="E922" s="2">
        <v>138.6</v>
      </c>
      <c r="F922" s="2">
        <v>79.239999999999995</v>
      </c>
    </row>
    <row r="923" spans="1:6" x14ac:dyDescent="0.2">
      <c r="A923" s="2" t="s">
        <v>69</v>
      </c>
      <c r="B923" s="2">
        <v>12</v>
      </c>
      <c r="C923" s="2">
        <v>2</v>
      </c>
      <c r="D923" s="2">
        <v>2021</v>
      </c>
      <c r="E923" s="2">
        <v>122.92</v>
      </c>
      <c r="F923" s="2">
        <v>79.239999999999995</v>
      </c>
    </row>
    <row r="924" spans="1:6" x14ac:dyDescent="0.2">
      <c r="A924" s="2" t="s">
        <v>64</v>
      </c>
      <c r="B924" s="2">
        <v>21</v>
      </c>
      <c r="C924" s="2">
        <v>11</v>
      </c>
      <c r="D924" s="2">
        <v>2021</v>
      </c>
      <c r="E924" s="2">
        <v>102.9</v>
      </c>
      <c r="F924" s="2">
        <v>79.2</v>
      </c>
    </row>
    <row r="925" spans="1:6" x14ac:dyDescent="0.2">
      <c r="A925" s="2" t="s">
        <v>35</v>
      </c>
      <c r="B925" s="2">
        <v>9</v>
      </c>
      <c r="C925" s="2">
        <v>4</v>
      </c>
      <c r="D925" s="2">
        <v>2021</v>
      </c>
      <c r="E925" s="2">
        <v>66</v>
      </c>
      <c r="F925" s="2">
        <v>79.2</v>
      </c>
    </row>
    <row r="926" spans="1:6" x14ac:dyDescent="0.2">
      <c r="A926" s="2" t="s">
        <v>95</v>
      </c>
      <c r="B926" s="2">
        <v>24</v>
      </c>
      <c r="C926" s="2">
        <v>12</v>
      </c>
      <c r="D926" s="2">
        <v>2021</v>
      </c>
      <c r="E926" s="1" t="s">
        <v>94</v>
      </c>
      <c r="F926" s="2">
        <v>79.05</v>
      </c>
    </row>
    <row r="927" spans="1:6" x14ac:dyDescent="0.2">
      <c r="A927" s="2" t="s">
        <v>92</v>
      </c>
      <c r="B927" s="2">
        <v>7</v>
      </c>
      <c r="C927" s="2">
        <v>10</v>
      </c>
      <c r="D927" s="2">
        <v>2021</v>
      </c>
      <c r="E927" s="2">
        <v>99.82</v>
      </c>
      <c r="F927" s="2">
        <v>79.05</v>
      </c>
    </row>
    <row r="928" spans="1:6" x14ac:dyDescent="0.2">
      <c r="A928" s="2" t="s">
        <v>91</v>
      </c>
      <c r="B928" s="2">
        <v>5</v>
      </c>
      <c r="C928" s="2">
        <v>8</v>
      </c>
      <c r="D928" s="2">
        <v>2021</v>
      </c>
      <c r="E928" s="2">
        <v>70.37</v>
      </c>
      <c r="F928" s="2">
        <v>79.05</v>
      </c>
    </row>
    <row r="929" spans="1:6" x14ac:dyDescent="0.2">
      <c r="A929" s="2" t="s">
        <v>60</v>
      </c>
      <c r="B929" s="2">
        <v>20</v>
      </c>
      <c r="C929" s="2">
        <v>5</v>
      </c>
      <c r="D929" s="2">
        <v>2021</v>
      </c>
      <c r="E929" s="2">
        <v>57.04</v>
      </c>
      <c r="F929" s="2">
        <v>79.05</v>
      </c>
    </row>
    <row r="930" spans="1:6" x14ac:dyDescent="0.2">
      <c r="A930" s="2" t="s">
        <v>66</v>
      </c>
      <c r="B930" s="2">
        <v>23</v>
      </c>
      <c r="C930" s="2">
        <v>8</v>
      </c>
      <c r="D930" s="2">
        <v>2021</v>
      </c>
      <c r="E930" s="2">
        <v>43.09</v>
      </c>
      <c r="F930" s="2">
        <v>79.05</v>
      </c>
    </row>
    <row r="931" spans="1:6" x14ac:dyDescent="0.2">
      <c r="A931" s="2" t="s">
        <v>91</v>
      </c>
      <c r="B931" s="2">
        <v>5</v>
      </c>
      <c r="C931" s="2">
        <v>6</v>
      </c>
      <c r="D931" s="2">
        <v>2021</v>
      </c>
      <c r="E931" s="2">
        <v>63.6</v>
      </c>
      <c r="F931" s="2">
        <v>78.900000000000006</v>
      </c>
    </row>
    <row r="932" spans="1:6" x14ac:dyDescent="0.2">
      <c r="A932" s="2" t="s">
        <v>47</v>
      </c>
      <c r="B932" s="2">
        <v>19</v>
      </c>
      <c r="C932" s="2">
        <v>6</v>
      </c>
      <c r="D932" s="2">
        <v>2021</v>
      </c>
      <c r="E932" s="2">
        <v>31.8</v>
      </c>
      <c r="F932" s="2">
        <v>78.900000000000006</v>
      </c>
    </row>
    <row r="933" spans="1:6" x14ac:dyDescent="0.2">
      <c r="A933" s="2" t="s">
        <v>89</v>
      </c>
      <c r="B933" s="2">
        <v>2</v>
      </c>
      <c r="C933" s="2">
        <v>12</v>
      </c>
      <c r="D933" s="2">
        <v>2021</v>
      </c>
      <c r="E933" s="2">
        <v>133.91999999999999</v>
      </c>
      <c r="F933" s="2">
        <v>78.739999999999995</v>
      </c>
    </row>
    <row r="934" spans="1:6" x14ac:dyDescent="0.2">
      <c r="A934" s="2" t="s">
        <v>64</v>
      </c>
      <c r="B934" s="2">
        <v>21</v>
      </c>
      <c r="C934" s="2">
        <v>3</v>
      </c>
      <c r="D934" s="2">
        <v>2021</v>
      </c>
      <c r="E934" s="2">
        <v>72.23</v>
      </c>
      <c r="F934" s="2">
        <v>78.739999999999995</v>
      </c>
    </row>
    <row r="935" spans="1:6" x14ac:dyDescent="0.2">
      <c r="A935" s="2" t="s">
        <v>33</v>
      </c>
      <c r="B935" s="2">
        <v>21</v>
      </c>
      <c r="C935" s="2">
        <v>3</v>
      </c>
      <c r="D935" s="2">
        <v>2021</v>
      </c>
      <c r="E935" s="2">
        <v>62.62</v>
      </c>
      <c r="F935" s="2">
        <v>78.739999999999995</v>
      </c>
    </row>
    <row r="936" spans="1:6" x14ac:dyDescent="0.2">
      <c r="A936" s="2" t="s">
        <v>92</v>
      </c>
      <c r="B936" s="2">
        <v>7</v>
      </c>
      <c r="C936" s="2">
        <v>2</v>
      </c>
      <c r="D936" s="2">
        <v>2021</v>
      </c>
      <c r="E936" s="2">
        <v>120.12</v>
      </c>
      <c r="F936" s="2">
        <v>78.680000000000007</v>
      </c>
    </row>
    <row r="937" spans="1:6" x14ac:dyDescent="0.2">
      <c r="A937" s="2" t="s">
        <v>53</v>
      </c>
      <c r="B937" s="2">
        <v>18</v>
      </c>
      <c r="C937" s="2">
        <v>2</v>
      </c>
      <c r="D937" s="2">
        <v>2021</v>
      </c>
      <c r="E937" s="2">
        <v>107.52</v>
      </c>
      <c r="F937" s="2">
        <v>78.680000000000007</v>
      </c>
    </row>
    <row r="938" spans="1:6" x14ac:dyDescent="0.2">
      <c r="A938" s="2" t="s">
        <v>60</v>
      </c>
      <c r="B938" s="2">
        <v>20</v>
      </c>
      <c r="C938" s="2">
        <v>4</v>
      </c>
      <c r="D938" s="2">
        <v>2021</v>
      </c>
      <c r="E938" s="2">
        <v>77.400000000000006</v>
      </c>
      <c r="F938" s="2">
        <v>78.599999999999994</v>
      </c>
    </row>
    <row r="939" spans="1:6" x14ac:dyDescent="0.2">
      <c r="A939" s="2" t="s">
        <v>63</v>
      </c>
      <c r="B939" s="2">
        <v>25</v>
      </c>
      <c r="C939" s="2">
        <v>6</v>
      </c>
      <c r="D939" s="2">
        <v>2021</v>
      </c>
      <c r="E939" s="2">
        <v>34.5</v>
      </c>
      <c r="F939" s="2">
        <v>78.599999999999994</v>
      </c>
    </row>
    <row r="940" spans="1:6" x14ac:dyDescent="0.2">
      <c r="A940" s="2" t="s">
        <v>93</v>
      </c>
      <c r="B940" s="2">
        <v>3</v>
      </c>
      <c r="C940" s="2">
        <v>12</v>
      </c>
      <c r="D940" s="2">
        <v>2021</v>
      </c>
      <c r="E940" s="2">
        <v>147.56</v>
      </c>
      <c r="F940" s="2">
        <v>78.430000000000007</v>
      </c>
    </row>
    <row r="941" spans="1:6" x14ac:dyDescent="0.2">
      <c r="A941" s="2" t="s">
        <v>47</v>
      </c>
      <c r="B941" s="2">
        <v>19</v>
      </c>
      <c r="C941" s="2">
        <v>10</v>
      </c>
      <c r="D941" s="2">
        <v>2021</v>
      </c>
      <c r="E941" s="2">
        <v>62.93</v>
      </c>
      <c r="F941" s="2">
        <v>78.430000000000007</v>
      </c>
    </row>
    <row r="942" spans="1:6" x14ac:dyDescent="0.2">
      <c r="A942" s="2" t="s">
        <v>34</v>
      </c>
      <c r="B942" s="2">
        <v>4</v>
      </c>
      <c r="C942" s="2">
        <v>10</v>
      </c>
      <c r="D942" s="2">
        <v>2021</v>
      </c>
      <c r="E942" s="2">
        <v>56.11</v>
      </c>
      <c r="F942" s="2">
        <v>78.430000000000007</v>
      </c>
    </row>
    <row r="943" spans="1:6" x14ac:dyDescent="0.2">
      <c r="A943" s="2" t="s">
        <v>40</v>
      </c>
      <c r="B943" s="2">
        <v>15</v>
      </c>
      <c r="C943" s="2">
        <v>5</v>
      </c>
      <c r="D943" s="2">
        <v>2021</v>
      </c>
      <c r="E943" s="2">
        <v>31.93</v>
      </c>
      <c r="F943" s="2">
        <v>78.430000000000007</v>
      </c>
    </row>
    <row r="944" spans="1:6" x14ac:dyDescent="0.2">
      <c r="A944" s="2" t="s">
        <v>40</v>
      </c>
      <c r="B944" s="2">
        <v>15</v>
      </c>
      <c r="C944" s="2">
        <v>2</v>
      </c>
      <c r="D944" s="2">
        <v>2021</v>
      </c>
      <c r="E944" s="2">
        <v>117.04</v>
      </c>
      <c r="F944" s="2">
        <v>78.400000000000006</v>
      </c>
    </row>
    <row r="945" spans="1:6" x14ac:dyDescent="0.2">
      <c r="A945" s="2" t="s">
        <v>75</v>
      </c>
      <c r="B945" s="2">
        <v>2</v>
      </c>
      <c r="C945" s="2">
        <v>2</v>
      </c>
      <c r="D945" s="2">
        <v>2021</v>
      </c>
      <c r="E945" s="2">
        <v>102.2</v>
      </c>
      <c r="F945" s="2">
        <v>78.400000000000006</v>
      </c>
    </row>
    <row r="946" spans="1:6" x14ac:dyDescent="0.2">
      <c r="A946" s="2" t="s">
        <v>55</v>
      </c>
      <c r="B946" s="2">
        <v>18</v>
      </c>
      <c r="C946" s="2">
        <v>2</v>
      </c>
      <c r="D946" s="2">
        <v>2021</v>
      </c>
      <c r="E946" s="2">
        <v>92.12</v>
      </c>
      <c r="F946" s="2">
        <v>78.400000000000006</v>
      </c>
    </row>
    <row r="947" spans="1:6" x14ac:dyDescent="0.2">
      <c r="A947" s="2" t="s">
        <v>0</v>
      </c>
      <c r="B947" s="2">
        <v>25</v>
      </c>
      <c r="C947" s="2">
        <v>3</v>
      </c>
      <c r="D947" s="2">
        <v>2021</v>
      </c>
      <c r="E947" s="1" t="s">
        <v>94</v>
      </c>
      <c r="F947" s="2">
        <v>78.12</v>
      </c>
    </row>
    <row r="948" spans="1:6" x14ac:dyDescent="0.2">
      <c r="A948" s="2" t="s">
        <v>92</v>
      </c>
      <c r="B948" s="2">
        <v>7</v>
      </c>
      <c r="C948" s="2">
        <v>1</v>
      </c>
      <c r="D948" s="2">
        <v>2021</v>
      </c>
      <c r="E948" s="2">
        <v>160.88999999999999</v>
      </c>
      <c r="F948" s="2">
        <v>78.12</v>
      </c>
    </row>
    <row r="949" spans="1:6" x14ac:dyDescent="0.2">
      <c r="A949" s="2" t="s">
        <v>55</v>
      </c>
      <c r="B949" s="2">
        <v>18</v>
      </c>
      <c r="C949" s="2">
        <v>1</v>
      </c>
      <c r="D949" s="2">
        <v>2021</v>
      </c>
      <c r="E949" s="2">
        <v>128.34</v>
      </c>
      <c r="F949" s="2">
        <v>78.12</v>
      </c>
    </row>
    <row r="950" spans="1:6" x14ac:dyDescent="0.2">
      <c r="A950" s="2" t="s">
        <v>92</v>
      </c>
      <c r="B950" s="2">
        <v>7</v>
      </c>
      <c r="C950" s="2">
        <v>12</v>
      </c>
      <c r="D950" s="2">
        <v>2021</v>
      </c>
      <c r="E950" s="2">
        <v>128.03</v>
      </c>
      <c r="F950" s="2">
        <v>78.12</v>
      </c>
    </row>
    <row r="951" spans="1:6" x14ac:dyDescent="0.2">
      <c r="A951" s="2" t="s">
        <v>87</v>
      </c>
      <c r="B951" s="2">
        <v>1</v>
      </c>
      <c r="C951" s="2">
        <v>3</v>
      </c>
      <c r="D951" s="2">
        <v>2021</v>
      </c>
      <c r="E951" s="2">
        <v>106.95</v>
      </c>
      <c r="F951" s="2">
        <v>78.12</v>
      </c>
    </row>
    <row r="952" spans="1:6" x14ac:dyDescent="0.2">
      <c r="A952" s="2" t="s">
        <v>44</v>
      </c>
      <c r="B952" s="2">
        <v>1</v>
      </c>
      <c r="C952" s="2">
        <v>10</v>
      </c>
      <c r="D952" s="2">
        <v>2021</v>
      </c>
      <c r="E952" s="2">
        <v>86.49</v>
      </c>
      <c r="F952" s="2">
        <v>78.12</v>
      </c>
    </row>
    <row r="953" spans="1:6" x14ac:dyDescent="0.2">
      <c r="A953" s="2" t="s">
        <v>75</v>
      </c>
      <c r="B953" s="2">
        <v>2</v>
      </c>
      <c r="C953" s="2">
        <v>8</v>
      </c>
      <c r="D953" s="2">
        <v>2021</v>
      </c>
      <c r="E953" s="2">
        <v>41.23</v>
      </c>
      <c r="F953" s="2">
        <v>78.12</v>
      </c>
    </row>
    <row r="954" spans="1:6" x14ac:dyDescent="0.2">
      <c r="A954" s="2" t="s">
        <v>87</v>
      </c>
      <c r="B954" s="2">
        <v>1</v>
      </c>
      <c r="C954" s="2">
        <v>9</v>
      </c>
      <c r="D954" s="2">
        <v>2021</v>
      </c>
      <c r="E954" s="2">
        <v>77.400000000000006</v>
      </c>
      <c r="F954" s="2">
        <v>78</v>
      </c>
    </row>
    <row r="955" spans="1:6" x14ac:dyDescent="0.2">
      <c r="A955" s="2" t="s">
        <v>96</v>
      </c>
      <c r="B955" s="2">
        <v>3</v>
      </c>
      <c r="C955" s="2">
        <v>10</v>
      </c>
      <c r="D955" s="2">
        <v>2021</v>
      </c>
      <c r="E955" s="1" t="s">
        <v>94</v>
      </c>
      <c r="F955" s="2">
        <v>77.81</v>
      </c>
    </row>
    <row r="956" spans="1:6" x14ac:dyDescent="0.2">
      <c r="A956" s="2" t="s">
        <v>0</v>
      </c>
      <c r="B956" s="2">
        <v>25</v>
      </c>
      <c r="C956" s="2">
        <v>12</v>
      </c>
      <c r="D956" s="2">
        <v>2021</v>
      </c>
      <c r="E956" s="1" t="s">
        <v>94</v>
      </c>
      <c r="F956" s="2">
        <v>77.81</v>
      </c>
    </row>
    <row r="957" spans="1:6" x14ac:dyDescent="0.2">
      <c r="A957" s="2" t="s">
        <v>39</v>
      </c>
      <c r="B957" s="2">
        <v>22</v>
      </c>
      <c r="C957" s="2">
        <v>12</v>
      </c>
      <c r="D957" s="2">
        <v>2021</v>
      </c>
      <c r="E957" s="2">
        <v>110.05</v>
      </c>
      <c r="F957" s="2">
        <v>77.81</v>
      </c>
    </row>
    <row r="958" spans="1:6" x14ac:dyDescent="0.2">
      <c r="A958" s="2" t="s">
        <v>91</v>
      </c>
      <c r="B958" s="2">
        <v>5</v>
      </c>
      <c r="C958" s="2">
        <v>7</v>
      </c>
      <c r="D958" s="2">
        <v>2021</v>
      </c>
      <c r="E958" s="2">
        <v>63.55</v>
      </c>
      <c r="F958" s="2">
        <v>77.81</v>
      </c>
    </row>
    <row r="959" spans="1:6" x14ac:dyDescent="0.2">
      <c r="A959" s="2" t="s">
        <v>39</v>
      </c>
      <c r="B959" s="2">
        <v>22</v>
      </c>
      <c r="C959" s="2">
        <v>10</v>
      </c>
      <c r="D959" s="2">
        <v>2021</v>
      </c>
      <c r="E959" s="2">
        <v>57.66</v>
      </c>
      <c r="F959" s="2">
        <v>77.81</v>
      </c>
    </row>
    <row r="960" spans="1:6" x14ac:dyDescent="0.2">
      <c r="A960" s="2" t="s">
        <v>92</v>
      </c>
      <c r="B960" s="2">
        <v>7</v>
      </c>
      <c r="C960" s="2">
        <v>4</v>
      </c>
      <c r="D960" s="2">
        <v>2021</v>
      </c>
      <c r="E960" s="2">
        <v>95.4</v>
      </c>
      <c r="F960" s="2">
        <v>77.7</v>
      </c>
    </row>
    <row r="961" spans="1:6" x14ac:dyDescent="0.2">
      <c r="A961" s="2" t="s">
        <v>80</v>
      </c>
      <c r="B961" s="2">
        <v>12</v>
      </c>
      <c r="C961" s="2">
        <v>4</v>
      </c>
      <c r="D961" s="2">
        <v>2021</v>
      </c>
      <c r="E961" s="2">
        <v>83.1</v>
      </c>
      <c r="F961" s="2">
        <v>77.7</v>
      </c>
    </row>
    <row r="962" spans="1:6" x14ac:dyDescent="0.2">
      <c r="A962" s="2" t="s">
        <v>48</v>
      </c>
      <c r="B962" s="2">
        <v>24</v>
      </c>
      <c r="C962" s="2">
        <v>9</v>
      </c>
      <c r="D962" s="2">
        <v>2021</v>
      </c>
      <c r="E962" s="2">
        <v>46.8</v>
      </c>
      <c r="F962" s="2">
        <v>77.7</v>
      </c>
    </row>
    <row r="963" spans="1:6" x14ac:dyDescent="0.2">
      <c r="A963" s="2" t="s">
        <v>52</v>
      </c>
      <c r="B963" s="2">
        <v>1</v>
      </c>
      <c r="C963" s="2">
        <v>2</v>
      </c>
      <c r="D963" s="2">
        <v>2021</v>
      </c>
      <c r="E963" s="2">
        <v>107.8</v>
      </c>
      <c r="F963" s="2">
        <v>77.56</v>
      </c>
    </row>
    <row r="964" spans="1:6" x14ac:dyDescent="0.2">
      <c r="A964" s="2" t="s">
        <v>46</v>
      </c>
      <c r="B964" s="2">
        <v>9</v>
      </c>
      <c r="C964" s="2">
        <v>1</v>
      </c>
      <c r="D964" s="2">
        <v>2021</v>
      </c>
      <c r="E964" s="2">
        <v>107.26</v>
      </c>
      <c r="F964" s="2">
        <v>77.5</v>
      </c>
    </row>
    <row r="965" spans="1:6" x14ac:dyDescent="0.2">
      <c r="A965" s="2" t="s">
        <v>82</v>
      </c>
      <c r="B965" s="2">
        <v>8</v>
      </c>
      <c r="C965" s="2">
        <v>3</v>
      </c>
      <c r="D965" s="2">
        <v>2021</v>
      </c>
      <c r="E965" s="2">
        <v>84.32</v>
      </c>
      <c r="F965" s="2">
        <v>77.5</v>
      </c>
    </row>
    <row r="966" spans="1:6" x14ac:dyDescent="0.2">
      <c r="A966" s="2" t="s">
        <v>48</v>
      </c>
      <c r="B966" s="2">
        <v>24</v>
      </c>
      <c r="C966" s="2">
        <v>10</v>
      </c>
      <c r="D966" s="2">
        <v>2021</v>
      </c>
      <c r="E966" s="2">
        <v>77.5</v>
      </c>
      <c r="F966" s="2">
        <v>77.5</v>
      </c>
    </row>
    <row r="967" spans="1:6" x14ac:dyDescent="0.2">
      <c r="A967" s="2" t="s">
        <v>93</v>
      </c>
      <c r="B967" s="2">
        <v>3</v>
      </c>
      <c r="C967" s="2">
        <v>7</v>
      </c>
      <c r="D967" s="2">
        <v>2021</v>
      </c>
      <c r="E967" s="2">
        <v>76.88</v>
      </c>
      <c r="F967" s="2">
        <v>77.5</v>
      </c>
    </row>
    <row r="968" spans="1:6" x14ac:dyDescent="0.2">
      <c r="A968" s="2" t="s">
        <v>48</v>
      </c>
      <c r="B968" s="2">
        <v>24</v>
      </c>
      <c r="C968" s="2">
        <v>3</v>
      </c>
      <c r="D968" s="2">
        <v>2021</v>
      </c>
      <c r="E968" s="2">
        <v>70.989999999999995</v>
      </c>
      <c r="F968" s="2">
        <v>77.5</v>
      </c>
    </row>
    <row r="969" spans="1:6" x14ac:dyDescent="0.2">
      <c r="A969" s="2" t="s">
        <v>66</v>
      </c>
      <c r="B969" s="2">
        <v>23</v>
      </c>
      <c r="C969" s="2">
        <v>5</v>
      </c>
      <c r="D969" s="2">
        <v>2021</v>
      </c>
      <c r="E969" s="2">
        <v>48.98</v>
      </c>
      <c r="F969" s="2">
        <v>77.5</v>
      </c>
    </row>
    <row r="970" spans="1:6" x14ac:dyDescent="0.2">
      <c r="A970" s="2" t="s">
        <v>36</v>
      </c>
      <c r="B970" s="2">
        <v>12</v>
      </c>
      <c r="C970" s="2">
        <v>5</v>
      </c>
      <c r="D970" s="2">
        <v>2021</v>
      </c>
      <c r="E970" s="2">
        <v>35.340000000000003</v>
      </c>
      <c r="F970" s="2">
        <v>77.5</v>
      </c>
    </row>
    <row r="971" spans="1:6" x14ac:dyDescent="0.2">
      <c r="A971" s="2" t="s">
        <v>63</v>
      </c>
      <c r="B971" s="2">
        <v>25</v>
      </c>
      <c r="C971" s="2">
        <v>11</v>
      </c>
      <c r="D971" s="2">
        <v>2021</v>
      </c>
      <c r="E971" s="2">
        <v>94.2</v>
      </c>
      <c r="F971" s="2">
        <v>77.400000000000006</v>
      </c>
    </row>
    <row r="972" spans="1:6" x14ac:dyDescent="0.2">
      <c r="A972" s="2" t="s">
        <v>57</v>
      </c>
      <c r="B972" s="2">
        <v>17</v>
      </c>
      <c r="C972" s="2">
        <v>9</v>
      </c>
      <c r="D972" s="2">
        <v>2021</v>
      </c>
      <c r="E972" s="2">
        <v>39.299999999999997</v>
      </c>
      <c r="F972" s="2">
        <v>77.400000000000006</v>
      </c>
    </row>
    <row r="973" spans="1:6" x14ac:dyDescent="0.2">
      <c r="A973" s="2" t="s">
        <v>37</v>
      </c>
      <c r="B973" s="2">
        <v>12</v>
      </c>
      <c r="C973" s="2">
        <v>9</v>
      </c>
      <c r="D973" s="2">
        <v>2021</v>
      </c>
      <c r="E973" s="2">
        <v>35.700000000000003</v>
      </c>
      <c r="F973" s="2">
        <v>77.400000000000006</v>
      </c>
    </row>
    <row r="974" spans="1:6" x14ac:dyDescent="0.2">
      <c r="A974" s="2" t="s">
        <v>39</v>
      </c>
      <c r="B974" s="2">
        <v>22</v>
      </c>
      <c r="C974" s="2">
        <v>9</v>
      </c>
      <c r="D974" s="2">
        <v>2021</v>
      </c>
      <c r="E974" s="2">
        <v>25.2</v>
      </c>
      <c r="F974" s="2">
        <v>77.400000000000006</v>
      </c>
    </row>
    <row r="975" spans="1:6" x14ac:dyDescent="0.2">
      <c r="A975" s="2" t="s">
        <v>85</v>
      </c>
      <c r="B975" s="2">
        <v>3</v>
      </c>
      <c r="C975" s="2">
        <v>2</v>
      </c>
      <c r="D975" s="2">
        <v>2021</v>
      </c>
      <c r="E975" s="2">
        <v>113.4</v>
      </c>
      <c r="F975" s="2">
        <v>77.28</v>
      </c>
    </row>
    <row r="976" spans="1:6" x14ac:dyDescent="0.2">
      <c r="A976" s="2" t="s">
        <v>95</v>
      </c>
      <c r="B976" s="2">
        <v>24</v>
      </c>
      <c r="C976" s="2">
        <v>1</v>
      </c>
      <c r="D976" s="2">
        <v>2021</v>
      </c>
      <c r="E976" s="1" t="s">
        <v>94</v>
      </c>
      <c r="F976" s="2">
        <v>77.19</v>
      </c>
    </row>
    <row r="977" spans="1:6" x14ac:dyDescent="0.2">
      <c r="A977" s="2" t="s">
        <v>62</v>
      </c>
      <c r="B977" s="2">
        <v>1</v>
      </c>
      <c r="C977" s="2">
        <v>3</v>
      </c>
      <c r="D977" s="2">
        <v>2021</v>
      </c>
      <c r="E977" s="2">
        <v>84.63</v>
      </c>
      <c r="F977" s="2">
        <v>77.19</v>
      </c>
    </row>
    <row r="978" spans="1:6" x14ac:dyDescent="0.2">
      <c r="A978" s="2" t="s">
        <v>36</v>
      </c>
      <c r="B978" s="2">
        <v>12</v>
      </c>
      <c r="C978" s="2">
        <v>7</v>
      </c>
      <c r="D978" s="2">
        <v>2021</v>
      </c>
      <c r="E978" s="2">
        <v>29.45</v>
      </c>
      <c r="F978" s="2">
        <v>77.19</v>
      </c>
    </row>
    <row r="979" spans="1:6" x14ac:dyDescent="0.2">
      <c r="A979" s="2" t="s">
        <v>56</v>
      </c>
      <c r="B979" s="2">
        <v>14</v>
      </c>
      <c r="C979" s="2">
        <v>4</v>
      </c>
      <c r="D979" s="2">
        <v>2021</v>
      </c>
      <c r="E979" s="2">
        <v>81</v>
      </c>
      <c r="F979" s="2">
        <v>77.099999999999994</v>
      </c>
    </row>
    <row r="980" spans="1:6" x14ac:dyDescent="0.2">
      <c r="A980" s="2" t="s">
        <v>80</v>
      </c>
      <c r="B980" s="2">
        <v>12</v>
      </c>
      <c r="C980" s="2">
        <v>2</v>
      </c>
      <c r="D980" s="2">
        <v>2021</v>
      </c>
      <c r="E980" s="2">
        <v>106.12</v>
      </c>
      <c r="F980" s="2">
        <v>77</v>
      </c>
    </row>
    <row r="981" spans="1:6" x14ac:dyDescent="0.2">
      <c r="A981" s="2" t="s">
        <v>96</v>
      </c>
      <c r="B981" s="2">
        <v>3</v>
      </c>
      <c r="C981" s="2">
        <v>1</v>
      </c>
      <c r="D981" s="2">
        <v>2021</v>
      </c>
      <c r="E981" s="1" t="s">
        <v>94</v>
      </c>
      <c r="F981" s="2">
        <v>76.88</v>
      </c>
    </row>
    <row r="982" spans="1:6" x14ac:dyDescent="0.2">
      <c r="A982" s="2" t="s">
        <v>45</v>
      </c>
      <c r="B982" s="2">
        <v>18</v>
      </c>
      <c r="C982" s="2">
        <v>10</v>
      </c>
      <c r="D982" s="2">
        <v>2021</v>
      </c>
      <c r="E982" s="2">
        <v>60.76</v>
      </c>
      <c r="F982" s="2">
        <v>76.88</v>
      </c>
    </row>
    <row r="983" spans="1:6" x14ac:dyDescent="0.2">
      <c r="A983" s="2" t="s">
        <v>82</v>
      </c>
      <c r="B983" s="2">
        <v>8</v>
      </c>
      <c r="C983" s="2">
        <v>8</v>
      </c>
      <c r="D983" s="2">
        <v>2021</v>
      </c>
      <c r="E983" s="2">
        <v>45.26</v>
      </c>
      <c r="F983" s="2">
        <v>76.88</v>
      </c>
    </row>
    <row r="984" spans="1:6" x14ac:dyDescent="0.2">
      <c r="A984" s="2" t="s">
        <v>58</v>
      </c>
      <c r="B984" s="2">
        <v>16</v>
      </c>
      <c r="C984" s="2">
        <v>5</v>
      </c>
      <c r="D984" s="2">
        <v>2021</v>
      </c>
      <c r="E984" s="2">
        <v>37.200000000000003</v>
      </c>
      <c r="F984" s="2">
        <v>76.88</v>
      </c>
    </row>
    <row r="985" spans="1:6" x14ac:dyDescent="0.2">
      <c r="A985" s="2" t="s">
        <v>38</v>
      </c>
      <c r="B985" s="2">
        <v>21</v>
      </c>
      <c r="C985" s="2">
        <v>8</v>
      </c>
      <c r="D985" s="2">
        <v>2021</v>
      </c>
      <c r="E985" s="2">
        <v>37.200000000000003</v>
      </c>
      <c r="F985" s="2">
        <v>76.88</v>
      </c>
    </row>
    <row r="986" spans="1:6" x14ac:dyDescent="0.2">
      <c r="A986" s="2" t="s">
        <v>47</v>
      </c>
      <c r="B986" s="2">
        <v>19</v>
      </c>
      <c r="C986" s="2">
        <v>5</v>
      </c>
      <c r="D986" s="2">
        <v>2021</v>
      </c>
      <c r="E986" s="2">
        <v>35.340000000000003</v>
      </c>
      <c r="F986" s="2">
        <v>76.88</v>
      </c>
    </row>
    <row r="987" spans="1:6" x14ac:dyDescent="0.2">
      <c r="A987" s="2" t="s">
        <v>40</v>
      </c>
      <c r="B987" s="2">
        <v>15</v>
      </c>
      <c r="C987" s="2">
        <v>4</v>
      </c>
      <c r="D987" s="2">
        <v>2021</v>
      </c>
      <c r="E987" s="2">
        <v>70.5</v>
      </c>
      <c r="F987" s="2">
        <v>76.8</v>
      </c>
    </row>
    <row r="988" spans="1:6" x14ac:dyDescent="0.2">
      <c r="A988" s="2" t="s">
        <v>34</v>
      </c>
      <c r="B988" s="2">
        <v>4</v>
      </c>
      <c r="C988" s="2">
        <v>4</v>
      </c>
      <c r="D988" s="2">
        <v>2021</v>
      </c>
      <c r="E988" s="2">
        <v>56.7</v>
      </c>
      <c r="F988" s="2">
        <v>76.8</v>
      </c>
    </row>
    <row r="989" spans="1:6" x14ac:dyDescent="0.2">
      <c r="A989" s="2" t="s">
        <v>80</v>
      </c>
      <c r="B989" s="2">
        <v>12</v>
      </c>
      <c r="C989" s="2">
        <v>9</v>
      </c>
      <c r="D989" s="2">
        <v>2021</v>
      </c>
      <c r="E989" s="2">
        <v>54.9</v>
      </c>
      <c r="F989" s="2">
        <v>76.8</v>
      </c>
    </row>
    <row r="990" spans="1:6" x14ac:dyDescent="0.2">
      <c r="A990" s="2" t="s">
        <v>58</v>
      </c>
      <c r="B990" s="2">
        <v>16</v>
      </c>
      <c r="C990" s="2">
        <v>9</v>
      </c>
      <c r="D990" s="2">
        <v>2021</v>
      </c>
      <c r="E990" s="2">
        <v>32.4</v>
      </c>
      <c r="F990" s="2">
        <v>76.8</v>
      </c>
    </row>
    <row r="991" spans="1:6" x14ac:dyDescent="0.2">
      <c r="A991" s="2" t="s">
        <v>68</v>
      </c>
      <c r="B991" s="2">
        <v>11</v>
      </c>
      <c r="C991" s="2">
        <v>2</v>
      </c>
      <c r="D991" s="2">
        <v>2021</v>
      </c>
      <c r="E991" s="2">
        <v>117.04</v>
      </c>
      <c r="F991" s="2">
        <v>76.72</v>
      </c>
    </row>
    <row r="992" spans="1:6" x14ac:dyDescent="0.2">
      <c r="A992" s="2" t="s">
        <v>38</v>
      </c>
      <c r="B992" s="2">
        <v>21</v>
      </c>
      <c r="C992" s="2">
        <v>12</v>
      </c>
      <c r="D992" s="2">
        <v>2021</v>
      </c>
      <c r="E992" s="2">
        <v>114.39</v>
      </c>
      <c r="F992" s="2">
        <v>76.569999999999993</v>
      </c>
    </row>
    <row r="993" spans="1:6" x14ac:dyDescent="0.2">
      <c r="A993" s="2" t="s">
        <v>47</v>
      </c>
      <c r="B993" s="2">
        <v>19</v>
      </c>
      <c r="C993" s="2">
        <v>12</v>
      </c>
      <c r="D993" s="2">
        <v>2021</v>
      </c>
      <c r="E993" s="2">
        <v>96.72</v>
      </c>
      <c r="F993" s="2">
        <v>76.569999999999993</v>
      </c>
    </row>
    <row r="994" spans="1:6" x14ac:dyDescent="0.2">
      <c r="A994" s="2" t="s">
        <v>37</v>
      </c>
      <c r="B994" s="2">
        <v>12</v>
      </c>
      <c r="C994" s="2">
        <v>11</v>
      </c>
      <c r="D994" s="2">
        <v>2021</v>
      </c>
      <c r="E994" s="2">
        <v>80.099999999999994</v>
      </c>
      <c r="F994" s="2">
        <v>76.5</v>
      </c>
    </row>
    <row r="995" spans="1:6" x14ac:dyDescent="0.2">
      <c r="A995" s="2" t="s">
        <v>85</v>
      </c>
      <c r="B995" s="2">
        <v>3</v>
      </c>
      <c r="C995" s="2">
        <v>9</v>
      </c>
      <c r="D995" s="2">
        <v>2021</v>
      </c>
      <c r="E995" s="2">
        <v>72.599999999999994</v>
      </c>
      <c r="F995" s="2">
        <v>76.5</v>
      </c>
    </row>
    <row r="996" spans="1:6" x14ac:dyDescent="0.2">
      <c r="A996" s="2" t="s">
        <v>40</v>
      </c>
      <c r="B996" s="2">
        <v>15</v>
      </c>
      <c r="C996" s="2">
        <v>9</v>
      </c>
      <c r="D996" s="2">
        <v>2021</v>
      </c>
      <c r="E996" s="2">
        <v>42</v>
      </c>
      <c r="F996" s="2">
        <v>76.5</v>
      </c>
    </row>
    <row r="997" spans="1:6" x14ac:dyDescent="0.2">
      <c r="A997" s="2" t="s">
        <v>75</v>
      </c>
      <c r="B997" s="2">
        <v>2</v>
      </c>
      <c r="C997" s="2">
        <v>12</v>
      </c>
      <c r="D997" s="2">
        <v>2021</v>
      </c>
      <c r="E997" s="2">
        <v>126.17</v>
      </c>
      <c r="F997" s="2">
        <v>76.260000000000005</v>
      </c>
    </row>
    <row r="998" spans="1:6" x14ac:dyDescent="0.2">
      <c r="A998" s="2" t="s">
        <v>50</v>
      </c>
      <c r="B998" s="2">
        <v>24</v>
      </c>
      <c r="C998" s="2">
        <v>12</v>
      </c>
      <c r="D998" s="2">
        <v>2021</v>
      </c>
      <c r="E998" s="2">
        <v>93</v>
      </c>
      <c r="F998" s="2">
        <v>76.260000000000005</v>
      </c>
    </row>
    <row r="999" spans="1:6" x14ac:dyDescent="0.2">
      <c r="A999" s="2" t="s">
        <v>39</v>
      </c>
      <c r="B999" s="2">
        <v>22</v>
      </c>
      <c r="C999" s="2">
        <v>1</v>
      </c>
      <c r="D999" s="2">
        <v>2021</v>
      </c>
      <c r="E999" s="2">
        <v>82.15</v>
      </c>
      <c r="F999" s="2">
        <v>76.260000000000005</v>
      </c>
    </row>
    <row r="1000" spans="1:6" x14ac:dyDescent="0.2">
      <c r="A1000" s="2" t="s">
        <v>37</v>
      </c>
      <c r="B1000" s="2">
        <v>12</v>
      </c>
      <c r="C1000" s="2">
        <v>3</v>
      </c>
      <c r="D1000" s="2">
        <v>2021</v>
      </c>
      <c r="E1000" s="2">
        <v>63.86</v>
      </c>
      <c r="F1000" s="2">
        <v>76.260000000000005</v>
      </c>
    </row>
    <row r="1001" spans="1:6" x14ac:dyDescent="0.2">
      <c r="A1001" s="2" t="s">
        <v>55</v>
      </c>
      <c r="B1001" s="2">
        <v>18</v>
      </c>
      <c r="C1001" s="2">
        <v>6</v>
      </c>
      <c r="D1001" s="2">
        <v>2021</v>
      </c>
      <c r="E1001" s="2">
        <v>28.8</v>
      </c>
      <c r="F1001" s="2">
        <v>76.2</v>
      </c>
    </row>
    <row r="1002" spans="1:6" x14ac:dyDescent="0.2">
      <c r="A1002" s="2" t="s">
        <v>70</v>
      </c>
      <c r="B1002" s="2">
        <v>16</v>
      </c>
      <c r="C1002" s="2">
        <v>2</v>
      </c>
      <c r="D1002" s="2">
        <v>2021</v>
      </c>
      <c r="E1002" s="2">
        <v>120.4</v>
      </c>
      <c r="F1002" s="2">
        <v>76.16</v>
      </c>
    </row>
    <row r="1003" spans="1:6" x14ac:dyDescent="0.2">
      <c r="A1003" s="2" t="s">
        <v>82</v>
      </c>
      <c r="B1003" s="2">
        <v>8</v>
      </c>
      <c r="C1003" s="2">
        <v>1</v>
      </c>
      <c r="D1003" s="2">
        <v>2021</v>
      </c>
      <c r="E1003" s="2">
        <v>134.85</v>
      </c>
      <c r="F1003" s="2">
        <v>75.95</v>
      </c>
    </row>
    <row r="1004" spans="1:6" x14ac:dyDescent="0.2">
      <c r="A1004" s="2" t="s">
        <v>75</v>
      </c>
      <c r="B1004" s="2">
        <v>2</v>
      </c>
      <c r="C1004" s="2">
        <v>3</v>
      </c>
      <c r="D1004" s="2">
        <v>2021</v>
      </c>
      <c r="E1004" s="2">
        <v>75.02</v>
      </c>
      <c r="F1004" s="2">
        <v>75.95</v>
      </c>
    </row>
    <row r="1005" spans="1:6" x14ac:dyDescent="0.2">
      <c r="A1005" s="2" t="s">
        <v>42</v>
      </c>
      <c r="B1005" s="2">
        <v>12</v>
      </c>
      <c r="C1005" s="2">
        <v>3</v>
      </c>
      <c r="D1005" s="2">
        <v>2021</v>
      </c>
      <c r="E1005" s="2">
        <v>66.650000000000006</v>
      </c>
      <c r="F1005" s="2">
        <v>75.95</v>
      </c>
    </row>
    <row r="1006" spans="1:6" x14ac:dyDescent="0.2">
      <c r="A1006" s="2" t="s">
        <v>62</v>
      </c>
      <c r="B1006" s="2">
        <v>1</v>
      </c>
      <c r="C1006" s="2">
        <v>8</v>
      </c>
      <c r="D1006" s="2">
        <v>2021</v>
      </c>
      <c r="E1006" s="2">
        <v>42.78</v>
      </c>
      <c r="F1006" s="2">
        <v>75.95</v>
      </c>
    </row>
    <row r="1007" spans="1:6" x14ac:dyDescent="0.2">
      <c r="A1007" s="2" t="s">
        <v>48</v>
      </c>
      <c r="B1007" s="2">
        <v>24</v>
      </c>
      <c r="C1007" s="2">
        <v>11</v>
      </c>
      <c r="D1007" s="2">
        <v>2021</v>
      </c>
      <c r="E1007" s="2">
        <v>107.4</v>
      </c>
      <c r="F1007" s="2">
        <v>75.900000000000006</v>
      </c>
    </row>
    <row r="1008" spans="1:6" x14ac:dyDescent="0.2">
      <c r="A1008" s="2" t="s">
        <v>38</v>
      </c>
      <c r="B1008" s="2">
        <v>21</v>
      </c>
      <c r="C1008" s="2">
        <v>4</v>
      </c>
      <c r="D1008" s="2">
        <v>2021</v>
      </c>
      <c r="E1008" s="2">
        <v>63.6</v>
      </c>
      <c r="F1008" s="2">
        <v>75.900000000000006</v>
      </c>
    </row>
    <row r="1009" spans="1:6" x14ac:dyDescent="0.2">
      <c r="A1009" s="2" t="s">
        <v>62</v>
      </c>
      <c r="B1009" s="2">
        <v>1</v>
      </c>
      <c r="C1009" s="2">
        <v>10</v>
      </c>
      <c r="D1009" s="2">
        <v>2021</v>
      </c>
      <c r="E1009" s="2">
        <v>77.5</v>
      </c>
      <c r="F1009" s="2">
        <v>75.64</v>
      </c>
    </row>
    <row r="1010" spans="1:6" x14ac:dyDescent="0.2">
      <c r="A1010" s="2" t="s">
        <v>35</v>
      </c>
      <c r="B1010" s="2">
        <v>9</v>
      </c>
      <c r="C1010" s="2">
        <v>10</v>
      </c>
      <c r="D1010" s="2">
        <v>2021</v>
      </c>
      <c r="E1010" s="2">
        <v>64.17</v>
      </c>
      <c r="F1010" s="2">
        <v>75.64</v>
      </c>
    </row>
    <row r="1011" spans="1:6" x14ac:dyDescent="0.2">
      <c r="A1011" s="2" t="s">
        <v>81</v>
      </c>
      <c r="B1011" s="2">
        <v>19</v>
      </c>
      <c r="C1011" s="2">
        <v>10</v>
      </c>
      <c r="D1011" s="2">
        <v>2021</v>
      </c>
      <c r="E1011" s="2">
        <v>97.96</v>
      </c>
      <c r="F1011" s="2">
        <v>75.33</v>
      </c>
    </row>
    <row r="1012" spans="1:6" x14ac:dyDescent="0.2">
      <c r="A1012" s="2" t="s">
        <v>50</v>
      </c>
      <c r="B1012" s="2">
        <v>24</v>
      </c>
      <c r="C1012" s="2">
        <v>3</v>
      </c>
      <c r="D1012" s="2">
        <v>2021</v>
      </c>
      <c r="E1012" s="2">
        <v>68.819999999999993</v>
      </c>
      <c r="F1012" s="2">
        <v>75.33</v>
      </c>
    </row>
    <row r="1013" spans="1:6" x14ac:dyDescent="0.2">
      <c r="A1013" s="2" t="s">
        <v>62</v>
      </c>
      <c r="B1013" s="2">
        <v>1</v>
      </c>
      <c r="C1013" s="2">
        <v>5</v>
      </c>
      <c r="D1013" s="2">
        <v>2021</v>
      </c>
      <c r="E1013" s="2">
        <v>53.32</v>
      </c>
      <c r="F1013" s="2">
        <v>75.33</v>
      </c>
    </row>
    <row r="1014" spans="1:6" x14ac:dyDescent="0.2">
      <c r="A1014" s="2" t="s">
        <v>38</v>
      </c>
      <c r="B1014" s="2">
        <v>21</v>
      </c>
      <c r="C1014" s="2">
        <v>5</v>
      </c>
      <c r="D1014" s="2">
        <v>2021</v>
      </c>
      <c r="E1014" s="2">
        <v>36.89</v>
      </c>
      <c r="F1014" s="2">
        <v>75.33</v>
      </c>
    </row>
    <row r="1015" spans="1:6" x14ac:dyDescent="0.2">
      <c r="A1015" s="2" t="s">
        <v>47</v>
      </c>
      <c r="B1015" s="2">
        <v>19</v>
      </c>
      <c r="C1015" s="2">
        <v>8</v>
      </c>
      <c r="D1015" s="2">
        <v>2021</v>
      </c>
      <c r="E1015" s="2">
        <v>34.1</v>
      </c>
      <c r="F1015" s="2">
        <v>75.33</v>
      </c>
    </row>
    <row r="1016" spans="1:6" x14ac:dyDescent="0.2">
      <c r="A1016" s="2" t="s">
        <v>37</v>
      </c>
      <c r="B1016" s="2">
        <v>12</v>
      </c>
      <c r="C1016" s="2">
        <v>7</v>
      </c>
      <c r="D1016" s="2">
        <v>2021</v>
      </c>
      <c r="E1016" s="2">
        <v>29.76</v>
      </c>
      <c r="F1016" s="2">
        <v>75.33</v>
      </c>
    </row>
    <row r="1017" spans="1:6" x14ac:dyDescent="0.2">
      <c r="A1017" s="2" t="s">
        <v>37</v>
      </c>
      <c r="B1017" s="2">
        <v>12</v>
      </c>
      <c r="C1017" s="2">
        <v>8</v>
      </c>
      <c r="D1017" s="2">
        <v>2021</v>
      </c>
      <c r="E1017" s="2">
        <v>20.149999999999999</v>
      </c>
      <c r="F1017" s="2">
        <v>75.33</v>
      </c>
    </row>
    <row r="1018" spans="1:6" x14ac:dyDescent="0.2">
      <c r="A1018" s="2" t="s">
        <v>33</v>
      </c>
      <c r="B1018" s="2">
        <v>21</v>
      </c>
      <c r="C1018" s="2">
        <v>5</v>
      </c>
      <c r="D1018" s="2">
        <v>2021</v>
      </c>
      <c r="E1018" s="2">
        <v>19.22</v>
      </c>
      <c r="F1018" s="2">
        <v>75.33</v>
      </c>
    </row>
    <row r="1019" spans="1:6" x14ac:dyDescent="0.2">
      <c r="A1019" s="2" t="s">
        <v>56</v>
      </c>
      <c r="B1019" s="2">
        <v>14</v>
      </c>
      <c r="C1019" s="2">
        <v>2</v>
      </c>
      <c r="D1019" s="2">
        <v>2021</v>
      </c>
      <c r="E1019" s="2">
        <v>119.84</v>
      </c>
      <c r="F1019" s="2">
        <v>75.319999999999993</v>
      </c>
    </row>
    <row r="1020" spans="1:6" x14ac:dyDescent="0.2">
      <c r="A1020" s="2" t="s">
        <v>55</v>
      </c>
      <c r="B1020" s="2">
        <v>18</v>
      </c>
      <c r="C1020" s="2">
        <v>11</v>
      </c>
      <c r="D1020" s="2">
        <v>2021</v>
      </c>
      <c r="E1020" s="2">
        <v>133.19999999999999</v>
      </c>
      <c r="F1020" s="2">
        <v>75.3</v>
      </c>
    </row>
    <row r="1021" spans="1:6" x14ac:dyDescent="0.2">
      <c r="A1021" s="2" t="s">
        <v>36</v>
      </c>
      <c r="B1021" s="2">
        <v>12</v>
      </c>
      <c r="C1021" s="2">
        <v>11</v>
      </c>
      <c r="D1021" s="2">
        <v>2021</v>
      </c>
      <c r="E1021" s="2">
        <v>93.9</v>
      </c>
      <c r="F1021" s="2">
        <v>75.3</v>
      </c>
    </row>
    <row r="1022" spans="1:6" x14ac:dyDescent="0.2">
      <c r="A1022" s="2" t="s">
        <v>51</v>
      </c>
      <c r="B1022" s="2">
        <v>16</v>
      </c>
      <c r="C1022" s="2">
        <v>4</v>
      </c>
      <c r="D1022" s="2">
        <v>2021</v>
      </c>
      <c r="E1022" s="2">
        <v>70.8</v>
      </c>
      <c r="F1022" s="2">
        <v>75.3</v>
      </c>
    </row>
    <row r="1023" spans="1:6" x14ac:dyDescent="0.2">
      <c r="A1023" s="2" t="s">
        <v>53</v>
      </c>
      <c r="B1023" s="2">
        <v>18</v>
      </c>
      <c r="C1023" s="2">
        <v>6</v>
      </c>
      <c r="D1023" s="2">
        <v>2021</v>
      </c>
      <c r="E1023" s="2">
        <v>27.6</v>
      </c>
      <c r="F1023" s="2">
        <v>75.3</v>
      </c>
    </row>
    <row r="1024" spans="1:6" x14ac:dyDescent="0.2">
      <c r="A1024" s="2" t="s">
        <v>66</v>
      </c>
      <c r="B1024" s="2">
        <v>23</v>
      </c>
      <c r="C1024" s="2">
        <v>10</v>
      </c>
      <c r="D1024" s="2">
        <v>2021</v>
      </c>
      <c r="E1024" s="2">
        <v>87.11</v>
      </c>
      <c r="F1024" s="2">
        <v>75.02</v>
      </c>
    </row>
    <row r="1025" spans="1:6" x14ac:dyDescent="0.2">
      <c r="A1025" s="2" t="s">
        <v>50</v>
      </c>
      <c r="B1025" s="2">
        <v>24</v>
      </c>
      <c r="C1025" s="2">
        <v>7</v>
      </c>
      <c r="D1025" s="2">
        <v>2021</v>
      </c>
      <c r="E1025" s="2">
        <v>28.21</v>
      </c>
      <c r="F1025" s="2">
        <v>75.02</v>
      </c>
    </row>
    <row r="1026" spans="1:6" x14ac:dyDescent="0.2">
      <c r="A1026" s="2" t="s">
        <v>33</v>
      </c>
      <c r="B1026" s="2">
        <v>21</v>
      </c>
      <c r="C1026" s="2">
        <v>8</v>
      </c>
      <c r="D1026" s="2">
        <v>2021</v>
      </c>
      <c r="E1026" s="2">
        <v>20.46</v>
      </c>
      <c r="F1026" s="2">
        <v>75.02</v>
      </c>
    </row>
    <row r="1027" spans="1:6" x14ac:dyDescent="0.2">
      <c r="A1027" s="2" t="s">
        <v>81</v>
      </c>
      <c r="B1027" s="2">
        <v>19</v>
      </c>
      <c r="C1027" s="2">
        <v>11</v>
      </c>
      <c r="D1027" s="2">
        <v>2021</v>
      </c>
      <c r="E1027" s="2">
        <v>120.6</v>
      </c>
      <c r="F1027" s="2">
        <v>75</v>
      </c>
    </row>
    <row r="1028" spans="1:6" x14ac:dyDescent="0.2">
      <c r="A1028" s="2" t="s">
        <v>75</v>
      </c>
      <c r="B1028" s="2">
        <v>2</v>
      </c>
      <c r="C1028" s="2">
        <v>6</v>
      </c>
      <c r="D1028" s="2">
        <v>2021</v>
      </c>
      <c r="E1028" s="2">
        <v>40.200000000000003</v>
      </c>
      <c r="F1028" s="2">
        <v>75</v>
      </c>
    </row>
    <row r="1029" spans="1:6" x14ac:dyDescent="0.2">
      <c r="A1029" s="2" t="s">
        <v>48</v>
      </c>
      <c r="B1029" s="2">
        <v>24</v>
      </c>
      <c r="C1029" s="2">
        <v>6</v>
      </c>
      <c r="D1029" s="2">
        <v>2021</v>
      </c>
      <c r="E1029" s="2">
        <v>36.9</v>
      </c>
      <c r="F1029" s="2">
        <v>75</v>
      </c>
    </row>
    <row r="1030" spans="1:6" x14ac:dyDescent="0.2">
      <c r="A1030" s="2" t="s">
        <v>67</v>
      </c>
      <c r="B1030" s="2">
        <v>13</v>
      </c>
      <c r="C1030" s="2">
        <v>2</v>
      </c>
      <c r="D1030" s="2">
        <v>2021</v>
      </c>
      <c r="E1030" s="2">
        <v>113.68</v>
      </c>
      <c r="F1030" s="2">
        <v>74.760000000000005</v>
      </c>
    </row>
    <row r="1031" spans="1:6" x14ac:dyDescent="0.2">
      <c r="A1031" s="2" t="s">
        <v>59</v>
      </c>
      <c r="B1031" s="2">
        <v>11</v>
      </c>
      <c r="C1031" s="2">
        <v>2</v>
      </c>
      <c r="D1031" s="2">
        <v>2021</v>
      </c>
      <c r="E1031" s="2">
        <v>106.4</v>
      </c>
      <c r="F1031" s="2">
        <v>74.760000000000005</v>
      </c>
    </row>
    <row r="1032" spans="1:6" x14ac:dyDescent="0.2">
      <c r="A1032" s="2" t="s">
        <v>85</v>
      </c>
      <c r="B1032" s="2">
        <v>3</v>
      </c>
      <c r="C1032" s="2">
        <v>12</v>
      </c>
      <c r="D1032" s="2">
        <v>2021</v>
      </c>
      <c r="E1032" s="2">
        <v>137.02000000000001</v>
      </c>
      <c r="F1032" s="2">
        <v>74.709999999999994</v>
      </c>
    </row>
    <row r="1033" spans="1:6" x14ac:dyDescent="0.2">
      <c r="A1033" s="2" t="s">
        <v>53</v>
      </c>
      <c r="B1033" s="2">
        <v>18</v>
      </c>
      <c r="C1033" s="2">
        <v>12</v>
      </c>
      <c r="D1033" s="2">
        <v>2021</v>
      </c>
      <c r="E1033" s="2">
        <v>116.56</v>
      </c>
      <c r="F1033" s="2">
        <v>74.709999999999994</v>
      </c>
    </row>
    <row r="1034" spans="1:6" x14ac:dyDescent="0.2">
      <c r="A1034" s="2" t="s">
        <v>51</v>
      </c>
      <c r="B1034" s="2">
        <v>16</v>
      </c>
      <c r="C1034" s="2">
        <v>10</v>
      </c>
      <c r="D1034" s="2">
        <v>2021</v>
      </c>
      <c r="E1034" s="2">
        <v>74.400000000000006</v>
      </c>
      <c r="F1034" s="2">
        <v>74.709999999999994</v>
      </c>
    </row>
    <row r="1035" spans="1:6" x14ac:dyDescent="0.2">
      <c r="A1035" s="2" t="s">
        <v>92</v>
      </c>
      <c r="B1035" s="2">
        <v>7</v>
      </c>
      <c r="C1035" s="2">
        <v>5</v>
      </c>
      <c r="D1035" s="2">
        <v>2021</v>
      </c>
      <c r="E1035" s="2">
        <v>69.75</v>
      </c>
      <c r="F1035" s="2">
        <v>74.709999999999994</v>
      </c>
    </row>
    <row r="1036" spans="1:6" x14ac:dyDescent="0.2">
      <c r="A1036" s="2" t="s">
        <v>49</v>
      </c>
      <c r="B1036" s="2">
        <v>3</v>
      </c>
      <c r="C1036" s="2">
        <v>10</v>
      </c>
      <c r="D1036" s="2">
        <v>2021</v>
      </c>
      <c r="E1036" s="2">
        <v>65.72</v>
      </c>
      <c r="F1036" s="2">
        <v>74.709999999999994</v>
      </c>
    </row>
    <row r="1037" spans="1:6" x14ac:dyDescent="0.2">
      <c r="A1037" s="2" t="s">
        <v>35</v>
      </c>
      <c r="B1037" s="2">
        <v>9</v>
      </c>
      <c r="C1037" s="2">
        <v>11</v>
      </c>
      <c r="D1037" s="2">
        <v>2021</v>
      </c>
      <c r="E1037" s="2">
        <v>90.3</v>
      </c>
      <c r="F1037" s="2">
        <v>74.7</v>
      </c>
    </row>
    <row r="1038" spans="1:6" x14ac:dyDescent="0.2">
      <c r="A1038" s="2" t="s">
        <v>36</v>
      </c>
      <c r="B1038" s="2">
        <v>12</v>
      </c>
      <c r="C1038" s="2">
        <v>4</v>
      </c>
      <c r="D1038" s="2">
        <v>2021</v>
      </c>
      <c r="E1038" s="2">
        <v>58.5</v>
      </c>
      <c r="F1038" s="2">
        <v>74.7</v>
      </c>
    </row>
    <row r="1039" spans="1:6" x14ac:dyDescent="0.2">
      <c r="A1039" s="2" t="s">
        <v>33</v>
      </c>
      <c r="B1039" s="2">
        <v>21</v>
      </c>
      <c r="C1039" s="2">
        <v>9</v>
      </c>
      <c r="D1039" s="2">
        <v>2021</v>
      </c>
      <c r="E1039" s="2">
        <v>24.6</v>
      </c>
      <c r="F1039" s="2">
        <v>74.7</v>
      </c>
    </row>
    <row r="1040" spans="1:6" x14ac:dyDescent="0.2">
      <c r="A1040" s="2" t="s">
        <v>96</v>
      </c>
      <c r="B1040" s="2">
        <v>3</v>
      </c>
      <c r="C1040" s="2">
        <v>9</v>
      </c>
      <c r="D1040" s="2">
        <v>2021</v>
      </c>
      <c r="E1040" s="1" t="s">
        <v>94</v>
      </c>
      <c r="F1040" s="2">
        <v>74.400000000000006</v>
      </c>
    </row>
    <row r="1041" spans="1:6" x14ac:dyDescent="0.2">
      <c r="A1041" s="2" t="s">
        <v>85</v>
      </c>
      <c r="B1041" s="2">
        <v>3</v>
      </c>
      <c r="C1041" s="2">
        <v>3</v>
      </c>
      <c r="D1041" s="2">
        <v>2021</v>
      </c>
      <c r="E1041" s="2">
        <v>100.75</v>
      </c>
      <c r="F1041" s="2">
        <v>74.400000000000006</v>
      </c>
    </row>
    <row r="1042" spans="1:6" x14ac:dyDescent="0.2">
      <c r="A1042" s="2" t="s">
        <v>85</v>
      </c>
      <c r="B1042" s="2">
        <v>3</v>
      </c>
      <c r="C1042" s="2">
        <v>8</v>
      </c>
      <c r="D1042" s="2">
        <v>2021</v>
      </c>
      <c r="E1042" s="2">
        <v>58.59</v>
      </c>
      <c r="F1042" s="2">
        <v>74.400000000000006</v>
      </c>
    </row>
    <row r="1043" spans="1:6" x14ac:dyDescent="0.2">
      <c r="A1043" s="2" t="s">
        <v>35</v>
      </c>
      <c r="B1043" s="2">
        <v>9</v>
      </c>
      <c r="C1043" s="2">
        <v>7</v>
      </c>
      <c r="D1043" s="2">
        <v>2021</v>
      </c>
      <c r="E1043" s="2">
        <v>17.98</v>
      </c>
      <c r="F1043" s="2">
        <v>74.400000000000006</v>
      </c>
    </row>
    <row r="1044" spans="1:6" x14ac:dyDescent="0.2">
      <c r="A1044" s="2" t="s">
        <v>35</v>
      </c>
      <c r="B1044" s="2">
        <v>9</v>
      </c>
      <c r="C1044" s="2">
        <v>2</v>
      </c>
      <c r="D1044" s="2">
        <v>2021</v>
      </c>
      <c r="E1044" s="2">
        <v>101.08</v>
      </c>
      <c r="F1044" s="2">
        <v>74.2</v>
      </c>
    </row>
    <row r="1045" spans="1:6" x14ac:dyDescent="0.2">
      <c r="A1045" s="2" t="s">
        <v>81</v>
      </c>
      <c r="B1045" s="2">
        <v>19</v>
      </c>
      <c r="C1045" s="2">
        <v>4</v>
      </c>
      <c r="D1045" s="2">
        <v>2021</v>
      </c>
      <c r="E1045" s="2">
        <v>83.7</v>
      </c>
      <c r="F1045" s="2">
        <v>74.099999999999994</v>
      </c>
    </row>
    <row r="1046" spans="1:6" x14ac:dyDescent="0.2">
      <c r="A1046" s="2" t="s">
        <v>53</v>
      </c>
      <c r="B1046" s="2">
        <v>18</v>
      </c>
      <c r="C1046" s="2">
        <v>9</v>
      </c>
      <c r="D1046" s="2">
        <v>2021</v>
      </c>
      <c r="E1046" s="2">
        <v>35.1</v>
      </c>
      <c r="F1046" s="2">
        <v>74.099999999999994</v>
      </c>
    </row>
    <row r="1047" spans="1:6" x14ac:dyDescent="0.2">
      <c r="A1047" s="2" t="s">
        <v>33</v>
      </c>
      <c r="B1047" s="2">
        <v>21</v>
      </c>
      <c r="C1047" s="2">
        <v>6</v>
      </c>
      <c r="D1047" s="2">
        <v>2021</v>
      </c>
      <c r="E1047" s="2">
        <v>12</v>
      </c>
      <c r="F1047" s="2">
        <v>74.099999999999994</v>
      </c>
    </row>
    <row r="1048" spans="1:6" x14ac:dyDescent="0.2">
      <c r="A1048" s="2" t="s">
        <v>0</v>
      </c>
      <c r="B1048" s="2">
        <v>25</v>
      </c>
      <c r="C1048" s="2">
        <v>6</v>
      </c>
      <c r="D1048" s="2">
        <v>2021</v>
      </c>
      <c r="E1048" s="1" t="s">
        <v>94</v>
      </c>
      <c r="F1048" s="2">
        <v>73.8</v>
      </c>
    </row>
    <row r="1049" spans="1:6" x14ac:dyDescent="0.2">
      <c r="A1049" s="2" t="s">
        <v>0</v>
      </c>
      <c r="B1049" s="2">
        <v>25</v>
      </c>
      <c r="C1049" s="2">
        <v>11</v>
      </c>
      <c r="D1049" s="2">
        <v>2021</v>
      </c>
      <c r="E1049" s="1" t="s">
        <v>94</v>
      </c>
      <c r="F1049" s="2">
        <v>73.8</v>
      </c>
    </row>
    <row r="1050" spans="1:6" x14ac:dyDescent="0.2">
      <c r="A1050" s="2" t="s">
        <v>82</v>
      </c>
      <c r="B1050" s="2">
        <v>8</v>
      </c>
      <c r="C1050" s="2">
        <v>11</v>
      </c>
      <c r="D1050" s="2">
        <v>2021</v>
      </c>
      <c r="E1050" s="2">
        <v>103.5</v>
      </c>
      <c r="F1050" s="2">
        <v>73.8</v>
      </c>
    </row>
    <row r="1051" spans="1:6" x14ac:dyDescent="0.2">
      <c r="A1051" s="2" t="s">
        <v>49</v>
      </c>
      <c r="B1051" s="2">
        <v>3</v>
      </c>
      <c r="C1051" s="2">
        <v>9</v>
      </c>
      <c r="D1051" s="2">
        <v>2021</v>
      </c>
      <c r="E1051" s="2">
        <v>36.299999999999997</v>
      </c>
      <c r="F1051" s="2">
        <v>73.8</v>
      </c>
    </row>
    <row r="1052" spans="1:6" x14ac:dyDescent="0.2">
      <c r="A1052" s="2" t="s">
        <v>49</v>
      </c>
      <c r="B1052" s="2">
        <v>3</v>
      </c>
      <c r="C1052" s="2">
        <v>8</v>
      </c>
      <c r="D1052" s="2">
        <v>2021</v>
      </c>
      <c r="E1052" s="2">
        <v>38.130000000000003</v>
      </c>
      <c r="F1052" s="2">
        <v>73.78</v>
      </c>
    </row>
    <row r="1053" spans="1:6" x14ac:dyDescent="0.2">
      <c r="A1053" s="2" t="s">
        <v>62</v>
      </c>
      <c r="B1053" s="2">
        <v>1</v>
      </c>
      <c r="C1053" s="2">
        <v>2</v>
      </c>
      <c r="D1053" s="2">
        <v>2021</v>
      </c>
      <c r="E1053" s="2">
        <v>105.56</v>
      </c>
      <c r="F1053" s="2">
        <v>73.64</v>
      </c>
    </row>
    <row r="1054" spans="1:6" x14ac:dyDescent="0.2">
      <c r="A1054" s="2" t="s">
        <v>95</v>
      </c>
      <c r="B1054" s="2">
        <v>24</v>
      </c>
      <c r="C1054" s="2">
        <v>11</v>
      </c>
      <c r="D1054" s="2">
        <v>2021</v>
      </c>
      <c r="E1054" s="1" t="s">
        <v>94</v>
      </c>
      <c r="F1054" s="2">
        <v>73.5</v>
      </c>
    </row>
    <row r="1055" spans="1:6" x14ac:dyDescent="0.2">
      <c r="A1055" s="2" t="s">
        <v>58</v>
      </c>
      <c r="B1055" s="2">
        <v>16</v>
      </c>
      <c r="C1055" s="2">
        <v>4</v>
      </c>
      <c r="D1055" s="2">
        <v>2021</v>
      </c>
      <c r="E1055" s="2">
        <v>71.099999999999994</v>
      </c>
      <c r="F1055" s="2">
        <v>73.5</v>
      </c>
    </row>
    <row r="1056" spans="1:6" x14ac:dyDescent="0.2">
      <c r="A1056" s="2" t="s">
        <v>42</v>
      </c>
      <c r="B1056" s="2">
        <v>12</v>
      </c>
      <c r="C1056" s="2">
        <v>4</v>
      </c>
      <c r="D1056" s="2">
        <v>2021</v>
      </c>
      <c r="E1056" s="2">
        <v>63.3</v>
      </c>
      <c r="F1056" s="2">
        <v>73.5</v>
      </c>
    </row>
    <row r="1057" spans="1:6" x14ac:dyDescent="0.2">
      <c r="A1057" s="2" t="s">
        <v>38</v>
      </c>
      <c r="B1057" s="2">
        <v>21</v>
      </c>
      <c r="C1057" s="2">
        <v>9</v>
      </c>
      <c r="D1057" s="2">
        <v>2021</v>
      </c>
      <c r="E1057" s="2">
        <v>30</v>
      </c>
      <c r="F1057" s="2">
        <v>73.5</v>
      </c>
    </row>
    <row r="1058" spans="1:6" x14ac:dyDescent="0.2">
      <c r="A1058" s="2" t="s">
        <v>93</v>
      </c>
      <c r="B1058" s="2">
        <v>3</v>
      </c>
      <c r="C1058" s="2">
        <v>8</v>
      </c>
      <c r="D1058" s="2">
        <v>2021</v>
      </c>
      <c r="E1058" s="2">
        <v>74.09</v>
      </c>
      <c r="F1058" s="2">
        <v>73.47</v>
      </c>
    </row>
    <row r="1059" spans="1:6" x14ac:dyDescent="0.2">
      <c r="A1059" s="2" t="s">
        <v>82</v>
      </c>
      <c r="B1059" s="2">
        <v>8</v>
      </c>
      <c r="C1059" s="2">
        <v>7</v>
      </c>
      <c r="D1059" s="2">
        <v>2021</v>
      </c>
      <c r="E1059" s="2">
        <v>46.5</v>
      </c>
      <c r="F1059" s="2">
        <v>73.47</v>
      </c>
    </row>
    <row r="1060" spans="1:6" x14ac:dyDescent="0.2">
      <c r="A1060" s="2" t="s">
        <v>55</v>
      </c>
      <c r="B1060" s="2">
        <v>18</v>
      </c>
      <c r="C1060" s="2">
        <v>7</v>
      </c>
      <c r="D1060" s="2">
        <v>2021</v>
      </c>
      <c r="E1060" s="2">
        <v>33.79</v>
      </c>
      <c r="F1060" s="2">
        <v>73.47</v>
      </c>
    </row>
    <row r="1061" spans="1:6" x14ac:dyDescent="0.2">
      <c r="A1061" s="2" t="s">
        <v>74</v>
      </c>
      <c r="B1061" s="2">
        <v>5</v>
      </c>
      <c r="C1061" s="2">
        <v>2</v>
      </c>
      <c r="D1061" s="2">
        <v>2021</v>
      </c>
      <c r="E1061" s="2">
        <v>99.96</v>
      </c>
      <c r="F1061" s="2">
        <v>73.36</v>
      </c>
    </row>
    <row r="1062" spans="1:6" x14ac:dyDescent="0.2">
      <c r="A1062" s="2" t="s">
        <v>36</v>
      </c>
      <c r="B1062" s="2">
        <v>12</v>
      </c>
      <c r="C1062" s="2">
        <v>8</v>
      </c>
      <c r="D1062" s="2">
        <v>2021</v>
      </c>
      <c r="E1062" s="2">
        <v>18.91</v>
      </c>
      <c r="F1062" s="2">
        <v>73.16</v>
      </c>
    </row>
    <row r="1063" spans="1:6" x14ac:dyDescent="0.2">
      <c r="A1063" s="2" t="s">
        <v>93</v>
      </c>
      <c r="B1063" s="2">
        <v>3</v>
      </c>
      <c r="C1063" s="2">
        <v>6</v>
      </c>
      <c r="D1063" s="2">
        <v>2021</v>
      </c>
      <c r="E1063" s="2">
        <v>72.3</v>
      </c>
      <c r="F1063" s="2">
        <v>72.900000000000006</v>
      </c>
    </row>
    <row r="1064" spans="1:6" x14ac:dyDescent="0.2">
      <c r="A1064" s="2" t="s">
        <v>89</v>
      </c>
      <c r="B1064" s="2">
        <v>2</v>
      </c>
      <c r="C1064" s="2">
        <v>9</v>
      </c>
      <c r="D1064" s="2">
        <v>2021</v>
      </c>
      <c r="E1064" s="2">
        <v>58.2</v>
      </c>
      <c r="F1064" s="2">
        <v>72.900000000000006</v>
      </c>
    </row>
    <row r="1065" spans="1:6" x14ac:dyDescent="0.2">
      <c r="A1065" s="2" t="s">
        <v>53</v>
      </c>
      <c r="B1065" s="2">
        <v>18</v>
      </c>
      <c r="C1065" s="2">
        <v>1</v>
      </c>
      <c r="D1065" s="2">
        <v>2021</v>
      </c>
      <c r="E1065" s="2">
        <v>103.23</v>
      </c>
      <c r="F1065" s="2">
        <v>72.849999999999994</v>
      </c>
    </row>
    <row r="1066" spans="1:6" x14ac:dyDescent="0.2">
      <c r="A1066" s="2" t="s">
        <v>49</v>
      </c>
      <c r="B1066" s="2">
        <v>3</v>
      </c>
      <c r="C1066" s="2">
        <v>1</v>
      </c>
      <c r="D1066" s="2">
        <v>2021</v>
      </c>
      <c r="E1066" s="2">
        <v>97.96</v>
      </c>
      <c r="F1066" s="2">
        <v>72.849999999999994</v>
      </c>
    </row>
    <row r="1067" spans="1:6" x14ac:dyDescent="0.2">
      <c r="A1067" s="2" t="s">
        <v>76</v>
      </c>
      <c r="B1067" s="2">
        <v>9</v>
      </c>
      <c r="C1067" s="2">
        <v>9</v>
      </c>
      <c r="D1067" s="2">
        <v>2021</v>
      </c>
      <c r="E1067" s="2">
        <v>51.3</v>
      </c>
      <c r="F1067" s="2">
        <v>72.599999999999994</v>
      </c>
    </row>
    <row r="1068" spans="1:6" x14ac:dyDescent="0.2">
      <c r="A1068" s="2" t="s">
        <v>96</v>
      </c>
      <c r="B1068" s="2">
        <v>3</v>
      </c>
      <c r="C1068" s="2">
        <v>7</v>
      </c>
      <c r="D1068" s="2">
        <v>2021</v>
      </c>
      <c r="E1068" s="1" t="s">
        <v>94</v>
      </c>
      <c r="F1068" s="2">
        <v>72.540000000000006</v>
      </c>
    </row>
    <row r="1069" spans="1:6" x14ac:dyDescent="0.2">
      <c r="A1069" s="2" t="s">
        <v>42</v>
      </c>
      <c r="B1069" s="2">
        <v>12</v>
      </c>
      <c r="C1069" s="2">
        <v>1</v>
      </c>
      <c r="D1069" s="2">
        <v>2021</v>
      </c>
      <c r="E1069" s="2">
        <v>94.86</v>
      </c>
      <c r="F1069" s="2">
        <v>72.540000000000006</v>
      </c>
    </row>
    <row r="1070" spans="1:6" x14ac:dyDescent="0.2">
      <c r="A1070" s="2" t="s">
        <v>42</v>
      </c>
      <c r="B1070" s="2">
        <v>12</v>
      </c>
      <c r="C1070" s="2">
        <v>5</v>
      </c>
      <c r="D1070" s="2">
        <v>2021</v>
      </c>
      <c r="E1070" s="2">
        <v>38.130000000000003</v>
      </c>
      <c r="F1070" s="2">
        <v>72.540000000000006</v>
      </c>
    </row>
    <row r="1071" spans="1:6" x14ac:dyDescent="0.2">
      <c r="A1071" s="2" t="s">
        <v>91</v>
      </c>
      <c r="B1071" s="2">
        <v>5</v>
      </c>
      <c r="C1071" s="2">
        <v>11</v>
      </c>
      <c r="D1071" s="2">
        <v>2021</v>
      </c>
      <c r="E1071" s="2">
        <v>142.5</v>
      </c>
      <c r="F1071" s="2">
        <v>72.3</v>
      </c>
    </row>
    <row r="1072" spans="1:6" x14ac:dyDescent="0.2">
      <c r="A1072" s="2" t="s">
        <v>92</v>
      </c>
      <c r="B1072" s="2">
        <v>7</v>
      </c>
      <c r="C1072" s="2">
        <v>9</v>
      </c>
      <c r="D1072" s="2">
        <v>2021</v>
      </c>
      <c r="E1072" s="2">
        <v>77.400000000000006</v>
      </c>
      <c r="F1072" s="2">
        <v>72.3</v>
      </c>
    </row>
    <row r="1073" spans="1:6" x14ac:dyDescent="0.2">
      <c r="A1073" s="2" t="s">
        <v>37</v>
      </c>
      <c r="B1073" s="2">
        <v>12</v>
      </c>
      <c r="C1073" s="2">
        <v>4</v>
      </c>
      <c r="D1073" s="2">
        <v>2021</v>
      </c>
      <c r="E1073" s="2">
        <v>51.9</v>
      </c>
      <c r="F1073" s="2">
        <v>72.3</v>
      </c>
    </row>
    <row r="1074" spans="1:6" x14ac:dyDescent="0.2">
      <c r="A1074" s="2" t="s">
        <v>55</v>
      </c>
      <c r="B1074" s="2">
        <v>18</v>
      </c>
      <c r="C1074" s="2">
        <v>12</v>
      </c>
      <c r="D1074" s="2">
        <v>2021</v>
      </c>
      <c r="E1074" s="2">
        <v>137.63999999999999</v>
      </c>
      <c r="F1074" s="2">
        <v>72.23</v>
      </c>
    </row>
    <row r="1075" spans="1:6" x14ac:dyDescent="0.2">
      <c r="A1075" s="2" t="s">
        <v>40</v>
      </c>
      <c r="B1075" s="2">
        <v>15</v>
      </c>
      <c r="C1075" s="2">
        <v>12</v>
      </c>
      <c r="D1075" s="2">
        <v>2021</v>
      </c>
      <c r="E1075" s="2">
        <v>99.2</v>
      </c>
      <c r="F1075" s="2">
        <v>72.23</v>
      </c>
    </row>
    <row r="1076" spans="1:6" x14ac:dyDescent="0.2">
      <c r="A1076" s="2" t="s">
        <v>40</v>
      </c>
      <c r="B1076" s="2">
        <v>15</v>
      </c>
      <c r="C1076" s="2">
        <v>10</v>
      </c>
      <c r="D1076" s="2">
        <v>2021</v>
      </c>
      <c r="E1076" s="2">
        <v>64.48</v>
      </c>
      <c r="F1076" s="2">
        <v>72.23</v>
      </c>
    </row>
    <row r="1077" spans="1:6" x14ac:dyDescent="0.2">
      <c r="A1077" s="2" t="s">
        <v>95</v>
      </c>
      <c r="B1077" s="2">
        <v>24</v>
      </c>
      <c r="C1077" s="2">
        <v>10</v>
      </c>
      <c r="D1077" s="2">
        <v>2021</v>
      </c>
      <c r="E1077" s="1" t="s">
        <v>94</v>
      </c>
      <c r="F1077" s="2">
        <v>71.92</v>
      </c>
    </row>
    <row r="1078" spans="1:6" x14ac:dyDescent="0.2">
      <c r="A1078" s="2" t="s">
        <v>96</v>
      </c>
      <c r="B1078" s="2">
        <v>3</v>
      </c>
      <c r="C1078" s="2">
        <v>6</v>
      </c>
      <c r="D1078" s="2">
        <v>2021</v>
      </c>
      <c r="E1078" s="1" t="s">
        <v>94</v>
      </c>
      <c r="F1078" s="2">
        <v>71.7</v>
      </c>
    </row>
    <row r="1079" spans="1:6" x14ac:dyDescent="0.2">
      <c r="A1079" s="2" t="s">
        <v>50</v>
      </c>
      <c r="B1079" s="2">
        <v>24</v>
      </c>
      <c r="C1079" s="2">
        <v>6</v>
      </c>
      <c r="D1079" s="2">
        <v>2021</v>
      </c>
      <c r="E1079" s="2">
        <v>33.6</v>
      </c>
      <c r="F1079" s="2">
        <v>71.7</v>
      </c>
    </row>
    <row r="1080" spans="1:6" x14ac:dyDescent="0.2">
      <c r="A1080" s="2" t="s">
        <v>50</v>
      </c>
      <c r="B1080" s="2">
        <v>24</v>
      </c>
      <c r="C1080" s="2">
        <v>9</v>
      </c>
      <c r="D1080" s="2">
        <v>2021</v>
      </c>
      <c r="E1080" s="2">
        <v>33.299999999999997</v>
      </c>
      <c r="F1080" s="2">
        <v>71.7</v>
      </c>
    </row>
    <row r="1081" spans="1:6" x14ac:dyDescent="0.2">
      <c r="A1081" s="2" t="s">
        <v>45</v>
      </c>
      <c r="B1081" s="2">
        <v>18</v>
      </c>
      <c r="C1081" s="2">
        <v>2</v>
      </c>
      <c r="D1081" s="2">
        <v>2021</v>
      </c>
      <c r="E1081" s="2">
        <v>103.6</v>
      </c>
      <c r="F1081" s="2">
        <v>71.680000000000007</v>
      </c>
    </row>
    <row r="1082" spans="1:6" x14ac:dyDescent="0.2">
      <c r="A1082" s="2" t="s">
        <v>58</v>
      </c>
      <c r="B1082" s="2">
        <v>16</v>
      </c>
      <c r="C1082" s="2">
        <v>2</v>
      </c>
      <c r="D1082" s="2">
        <v>2021</v>
      </c>
      <c r="E1082" s="2">
        <v>90.44</v>
      </c>
      <c r="F1082" s="2">
        <v>71.680000000000007</v>
      </c>
    </row>
    <row r="1083" spans="1:6" x14ac:dyDescent="0.2">
      <c r="A1083" s="2" t="s">
        <v>62</v>
      </c>
      <c r="B1083" s="2">
        <v>1</v>
      </c>
      <c r="C1083" s="2">
        <v>12</v>
      </c>
      <c r="D1083" s="2">
        <v>2021</v>
      </c>
      <c r="E1083" s="2">
        <v>110.36</v>
      </c>
      <c r="F1083" s="2">
        <v>71.61</v>
      </c>
    </row>
    <row r="1084" spans="1:6" x14ac:dyDescent="0.2">
      <c r="A1084" s="2" t="s">
        <v>46</v>
      </c>
      <c r="B1084" s="2">
        <v>9</v>
      </c>
      <c r="C1084" s="2">
        <v>8</v>
      </c>
      <c r="D1084" s="2">
        <v>2021</v>
      </c>
      <c r="E1084" s="2">
        <v>25.42</v>
      </c>
      <c r="F1084" s="2">
        <v>71.61</v>
      </c>
    </row>
    <row r="1085" spans="1:6" x14ac:dyDescent="0.2">
      <c r="A1085" s="2" t="s">
        <v>42</v>
      </c>
      <c r="B1085" s="2">
        <v>12</v>
      </c>
      <c r="C1085" s="2">
        <v>11</v>
      </c>
      <c r="D1085" s="2">
        <v>2021</v>
      </c>
      <c r="E1085" s="2">
        <v>109.2</v>
      </c>
      <c r="F1085" s="2">
        <v>71.400000000000006</v>
      </c>
    </row>
    <row r="1086" spans="1:6" x14ac:dyDescent="0.2">
      <c r="A1086" s="2" t="s">
        <v>51</v>
      </c>
      <c r="B1086" s="2">
        <v>16</v>
      </c>
      <c r="C1086" s="2">
        <v>11</v>
      </c>
      <c r="D1086" s="2">
        <v>2021</v>
      </c>
      <c r="E1086" s="2">
        <v>106.5</v>
      </c>
      <c r="F1086" s="2">
        <v>71.400000000000006</v>
      </c>
    </row>
    <row r="1087" spans="1:6" x14ac:dyDescent="0.2">
      <c r="A1087" s="2" t="s">
        <v>49</v>
      </c>
      <c r="B1087" s="2">
        <v>3</v>
      </c>
      <c r="C1087" s="2">
        <v>2</v>
      </c>
      <c r="D1087" s="2">
        <v>2021</v>
      </c>
      <c r="E1087" s="2">
        <v>82.04</v>
      </c>
      <c r="F1087" s="2">
        <v>71.400000000000006</v>
      </c>
    </row>
    <row r="1088" spans="1:6" x14ac:dyDescent="0.2">
      <c r="A1088" s="2" t="s">
        <v>37</v>
      </c>
      <c r="B1088" s="2">
        <v>12</v>
      </c>
      <c r="C1088" s="2">
        <v>10</v>
      </c>
      <c r="D1088" s="2">
        <v>2021</v>
      </c>
      <c r="E1088" s="2">
        <v>60.14</v>
      </c>
      <c r="F1088" s="2">
        <v>71.3</v>
      </c>
    </row>
    <row r="1089" spans="1:6" x14ac:dyDescent="0.2">
      <c r="A1089" s="2" t="s">
        <v>96</v>
      </c>
      <c r="B1089" s="2">
        <v>3</v>
      </c>
      <c r="C1089" s="2">
        <v>4</v>
      </c>
      <c r="D1089" s="2">
        <v>2021</v>
      </c>
      <c r="E1089" s="1" t="s">
        <v>94</v>
      </c>
      <c r="F1089" s="2">
        <v>71.099999999999994</v>
      </c>
    </row>
    <row r="1090" spans="1:6" x14ac:dyDescent="0.2">
      <c r="A1090" s="2" t="s">
        <v>0</v>
      </c>
      <c r="B1090" s="2">
        <v>25</v>
      </c>
      <c r="C1090" s="2">
        <v>9</v>
      </c>
      <c r="D1090" s="2">
        <v>2021</v>
      </c>
      <c r="E1090" s="1" t="s">
        <v>94</v>
      </c>
      <c r="F1090" s="2">
        <v>71.099999999999994</v>
      </c>
    </row>
    <row r="1091" spans="1:6" x14ac:dyDescent="0.2">
      <c r="A1091" s="2" t="s">
        <v>93</v>
      </c>
      <c r="B1091" s="2">
        <v>3</v>
      </c>
      <c r="C1091" s="2">
        <v>11</v>
      </c>
      <c r="D1091" s="2">
        <v>2021</v>
      </c>
      <c r="E1091" s="2">
        <v>136.5</v>
      </c>
      <c r="F1091" s="2">
        <v>71.099999999999994</v>
      </c>
    </row>
    <row r="1092" spans="1:6" x14ac:dyDescent="0.2">
      <c r="A1092" s="2" t="s">
        <v>57</v>
      </c>
      <c r="B1092" s="2">
        <v>17</v>
      </c>
      <c r="C1092" s="2">
        <v>4</v>
      </c>
      <c r="D1092" s="2">
        <v>2021</v>
      </c>
      <c r="E1092" s="2">
        <v>78.599999999999994</v>
      </c>
      <c r="F1092" s="2">
        <v>70.8</v>
      </c>
    </row>
    <row r="1093" spans="1:6" x14ac:dyDescent="0.2">
      <c r="A1093" s="2" t="s">
        <v>45</v>
      </c>
      <c r="B1093" s="2">
        <v>18</v>
      </c>
      <c r="C1093" s="2">
        <v>4</v>
      </c>
      <c r="D1093" s="2">
        <v>2021</v>
      </c>
      <c r="E1093" s="2">
        <v>62.1</v>
      </c>
      <c r="F1093" s="2">
        <v>70.8</v>
      </c>
    </row>
    <row r="1094" spans="1:6" x14ac:dyDescent="0.2">
      <c r="A1094" s="2" t="s">
        <v>40</v>
      </c>
      <c r="B1094" s="2">
        <v>15</v>
      </c>
      <c r="C1094" s="2">
        <v>6</v>
      </c>
      <c r="D1094" s="2">
        <v>2021</v>
      </c>
      <c r="E1094" s="2">
        <v>31.2</v>
      </c>
      <c r="F1094" s="2">
        <v>70.8</v>
      </c>
    </row>
    <row r="1095" spans="1:6" x14ac:dyDescent="0.2">
      <c r="A1095" s="2" t="s">
        <v>95</v>
      </c>
      <c r="B1095" s="2">
        <v>24</v>
      </c>
      <c r="C1095" s="2">
        <v>7</v>
      </c>
      <c r="D1095" s="2">
        <v>2021</v>
      </c>
      <c r="E1095" s="1" t="s">
        <v>94</v>
      </c>
      <c r="F1095" s="2">
        <v>70.680000000000007</v>
      </c>
    </row>
    <row r="1096" spans="1:6" x14ac:dyDescent="0.2">
      <c r="A1096" s="2" t="s">
        <v>0</v>
      </c>
      <c r="B1096" s="2">
        <v>25</v>
      </c>
      <c r="C1096" s="2">
        <v>8</v>
      </c>
      <c r="D1096" s="2">
        <v>2021</v>
      </c>
      <c r="E1096" s="1" t="s">
        <v>94</v>
      </c>
      <c r="F1096" s="2">
        <v>70.680000000000007</v>
      </c>
    </row>
    <row r="1097" spans="1:6" x14ac:dyDescent="0.2">
      <c r="A1097" s="2" t="s">
        <v>48</v>
      </c>
      <c r="B1097" s="2">
        <v>24</v>
      </c>
      <c r="C1097" s="2">
        <v>5</v>
      </c>
      <c r="D1097" s="2">
        <v>2021</v>
      </c>
      <c r="E1097" s="2">
        <v>35.340000000000003</v>
      </c>
      <c r="F1097" s="2">
        <v>70.680000000000007</v>
      </c>
    </row>
    <row r="1098" spans="1:6" x14ac:dyDescent="0.2">
      <c r="A1098" s="2" t="s">
        <v>42</v>
      </c>
      <c r="B1098" s="2">
        <v>12</v>
      </c>
      <c r="C1098" s="2">
        <v>2</v>
      </c>
      <c r="D1098" s="2">
        <v>2021</v>
      </c>
      <c r="E1098" s="2">
        <v>105.84</v>
      </c>
      <c r="F1098" s="2">
        <v>70.56</v>
      </c>
    </row>
    <row r="1099" spans="1:6" x14ac:dyDescent="0.2">
      <c r="A1099" s="2" t="s">
        <v>95</v>
      </c>
      <c r="B1099" s="2">
        <v>24</v>
      </c>
      <c r="C1099" s="2">
        <v>6</v>
      </c>
      <c r="D1099" s="2">
        <v>2021</v>
      </c>
      <c r="E1099" s="1" t="s">
        <v>94</v>
      </c>
      <c r="F1099" s="2">
        <v>70.5</v>
      </c>
    </row>
    <row r="1100" spans="1:6" x14ac:dyDescent="0.2">
      <c r="A1100" s="2" t="s">
        <v>96</v>
      </c>
      <c r="B1100" s="2">
        <v>3</v>
      </c>
      <c r="C1100" s="2">
        <v>5</v>
      </c>
      <c r="D1100" s="2">
        <v>2021</v>
      </c>
      <c r="E1100" s="1" t="s">
        <v>94</v>
      </c>
      <c r="F1100" s="2">
        <v>70.37</v>
      </c>
    </row>
    <row r="1101" spans="1:6" x14ac:dyDescent="0.2">
      <c r="A1101" s="2" t="s">
        <v>45</v>
      </c>
      <c r="B1101" s="2">
        <v>18</v>
      </c>
      <c r="C1101" s="2">
        <v>7</v>
      </c>
      <c r="D1101" s="2">
        <v>2021</v>
      </c>
      <c r="E1101" s="2">
        <v>33.479999999999997</v>
      </c>
      <c r="F1101" s="2">
        <v>70.37</v>
      </c>
    </row>
    <row r="1102" spans="1:6" x14ac:dyDescent="0.2">
      <c r="A1102" s="2" t="s">
        <v>39</v>
      </c>
      <c r="B1102" s="2">
        <v>22</v>
      </c>
      <c r="C1102" s="2">
        <v>4</v>
      </c>
      <c r="D1102" s="2">
        <v>2021</v>
      </c>
      <c r="E1102" s="2">
        <v>55.8</v>
      </c>
      <c r="F1102" s="2">
        <v>70.2</v>
      </c>
    </row>
    <row r="1103" spans="1:6" x14ac:dyDescent="0.2">
      <c r="A1103" s="2" t="s">
        <v>0</v>
      </c>
      <c r="B1103" s="2">
        <v>25</v>
      </c>
      <c r="C1103" s="2">
        <v>1</v>
      </c>
      <c r="D1103" s="2">
        <v>2021</v>
      </c>
      <c r="E1103" s="1" t="s">
        <v>94</v>
      </c>
      <c r="F1103" s="2">
        <v>70.06</v>
      </c>
    </row>
    <row r="1104" spans="1:6" x14ac:dyDescent="0.2">
      <c r="A1104" s="2" t="s">
        <v>50</v>
      </c>
      <c r="B1104" s="2">
        <v>24</v>
      </c>
      <c r="C1104" s="2">
        <v>1</v>
      </c>
      <c r="D1104" s="2">
        <v>2021</v>
      </c>
      <c r="E1104" s="2">
        <v>106.33</v>
      </c>
      <c r="F1104" s="2">
        <v>70.06</v>
      </c>
    </row>
    <row r="1105" spans="1:6" x14ac:dyDescent="0.2">
      <c r="A1105" s="2" t="s">
        <v>53</v>
      </c>
      <c r="B1105" s="2">
        <v>18</v>
      </c>
      <c r="C1105" s="2">
        <v>5</v>
      </c>
      <c r="D1105" s="2">
        <v>2021</v>
      </c>
      <c r="E1105" s="2">
        <v>43.09</v>
      </c>
      <c r="F1105" s="2">
        <v>70.06</v>
      </c>
    </row>
    <row r="1106" spans="1:6" x14ac:dyDescent="0.2">
      <c r="A1106" s="2" t="s">
        <v>53</v>
      </c>
      <c r="B1106" s="2">
        <v>18</v>
      </c>
      <c r="C1106" s="2">
        <v>11</v>
      </c>
      <c r="D1106" s="2">
        <v>2021</v>
      </c>
      <c r="E1106" s="2">
        <v>111.9</v>
      </c>
      <c r="F1106" s="2">
        <v>69.900000000000006</v>
      </c>
    </row>
    <row r="1107" spans="1:6" x14ac:dyDescent="0.2">
      <c r="A1107" s="2" t="s">
        <v>33</v>
      </c>
      <c r="B1107" s="2">
        <v>21</v>
      </c>
      <c r="C1107" s="2">
        <v>11</v>
      </c>
      <c r="D1107" s="2">
        <v>2021</v>
      </c>
      <c r="E1107" s="2">
        <v>96.3</v>
      </c>
      <c r="F1107" s="2">
        <v>69.900000000000006</v>
      </c>
    </row>
    <row r="1108" spans="1:6" x14ac:dyDescent="0.2">
      <c r="A1108" s="2" t="s">
        <v>39</v>
      </c>
      <c r="B1108" s="2">
        <v>22</v>
      </c>
      <c r="C1108" s="2">
        <v>11</v>
      </c>
      <c r="D1108" s="2">
        <v>2021</v>
      </c>
      <c r="E1108" s="2">
        <v>76.8</v>
      </c>
      <c r="F1108" s="2">
        <v>69.900000000000006</v>
      </c>
    </row>
    <row r="1109" spans="1:6" x14ac:dyDescent="0.2">
      <c r="A1109" s="2" t="s">
        <v>66</v>
      </c>
      <c r="B1109" s="2">
        <v>23</v>
      </c>
      <c r="C1109" s="2">
        <v>9</v>
      </c>
      <c r="D1109" s="2">
        <v>2021</v>
      </c>
      <c r="E1109" s="2">
        <v>52.2</v>
      </c>
      <c r="F1109" s="2">
        <v>69.900000000000006</v>
      </c>
    </row>
    <row r="1110" spans="1:6" x14ac:dyDescent="0.2">
      <c r="A1110" s="2" t="s">
        <v>62</v>
      </c>
      <c r="B1110" s="2">
        <v>1</v>
      </c>
      <c r="C1110" s="2">
        <v>7</v>
      </c>
      <c r="D1110" s="2">
        <v>2021</v>
      </c>
      <c r="E1110" s="2">
        <v>49.6</v>
      </c>
      <c r="F1110" s="2">
        <v>69.75</v>
      </c>
    </row>
    <row r="1111" spans="1:6" x14ac:dyDescent="0.2">
      <c r="A1111" s="2" t="s">
        <v>34</v>
      </c>
      <c r="B1111" s="2">
        <v>4</v>
      </c>
      <c r="C1111" s="2">
        <v>7</v>
      </c>
      <c r="D1111" s="2">
        <v>2021</v>
      </c>
      <c r="E1111" s="2">
        <v>28.52</v>
      </c>
      <c r="F1111" s="2">
        <v>69.75</v>
      </c>
    </row>
    <row r="1112" spans="1:6" x14ac:dyDescent="0.2">
      <c r="A1112" s="2" t="s">
        <v>64</v>
      </c>
      <c r="B1112" s="2">
        <v>21</v>
      </c>
      <c r="C1112" s="2">
        <v>2</v>
      </c>
      <c r="D1112" s="2">
        <v>2021</v>
      </c>
      <c r="E1112" s="2">
        <v>86.8</v>
      </c>
      <c r="F1112" s="2">
        <v>69.72</v>
      </c>
    </row>
    <row r="1113" spans="1:6" x14ac:dyDescent="0.2">
      <c r="A1113" s="2" t="s">
        <v>57</v>
      </c>
      <c r="B1113" s="2">
        <v>17</v>
      </c>
      <c r="C1113" s="2">
        <v>11</v>
      </c>
      <c r="D1113" s="2">
        <v>2021</v>
      </c>
      <c r="E1113" s="2">
        <v>117.9</v>
      </c>
      <c r="F1113" s="2">
        <v>69.599999999999994</v>
      </c>
    </row>
    <row r="1114" spans="1:6" x14ac:dyDescent="0.2">
      <c r="A1114" s="2" t="s">
        <v>85</v>
      </c>
      <c r="B1114" s="2">
        <v>3</v>
      </c>
      <c r="C1114" s="2">
        <v>6</v>
      </c>
      <c r="D1114" s="2">
        <v>2021</v>
      </c>
      <c r="E1114" s="2">
        <v>67.5</v>
      </c>
      <c r="F1114" s="2">
        <v>69.599999999999994</v>
      </c>
    </row>
    <row r="1115" spans="1:6" x14ac:dyDescent="0.2">
      <c r="A1115" s="2" t="s">
        <v>82</v>
      </c>
      <c r="B1115" s="2">
        <v>8</v>
      </c>
      <c r="C1115" s="2">
        <v>9</v>
      </c>
      <c r="D1115" s="2">
        <v>2021</v>
      </c>
      <c r="E1115" s="2">
        <v>51</v>
      </c>
      <c r="F1115" s="2">
        <v>69.599999999999994</v>
      </c>
    </row>
    <row r="1116" spans="1:6" x14ac:dyDescent="0.2">
      <c r="A1116" s="2" t="s">
        <v>55</v>
      </c>
      <c r="B1116" s="2">
        <v>18</v>
      </c>
      <c r="C1116" s="2">
        <v>9</v>
      </c>
      <c r="D1116" s="2">
        <v>2021</v>
      </c>
      <c r="E1116" s="2">
        <v>50.4</v>
      </c>
      <c r="F1116" s="2">
        <v>69.599999999999994</v>
      </c>
    </row>
    <row r="1117" spans="1:6" x14ac:dyDescent="0.2">
      <c r="A1117" s="2" t="s">
        <v>95</v>
      </c>
      <c r="B1117" s="2">
        <v>24</v>
      </c>
      <c r="C1117" s="2">
        <v>3</v>
      </c>
      <c r="D1117" s="2">
        <v>2021</v>
      </c>
      <c r="E1117" s="1" t="s">
        <v>94</v>
      </c>
      <c r="F1117" s="2">
        <v>69.44</v>
      </c>
    </row>
    <row r="1118" spans="1:6" x14ac:dyDescent="0.2">
      <c r="A1118" s="2" t="s">
        <v>51</v>
      </c>
      <c r="B1118" s="2">
        <v>16</v>
      </c>
      <c r="C1118" s="2">
        <v>1</v>
      </c>
      <c r="D1118" s="2">
        <v>2021</v>
      </c>
      <c r="E1118" s="2">
        <v>119.97</v>
      </c>
      <c r="F1118" s="2">
        <v>69.44</v>
      </c>
    </row>
    <row r="1119" spans="1:6" x14ac:dyDescent="0.2">
      <c r="A1119" s="2" t="s">
        <v>33</v>
      </c>
      <c r="B1119" s="2">
        <v>21</v>
      </c>
      <c r="C1119" s="2">
        <v>2</v>
      </c>
      <c r="D1119" s="2">
        <v>2021</v>
      </c>
      <c r="E1119" s="2">
        <v>95.2</v>
      </c>
      <c r="F1119" s="2">
        <v>69.44</v>
      </c>
    </row>
    <row r="1120" spans="1:6" x14ac:dyDescent="0.2">
      <c r="A1120" s="2" t="s">
        <v>49</v>
      </c>
      <c r="B1120" s="2">
        <v>3</v>
      </c>
      <c r="C1120" s="2">
        <v>7</v>
      </c>
      <c r="D1120" s="2">
        <v>2021</v>
      </c>
      <c r="E1120" s="2">
        <v>35.340000000000003</v>
      </c>
      <c r="F1120" s="2">
        <v>69.44</v>
      </c>
    </row>
    <row r="1121" spans="1:6" x14ac:dyDescent="0.2">
      <c r="A1121" s="2" t="s">
        <v>47</v>
      </c>
      <c r="B1121" s="2">
        <v>19</v>
      </c>
      <c r="C1121" s="2">
        <v>4</v>
      </c>
      <c r="D1121" s="2">
        <v>2021</v>
      </c>
      <c r="E1121" s="2">
        <v>66.3</v>
      </c>
      <c r="F1121" s="2">
        <v>69.3</v>
      </c>
    </row>
    <row r="1122" spans="1:6" x14ac:dyDescent="0.2">
      <c r="A1122" s="2" t="s">
        <v>47</v>
      </c>
      <c r="B1122" s="2">
        <v>19</v>
      </c>
      <c r="C1122" s="2">
        <v>2</v>
      </c>
      <c r="D1122" s="2">
        <v>2021</v>
      </c>
      <c r="E1122" s="2">
        <v>94.36</v>
      </c>
      <c r="F1122" s="2">
        <v>69.16</v>
      </c>
    </row>
    <row r="1123" spans="1:6" x14ac:dyDescent="0.2">
      <c r="A1123" s="2" t="s">
        <v>34</v>
      </c>
      <c r="B1123" s="2">
        <v>4</v>
      </c>
      <c r="C1123" s="2">
        <v>5</v>
      </c>
      <c r="D1123" s="2">
        <v>2021</v>
      </c>
      <c r="E1123" s="2">
        <v>27.9</v>
      </c>
      <c r="F1123" s="2">
        <v>69.13</v>
      </c>
    </row>
    <row r="1124" spans="1:6" x14ac:dyDescent="0.2">
      <c r="A1124" s="2" t="s">
        <v>57</v>
      </c>
      <c r="B1124" s="2">
        <v>17</v>
      </c>
      <c r="C1124" s="2">
        <v>2</v>
      </c>
      <c r="D1124" s="2">
        <v>2021</v>
      </c>
      <c r="E1124" s="2">
        <v>96.32</v>
      </c>
      <c r="F1124" s="2">
        <v>68.88</v>
      </c>
    </row>
    <row r="1125" spans="1:6" x14ac:dyDescent="0.2">
      <c r="A1125" s="2" t="s">
        <v>96</v>
      </c>
      <c r="B1125" s="2">
        <v>3</v>
      </c>
      <c r="C1125" s="2">
        <v>8</v>
      </c>
      <c r="D1125" s="2">
        <v>2021</v>
      </c>
      <c r="E1125" s="1" t="s">
        <v>94</v>
      </c>
      <c r="F1125" s="2">
        <v>68.819999999999993</v>
      </c>
    </row>
    <row r="1126" spans="1:6" x14ac:dyDescent="0.2">
      <c r="A1126" s="2" t="s">
        <v>45</v>
      </c>
      <c r="B1126" s="2">
        <v>18</v>
      </c>
      <c r="C1126" s="2">
        <v>1</v>
      </c>
      <c r="D1126" s="2">
        <v>2021</v>
      </c>
      <c r="E1126" s="2">
        <v>92.69</v>
      </c>
      <c r="F1126" s="2">
        <v>68.819999999999993</v>
      </c>
    </row>
    <row r="1127" spans="1:6" x14ac:dyDescent="0.2">
      <c r="A1127" s="2" t="s">
        <v>45</v>
      </c>
      <c r="B1127" s="2">
        <v>18</v>
      </c>
      <c r="C1127" s="2">
        <v>12</v>
      </c>
      <c r="D1127" s="2">
        <v>2021</v>
      </c>
      <c r="E1127" s="2">
        <v>87.73</v>
      </c>
      <c r="F1127" s="2">
        <v>68.819999999999993</v>
      </c>
    </row>
    <row r="1128" spans="1:6" x14ac:dyDescent="0.2">
      <c r="A1128" s="2" t="s">
        <v>58</v>
      </c>
      <c r="B1128" s="2">
        <v>16</v>
      </c>
      <c r="C1128" s="2">
        <v>3</v>
      </c>
      <c r="D1128" s="2">
        <v>2021</v>
      </c>
      <c r="E1128" s="2">
        <v>67.58</v>
      </c>
      <c r="F1128" s="2">
        <v>68.819999999999993</v>
      </c>
    </row>
    <row r="1129" spans="1:6" x14ac:dyDescent="0.2">
      <c r="A1129" s="2" t="s">
        <v>58</v>
      </c>
      <c r="B1129" s="2">
        <v>16</v>
      </c>
      <c r="C1129" s="2">
        <v>8</v>
      </c>
      <c r="D1129" s="2">
        <v>2021</v>
      </c>
      <c r="E1129" s="2">
        <v>37.82</v>
      </c>
      <c r="F1129" s="2">
        <v>68.819999999999993</v>
      </c>
    </row>
    <row r="1130" spans="1:6" x14ac:dyDescent="0.2">
      <c r="A1130" s="2" t="s">
        <v>0</v>
      </c>
      <c r="B1130" s="2">
        <v>25</v>
      </c>
      <c r="C1130" s="2">
        <v>10</v>
      </c>
      <c r="D1130" s="2">
        <v>2021</v>
      </c>
      <c r="E1130" s="1" t="s">
        <v>94</v>
      </c>
      <c r="F1130" s="2">
        <v>68.510000000000005</v>
      </c>
    </row>
    <row r="1131" spans="1:6" x14ac:dyDescent="0.2">
      <c r="A1131" s="2" t="s">
        <v>49</v>
      </c>
      <c r="B1131" s="2">
        <v>3</v>
      </c>
      <c r="C1131" s="2">
        <v>5</v>
      </c>
      <c r="D1131" s="2">
        <v>2021</v>
      </c>
      <c r="E1131" s="2">
        <v>32.24</v>
      </c>
      <c r="F1131" s="2">
        <v>68.510000000000005</v>
      </c>
    </row>
    <row r="1132" spans="1:6" x14ac:dyDescent="0.2">
      <c r="A1132" s="2" t="s">
        <v>35</v>
      </c>
      <c r="B1132" s="2">
        <v>9</v>
      </c>
      <c r="C1132" s="2">
        <v>5</v>
      </c>
      <c r="D1132" s="2">
        <v>2021</v>
      </c>
      <c r="E1132" s="2">
        <v>26.35</v>
      </c>
      <c r="F1132" s="2">
        <v>68.510000000000005</v>
      </c>
    </row>
    <row r="1133" spans="1:6" x14ac:dyDescent="0.2">
      <c r="A1133" s="2" t="s">
        <v>42</v>
      </c>
      <c r="B1133" s="2">
        <v>12</v>
      </c>
      <c r="C1133" s="2">
        <v>6</v>
      </c>
      <c r="D1133" s="2">
        <v>2021</v>
      </c>
      <c r="E1133" s="2">
        <v>22.5</v>
      </c>
      <c r="F1133" s="2">
        <v>68.400000000000006</v>
      </c>
    </row>
    <row r="1134" spans="1:6" x14ac:dyDescent="0.2">
      <c r="A1134" s="2" t="s">
        <v>35</v>
      </c>
      <c r="B1134" s="2">
        <v>9</v>
      </c>
      <c r="C1134" s="2">
        <v>12</v>
      </c>
      <c r="D1134" s="2">
        <v>2021</v>
      </c>
      <c r="E1134" s="2">
        <v>115.32</v>
      </c>
      <c r="F1134" s="2">
        <v>68.2</v>
      </c>
    </row>
    <row r="1135" spans="1:6" x14ac:dyDescent="0.2">
      <c r="A1135" s="2" t="s">
        <v>89</v>
      </c>
      <c r="B1135" s="2">
        <v>2</v>
      </c>
      <c r="C1135" s="2">
        <v>6</v>
      </c>
      <c r="D1135" s="2">
        <v>2021</v>
      </c>
      <c r="E1135" s="2">
        <v>52.8</v>
      </c>
      <c r="F1135" s="2">
        <v>68.099999999999994</v>
      </c>
    </row>
    <row r="1136" spans="1:6" x14ac:dyDescent="0.2">
      <c r="A1136" s="2" t="s">
        <v>36</v>
      </c>
      <c r="B1136" s="2">
        <v>12</v>
      </c>
      <c r="C1136" s="2">
        <v>6</v>
      </c>
      <c r="D1136" s="2">
        <v>2021</v>
      </c>
      <c r="E1136" s="2">
        <v>28.8</v>
      </c>
      <c r="F1136" s="2">
        <v>68.099999999999994</v>
      </c>
    </row>
    <row r="1137" spans="1:6" x14ac:dyDescent="0.2">
      <c r="A1137" s="2" t="s">
        <v>42</v>
      </c>
      <c r="B1137" s="2">
        <v>12</v>
      </c>
      <c r="C1137" s="2">
        <v>12</v>
      </c>
      <c r="D1137" s="2">
        <v>2021</v>
      </c>
      <c r="E1137" s="2">
        <v>115.63</v>
      </c>
      <c r="F1137" s="2">
        <v>67.58</v>
      </c>
    </row>
    <row r="1138" spans="1:6" x14ac:dyDescent="0.2">
      <c r="A1138" s="2" t="s">
        <v>49</v>
      </c>
      <c r="B1138" s="2">
        <v>3</v>
      </c>
      <c r="C1138" s="2">
        <v>12</v>
      </c>
      <c r="D1138" s="2">
        <v>2021</v>
      </c>
      <c r="E1138" s="2">
        <v>106.02</v>
      </c>
      <c r="F1138" s="2">
        <v>67.58</v>
      </c>
    </row>
    <row r="1139" spans="1:6" x14ac:dyDescent="0.2">
      <c r="A1139" s="2" t="s">
        <v>42</v>
      </c>
      <c r="B1139" s="2">
        <v>12</v>
      </c>
      <c r="C1139" s="2">
        <v>10</v>
      </c>
      <c r="D1139" s="2">
        <v>2021</v>
      </c>
      <c r="E1139" s="2">
        <v>64.790000000000006</v>
      </c>
      <c r="F1139" s="2">
        <v>67.58</v>
      </c>
    </row>
    <row r="1140" spans="1:6" x14ac:dyDescent="0.2">
      <c r="A1140" s="2" t="s">
        <v>34</v>
      </c>
      <c r="B1140" s="2">
        <v>4</v>
      </c>
      <c r="C1140" s="2">
        <v>11</v>
      </c>
      <c r="D1140" s="2">
        <v>2021</v>
      </c>
      <c r="E1140" s="2">
        <v>100.2</v>
      </c>
      <c r="F1140" s="2">
        <v>67.5</v>
      </c>
    </row>
    <row r="1141" spans="1:6" x14ac:dyDescent="0.2">
      <c r="A1141" s="2" t="s">
        <v>34</v>
      </c>
      <c r="B1141" s="2">
        <v>4</v>
      </c>
      <c r="C1141" s="2">
        <v>6</v>
      </c>
      <c r="D1141" s="2">
        <v>2021</v>
      </c>
      <c r="E1141" s="2">
        <v>27.9</v>
      </c>
      <c r="F1141" s="2">
        <v>67.5</v>
      </c>
    </row>
    <row r="1142" spans="1:6" x14ac:dyDescent="0.2">
      <c r="A1142" s="2" t="s">
        <v>49</v>
      </c>
      <c r="B1142" s="2">
        <v>3</v>
      </c>
      <c r="C1142" s="2">
        <v>3</v>
      </c>
      <c r="D1142" s="2">
        <v>2021</v>
      </c>
      <c r="E1142" s="2">
        <v>68.2</v>
      </c>
      <c r="F1142" s="2">
        <v>67.27</v>
      </c>
    </row>
    <row r="1143" spans="1:6" x14ac:dyDescent="0.2">
      <c r="A1143" s="2" t="s">
        <v>82</v>
      </c>
      <c r="B1143" s="2">
        <v>8</v>
      </c>
      <c r="C1143" s="2">
        <v>5</v>
      </c>
      <c r="D1143" s="2">
        <v>2021</v>
      </c>
      <c r="E1143" s="2">
        <v>59.52</v>
      </c>
      <c r="F1143" s="2">
        <v>67.27</v>
      </c>
    </row>
    <row r="1144" spans="1:6" x14ac:dyDescent="0.2">
      <c r="A1144" s="2" t="s">
        <v>49</v>
      </c>
      <c r="B1144" s="2">
        <v>3</v>
      </c>
      <c r="C1144" s="2">
        <v>6</v>
      </c>
      <c r="D1144" s="2">
        <v>2021</v>
      </c>
      <c r="E1144" s="2">
        <v>26.4</v>
      </c>
      <c r="F1144" s="2">
        <v>67.2</v>
      </c>
    </row>
    <row r="1145" spans="1:6" x14ac:dyDescent="0.2">
      <c r="A1145" s="2" t="s">
        <v>36</v>
      </c>
      <c r="B1145" s="2">
        <v>12</v>
      </c>
      <c r="C1145" s="2">
        <v>1</v>
      </c>
      <c r="D1145" s="2">
        <v>2021</v>
      </c>
      <c r="E1145" s="2">
        <v>100.13</v>
      </c>
      <c r="F1145" s="2">
        <v>66.959999999999994</v>
      </c>
    </row>
    <row r="1146" spans="1:6" x14ac:dyDescent="0.2">
      <c r="A1146" s="2" t="s">
        <v>58</v>
      </c>
      <c r="B1146" s="2">
        <v>16</v>
      </c>
      <c r="C1146" s="2">
        <v>10</v>
      </c>
      <c r="D1146" s="2">
        <v>2021</v>
      </c>
      <c r="E1146" s="2">
        <v>74.09</v>
      </c>
      <c r="F1146" s="2">
        <v>66.959999999999994</v>
      </c>
    </row>
    <row r="1147" spans="1:6" x14ac:dyDescent="0.2">
      <c r="A1147" s="2" t="s">
        <v>50</v>
      </c>
      <c r="B1147" s="2">
        <v>24</v>
      </c>
      <c r="C1147" s="2">
        <v>5</v>
      </c>
      <c r="D1147" s="2">
        <v>2021</v>
      </c>
      <c r="E1147" s="2">
        <v>38.130000000000003</v>
      </c>
      <c r="F1147" s="2">
        <v>66.959999999999994</v>
      </c>
    </row>
    <row r="1148" spans="1:6" x14ac:dyDescent="0.2">
      <c r="A1148" s="2" t="s">
        <v>95</v>
      </c>
      <c r="B1148" s="2">
        <v>24</v>
      </c>
      <c r="C1148" s="2">
        <v>2</v>
      </c>
      <c r="D1148" s="2">
        <v>2021</v>
      </c>
      <c r="E1148" s="1" t="s">
        <v>94</v>
      </c>
      <c r="F1148" s="2">
        <v>66.92</v>
      </c>
    </row>
    <row r="1149" spans="1:6" x14ac:dyDescent="0.2">
      <c r="A1149" s="2" t="s">
        <v>50</v>
      </c>
      <c r="B1149" s="2">
        <v>24</v>
      </c>
      <c r="C1149" s="2">
        <v>4</v>
      </c>
      <c r="D1149" s="2">
        <v>2021</v>
      </c>
      <c r="E1149" s="2">
        <v>64.8</v>
      </c>
      <c r="F1149" s="2">
        <v>66.900000000000006</v>
      </c>
    </row>
    <row r="1150" spans="1:6" x14ac:dyDescent="0.2">
      <c r="A1150" s="2" t="s">
        <v>55</v>
      </c>
      <c r="B1150" s="2">
        <v>18</v>
      </c>
      <c r="C1150" s="2">
        <v>5</v>
      </c>
      <c r="D1150" s="2">
        <v>2021</v>
      </c>
      <c r="E1150" s="2">
        <v>36.89</v>
      </c>
      <c r="F1150" s="2">
        <v>66.34</v>
      </c>
    </row>
    <row r="1151" spans="1:6" x14ac:dyDescent="0.2">
      <c r="A1151" s="2" t="s">
        <v>42</v>
      </c>
      <c r="B1151" s="2">
        <v>12</v>
      </c>
      <c r="C1151" s="2">
        <v>8</v>
      </c>
      <c r="D1151" s="2">
        <v>2021</v>
      </c>
      <c r="E1151" s="2">
        <v>26.66</v>
      </c>
      <c r="F1151" s="2">
        <v>66.34</v>
      </c>
    </row>
    <row r="1152" spans="1:6" x14ac:dyDescent="0.2">
      <c r="A1152" s="2" t="s">
        <v>33</v>
      </c>
      <c r="B1152" s="2">
        <v>21</v>
      </c>
      <c r="C1152" s="2">
        <v>7</v>
      </c>
      <c r="D1152" s="2">
        <v>2021</v>
      </c>
      <c r="E1152" s="2">
        <v>11.78</v>
      </c>
      <c r="F1152" s="2">
        <v>66.34</v>
      </c>
    </row>
    <row r="1153" spans="1:6" x14ac:dyDescent="0.2">
      <c r="A1153" s="2" t="s">
        <v>48</v>
      </c>
      <c r="B1153" s="2">
        <v>24</v>
      </c>
      <c r="C1153" s="2">
        <v>2</v>
      </c>
      <c r="D1153" s="2">
        <v>2021</v>
      </c>
      <c r="E1153" s="2">
        <v>111.72</v>
      </c>
      <c r="F1153" s="2">
        <v>66.08</v>
      </c>
    </row>
    <row r="1154" spans="1:6" x14ac:dyDescent="0.2">
      <c r="A1154" s="2" t="s">
        <v>62</v>
      </c>
      <c r="B1154" s="2">
        <v>1</v>
      </c>
      <c r="C1154" s="2">
        <v>9</v>
      </c>
      <c r="D1154" s="2">
        <v>2021</v>
      </c>
      <c r="E1154" s="2">
        <v>42.3</v>
      </c>
      <c r="F1154" s="2">
        <v>66</v>
      </c>
    </row>
    <row r="1155" spans="1:6" x14ac:dyDescent="0.2">
      <c r="A1155" s="2" t="s">
        <v>66</v>
      </c>
      <c r="B1155" s="2">
        <v>23</v>
      </c>
      <c r="C1155" s="2">
        <v>2</v>
      </c>
      <c r="D1155" s="2">
        <v>2021</v>
      </c>
      <c r="E1155" s="2">
        <v>115.92</v>
      </c>
      <c r="F1155" s="2">
        <v>65.8</v>
      </c>
    </row>
    <row r="1156" spans="1:6" x14ac:dyDescent="0.2">
      <c r="A1156" s="2" t="s">
        <v>89</v>
      </c>
      <c r="B1156" s="2">
        <v>2</v>
      </c>
      <c r="C1156" s="2">
        <v>1</v>
      </c>
      <c r="D1156" s="2">
        <v>2021</v>
      </c>
      <c r="E1156" s="2">
        <v>139.5</v>
      </c>
      <c r="F1156" s="2">
        <v>65.72</v>
      </c>
    </row>
    <row r="1157" spans="1:6" x14ac:dyDescent="0.2">
      <c r="A1157" s="2" t="s">
        <v>82</v>
      </c>
      <c r="B1157" s="2">
        <v>8</v>
      </c>
      <c r="C1157" s="2">
        <v>12</v>
      </c>
      <c r="D1157" s="2">
        <v>2021</v>
      </c>
      <c r="E1157" s="2">
        <v>109.43</v>
      </c>
      <c r="F1157" s="2">
        <v>65.72</v>
      </c>
    </row>
    <row r="1158" spans="1:6" x14ac:dyDescent="0.2">
      <c r="A1158" s="2" t="s">
        <v>35</v>
      </c>
      <c r="B1158" s="2">
        <v>9</v>
      </c>
      <c r="C1158" s="2">
        <v>8</v>
      </c>
      <c r="D1158" s="2">
        <v>2021</v>
      </c>
      <c r="E1158" s="2">
        <v>29.14</v>
      </c>
      <c r="F1158" s="2">
        <v>65.72</v>
      </c>
    </row>
    <row r="1159" spans="1:6" x14ac:dyDescent="0.2">
      <c r="A1159" s="2" t="s">
        <v>89</v>
      </c>
      <c r="B1159" s="2">
        <v>2</v>
      </c>
      <c r="C1159" s="2">
        <v>4</v>
      </c>
      <c r="D1159" s="2">
        <v>2021</v>
      </c>
      <c r="E1159" s="2">
        <v>99</v>
      </c>
      <c r="F1159" s="2">
        <v>65.7</v>
      </c>
    </row>
    <row r="1160" spans="1:6" x14ac:dyDescent="0.2">
      <c r="A1160" s="2" t="s">
        <v>58</v>
      </c>
      <c r="B1160" s="2">
        <v>16</v>
      </c>
      <c r="C1160" s="2">
        <v>1</v>
      </c>
      <c r="D1160" s="2">
        <v>2021</v>
      </c>
      <c r="E1160" s="2">
        <v>106.02</v>
      </c>
      <c r="F1160" s="2">
        <v>65.41</v>
      </c>
    </row>
    <row r="1161" spans="1:6" x14ac:dyDescent="0.2">
      <c r="A1161" s="2" t="s">
        <v>36</v>
      </c>
      <c r="B1161" s="2">
        <v>12</v>
      </c>
      <c r="C1161" s="2">
        <v>3</v>
      </c>
      <c r="D1161" s="2">
        <v>2021</v>
      </c>
      <c r="E1161" s="2">
        <v>68.819999999999993</v>
      </c>
      <c r="F1161" s="2">
        <v>65.41</v>
      </c>
    </row>
    <row r="1162" spans="1:6" x14ac:dyDescent="0.2">
      <c r="A1162" s="2" t="s">
        <v>89</v>
      </c>
      <c r="B1162" s="2">
        <v>2</v>
      </c>
      <c r="C1162" s="2">
        <v>8</v>
      </c>
      <c r="D1162" s="2">
        <v>2021</v>
      </c>
      <c r="E1162" s="2">
        <v>60.45</v>
      </c>
      <c r="F1162" s="2">
        <v>65.099999999999994</v>
      </c>
    </row>
    <row r="1163" spans="1:6" x14ac:dyDescent="0.2">
      <c r="A1163" s="2" t="s">
        <v>82</v>
      </c>
      <c r="B1163" s="2">
        <v>8</v>
      </c>
      <c r="C1163" s="2">
        <v>10</v>
      </c>
      <c r="D1163" s="2">
        <v>2021</v>
      </c>
      <c r="E1163" s="2">
        <v>84.94</v>
      </c>
      <c r="F1163" s="2">
        <v>64.790000000000006</v>
      </c>
    </row>
    <row r="1164" spans="1:6" x14ac:dyDescent="0.2">
      <c r="A1164" s="2" t="s">
        <v>36</v>
      </c>
      <c r="B1164" s="2">
        <v>12</v>
      </c>
      <c r="C1164" s="2">
        <v>10</v>
      </c>
      <c r="D1164" s="2">
        <v>2021</v>
      </c>
      <c r="E1164" s="2">
        <v>63.24</v>
      </c>
      <c r="F1164" s="2">
        <v>64.790000000000006</v>
      </c>
    </row>
    <row r="1165" spans="1:6" x14ac:dyDescent="0.2">
      <c r="A1165" s="2" t="s">
        <v>36</v>
      </c>
      <c r="B1165" s="2">
        <v>12</v>
      </c>
      <c r="C1165" s="2">
        <v>2</v>
      </c>
      <c r="D1165" s="2">
        <v>2021</v>
      </c>
      <c r="E1165" s="2">
        <v>99.4</v>
      </c>
      <c r="F1165" s="2">
        <v>64.400000000000006</v>
      </c>
    </row>
    <row r="1166" spans="1:6" x14ac:dyDescent="0.2">
      <c r="A1166" s="2" t="s">
        <v>58</v>
      </c>
      <c r="B1166" s="2">
        <v>16</v>
      </c>
      <c r="C1166" s="2">
        <v>11</v>
      </c>
      <c r="D1166" s="2">
        <v>2021</v>
      </c>
      <c r="E1166" s="2">
        <v>92.4</v>
      </c>
      <c r="F1166" s="2">
        <v>64.2</v>
      </c>
    </row>
    <row r="1167" spans="1:6" x14ac:dyDescent="0.2">
      <c r="A1167" s="2" t="s">
        <v>91</v>
      </c>
      <c r="B1167" s="2">
        <v>5</v>
      </c>
      <c r="C1167" s="2">
        <v>9</v>
      </c>
      <c r="D1167" s="2">
        <v>2021</v>
      </c>
      <c r="E1167" s="2">
        <v>65.099999999999994</v>
      </c>
      <c r="F1167" s="2">
        <v>64.2</v>
      </c>
    </row>
    <row r="1168" spans="1:6" x14ac:dyDescent="0.2">
      <c r="A1168" s="2" t="s">
        <v>82</v>
      </c>
      <c r="B1168" s="2">
        <v>8</v>
      </c>
      <c r="C1168" s="2">
        <v>6</v>
      </c>
      <c r="D1168" s="2">
        <v>2021</v>
      </c>
      <c r="E1168" s="2">
        <v>45.6</v>
      </c>
      <c r="F1168" s="2">
        <v>64.2</v>
      </c>
    </row>
    <row r="1169" spans="1:6" x14ac:dyDescent="0.2">
      <c r="A1169" s="2" t="s">
        <v>89</v>
      </c>
      <c r="B1169" s="2">
        <v>2</v>
      </c>
      <c r="C1169" s="2">
        <v>10</v>
      </c>
      <c r="D1169" s="2">
        <v>2021</v>
      </c>
      <c r="E1169" s="2">
        <v>89.28</v>
      </c>
      <c r="F1169" s="2">
        <v>64.17</v>
      </c>
    </row>
    <row r="1170" spans="1:6" x14ac:dyDescent="0.2">
      <c r="A1170" s="2" t="s">
        <v>0</v>
      </c>
      <c r="B1170" s="2">
        <v>25</v>
      </c>
      <c r="C1170" s="2">
        <v>5</v>
      </c>
      <c r="D1170" s="2">
        <v>2021</v>
      </c>
      <c r="E1170" s="1" t="s">
        <v>94</v>
      </c>
      <c r="F1170" s="2">
        <v>63.86</v>
      </c>
    </row>
    <row r="1171" spans="1:6" x14ac:dyDescent="0.2">
      <c r="A1171" s="2" t="s">
        <v>36</v>
      </c>
      <c r="B1171" s="2">
        <v>12</v>
      </c>
      <c r="C1171" s="2">
        <v>12</v>
      </c>
      <c r="D1171" s="2">
        <v>2021</v>
      </c>
      <c r="E1171" s="2">
        <v>93.62</v>
      </c>
      <c r="F1171" s="2">
        <v>63.86</v>
      </c>
    </row>
    <row r="1172" spans="1:6" x14ac:dyDescent="0.2">
      <c r="A1172" s="2" t="s">
        <v>48</v>
      </c>
      <c r="B1172" s="2">
        <v>24</v>
      </c>
      <c r="C1172" s="2">
        <v>8</v>
      </c>
      <c r="D1172" s="2">
        <v>2021</v>
      </c>
      <c r="E1172" s="2">
        <v>40.299999999999997</v>
      </c>
      <c r="F1172" s="2">
        <v>63.55</v>
      </c>
    </row>
    <row r="1173" spans="1:6" x14ac:dyDescent="0.2">
      <c r="A1173" s="2" t="s">
        <v>40</v>
      </c>
      <c r="B1173" s="2">
        <v>15</v>
      </c>
      <c r="C1173" s="2">
        <v>11</v>
      </c>
      <c r="D1173" s="2">
        <v>2021</v>
      </c>
      <c r="E1173" s="2">
        <v>109.8</v>
      </c>
      <c r="F1173" s="2">
        <v>63.3</v>
      </c>
    </row>
    <row r="1174" spans="1:6" x14ac:dyDescent="0.2">
      <c r="A1174" s="2" t="s">
        <v>82</v>
      </c>
      <c r="B1174" s="2">
        <v>8</v>
      </c>
      <c r="C1174" s="2">
        <v>2</v>
      </c>
      <c r="D1174" s="2">
        <v>2021</v>
      </c>
      <c r="E1174" s="2">
        <v>125.16</v>
      </c>
      <c r="F1174" s="2">
        <v>63.28</v>
      </c>
    </row>
    <row r="1175" spans="1:6" x14ac:dyDescent="0.2">
      <c r="A1175" s="2" t="s">
        <v>46</v>
      </c>
      <c r="B1175" s="2">
        <v>9</v>
      </c>
      <c r="C1175" s="2">
        <v>2</v>
      </c>
      <c r="D1175" s="2">
        <v>2021</v>
      </c>
      <c r="E1175" s="2">
        <v>87.92</v>
      </c>
      <c r="F1175" s="2">
        <v>63.28</v>
      </c>
    </row>
    <row r="1176" spans="1:6" x14ac:dyDescent="0.2">
      <c r="A1176" s="2" t="s">
        <v>50</v>
      </c>
      <c r="B1176" s="2">
        <v>24</v>
      </c>
      <c r="C1176" s="2">
        <v>2</v>
      </c>
      <c r="D1176" s="2">
        <v>2021</v>
      </c>
      <c r="E1176" s="2">
        <v>84.84</v>
      </c>
      <c r="F1176" s="2">
        <v>63.28</v>
      </c>
    </row>
    <row r="1177" spans="1:6" x14ac:dyDescent="0.2">
      <c r="A1177" s="2" t="s">
        <v>48</v>
      </c>
      <c r="B1177" s="2">
        <v>24</v>
      </c>
      <c r="C1177" s="2">
        <v>12</v>
      </c>
      <c r="D1177" s="2">
        <v>2021</v>
      </c>
      <c r="E1177" s="2">
        <v>135.16</v>
      </c>
      <c r="F1177" s="2">
        <v>63.24</v>
      </c>
    </row>
    <row r="1178" spans="1:6" x14ac:dyDescent="0.2">
      <c r="A1178" s="2" t="s">
        <v>50</v>
      </c>
      <c r="B1178" s="2">
        <v>24</v>
      </c>
      <c r="C1178" s="2">
        <v>8</v>
      </c>
      <c r="D1178" s="2">
        <v>2021</v>
      </c>
      <c r="E1178" s="2">
        <v>26.97</v>
      </c>
      <c r="F1178" s="2">
        <v>63.24</v>
      </c>
    </row>
    <row r="1179" spans="1:6" x14ac:dyDescent="0.2">
      <c r="A1179" s="2" t="s">
        <v>89</v>
      </c>
      <c r="B1179" s="2">
        <v>2</v>
      </c>
      <c r="C1179" s="2">
        <v>2</v>
      </c>
      <c r="D1179" s="2">
        <v>2021</v>
      </c>
      <c r="E1179" s="2">
        <v>110.04</v>
      </c>
      <c r="F1179" s="2">
        <v>63</v>
      </c>
    </row>
    <row r="1180" spans="1:6" x14ac:dyDescent="0.2">
      <c r="A1180" s="2" t="s">
        <v>34</v>
      </c>
      <c r="B1180" s="2">
        <v>4</v>
      </c>
      <c r="C1180" s="2">
        <v>2</v>
      </c>
      <c r="D1180" s="2">
        <v>2021</v>
      </c>
      <c r="E1180" s="2">
        <v>89.88</v>
      </c>
      <c r="F1180" s="2">
        <v>63</v>
      </c>
    </row>
    <row r="1181" spans="1:6" x14ac:dyDescent="0.2">
      <c r="A1181" s="2" t="s">
        <v>82</v>
      </c>
      <c r="B1181" s="2">
        <v>8</v>
      </c>
      <c r="C1181" s="2">
        <v>4</v>
      </c>
      <c r="D1181" s="2">
        <v>2021</v>
      </c>
      <c r="E1181" s="2">
        <v>73.8</v>
      </c>
      <c r="F1181" s="2">
        <v>63</v>
      </c>
    </row>
    <row r="1182" spans="1:6" x14ac:dyDescent="0.2">
      <c r="A1182" s="2" t="s">
        <v>95</v>
      </c>
      <c r="B1182" s="2">
        <v>24</v>
      </c>
      <c r="C1182" s="2">
        <v>8</v>
      </c>
      <c r="D1182" s="2">
        <v>2021</v>
      </c>
      <c r="E1182" s="1" t="s">
        <v>94</v>
      </c>
      <c r="F1182" s="2">
        <v>62.93</v>
      </c>
    </row>
    <row r="1183" spans="1:6" x14ac:dyDescent="0.2">
      <c r="A1183" s="2" t="s">
        <v>51</v>
      </c>
      <c r="B1183" s="2">
        <v>16</v>
      </c>
      <c r="C1183" s="2">
        <v>2</v>
      </c>
      <c r="D1183" s="2">
        <v>2021</v>
      </c>
      <c r="E1183" s="2">
        <v>101.64</v>
      </c>
      <c r="F1183" s="2">
        <v>62.72</v>
      </c>
    </row>
    <row r="1184" spans="1:6" x14ac:dyDescent="0.2">
      <c r="A1184" s="2" t="s">
        <v>62</v>
      </c>
      <c r="B1184" s="2">
        <v>1</v>
      </c>
      <c r="C1184" s="2">
        <v>6</v>
      </c>
      <c r="D1184" s="2">
        <v>2021</v>
      </c>
      <c r="E1184" s="2">
        <v>33.9</v>
      </c>
      <c r="F1184" s="2">
        <v>62.7</v>
      </c>
    </row>
    <row r="1185" spans="1:6" x14ac:dyDescent="0.2">
      <c r="A1185" s="2" t="s">
        <v>36</v>
      </c>
      <c r="B1185" s="2">
        <v>12</v>
      </c>
      <c r="C1185" s="2">
        <v>9</v>
      </c>
      <c r="D1185" s="2">
        <v>2021</v>
      </c>
      <c r="E1185" s="2">
        <v>26.7</v>
      </c>
      <c r="F1185" s="2">
        <v>62.4</v>
      </c>
    </row>
    <row r="1186" spans="1:6" x14ac:dyDescent="0.2">
      <c r="A1186" s="2" t="s">
        <v>62</v>
      </c>
      <c r="B1186" s="2">
        <v>1</v>
      </c>
      <c r="C1186" s="2">
        <v>11</v>
      </c>
      <c r="D1186" s="2">
        <v>2021</v>
      </c>
      <c r="E1186" s="2">
        <v>102.3</v>
      </c>
      <c r="F1186" s="2">
        <v>62.1</v>
      </c>
    </row>
    <row r="1187" spans="1:6" x14ac:dyDescent="0.2">
      <c r="A1187" s="2" t="s">
        <v>35</v>
      </c>
      <c r="B1187" s="2">
        <v>9</v>
      </c>
      <c r="C1187" s="2">
        <v>6</v>
      </c>
      <c r="D1187" s="2">
        <v>2021</v>
      </c>
      <c r="E1187" s="2">
        <v>17.7</v>
      </c>
      <c r="F1187" s="2">
        <v>62.1</v>
      </c>
    </row>
    <row r="1188" spans="1:6" x14ac:dyDescent="0.2">
      <c r="A1188" s="2" t="s">
        <v>58</v>
      </c>
      <c r="B1188" s="2">
        <v>16</v>
      </c>
      <c r="C1188" s="2">
        <v>7</v>
      </c>
      <c r="D1188" s="2">
        <v>2021</v>
      </c>
      <c r="E1188" s="2">
        <v>37.51</v>
      </c>
      <c r="F1188" s="2">
        <v>62</v>
      </c>
    </row>
    <row r="1189" spans="1:6" x14ac:dyDescent="0.2">
      <c r="A1189" s="2" t="s">
        <v>50</v>
      </c>
      <c r="B1189" s="2">
        <v>24</v>
      </c>
      <c r="C1189" s="2">
        <v>11</v>
      </c>
      <c r="D1189" s="2">
        <v>2021</v>
      </c>
      <c r="E1189" s="2">
        <v>111.6</v>
      </c>
      <c r="F1189" s="2">
        <v>61.8</v>
      </c>
    </row>
    <row r="1190" spans="1:6" x14ac:dyDescent="0.2">
      <c r="A1190" s="2" t="s">
        <v>42</v>
      </c>
      <c r="B1190" s="2">
        <v>12</v>
      </c>
      <c r="C1190" s="2">
        <v>9</v>
      </c>
      <c r="D1190" s="2">
        <v>2021</v>
      </c>
      <c r="E1190" s="2">
        <v>24.9</v>
      </c>
      <c r="F1190" s="2">
        <v>61.8</v>
      </c>
    </row>
    <row r="1191" spans="1:6" x14ac:dyDescent="0.2">
      <c r="A1191" s="2" t="s">
        <v>48</v>
      </c>
      <c r="B1191" s="2">
        <v>24</v>
      </c>
      <c r="C1191" s="2">
        <v>1</v>
      </c>
      <c r="D1191" s="2">
        <v>2021</v>
      </c>
      <c r="E1191" s="2">
        <v>109.12</v>
      </c>
      <c r="F1191" s="2">
        <v>61.69</v>
      </c>
    </row>
    <row r="1192" spans="1:6" x14ac:dyDescent="0.2">
      <c r="A1192" s="2" t="s">
        <v>62</v>
      </c>
      <c r="B1192" s="2">
        <v>1</v>
      </c>
      <c r="C1192" s="2">
        <v>4</v>
      </c>
      <c r="D1192" s="2">
        <v>2021</v>
      </c>
      <c r="E1192" s="2">
        <v>80.7</v>
      </c>
      <c r="F1192" s="2">
        <v>61.5</v>
      </c>
    </row>
    <row r="1193" spans="1:6" x14ac:dyDescent="0.2">
      <c r="A1193" s="2" t="s">
        <v>48</v>
      </c>
      <c r="B1193" s="2">
        <v>24</v>
      </c>
      <c r="C1193" s="2">
        <v>4</v>
      </c>
      <c r="D1193" s="2">
        <v>2021</v>
      </c>
      <c r="E1193" s="2">
        <v>66.3</v>
      </c>
      <c r="F1193" s="2">
        <v>61.5</v>
      </c>
    </row>
    <row r="1194" spans="1:6" x14ac:dyDescent="0.2">
      <c r="A1194" s="2" t="s">
        <v>35</v>
      </c>
      <c r="B1194" s="2">
        <v>9</v>
      </c>
      <c r="C1194" s="2">
        <v>9</v>
      </c>
      <c r="D1194" s="2">
        <v>2021</v>
      </c>
      <c r="E1194" s="2">
        <v>25.5</v>
      </c>
      <c r="F1194" s="2">
        <v>61.5</v>
      </c>
    </row>
    <row r="1195" spans="1:6" x14ac:dyDescent="0.2">
      <c r="A1195" s="2" t="s">
        <v>96</v>
      </c>
      <c r="B1195" s="2">
        <v>3</v>
      </c>
      <c r="C1195" s="2">
        <v>2</v>
      </c>
      <c r="D1195" s="2">
        <v>2021</v>
      </c>
      <c r="E1195" s="1" t="s">
        <v>94</v>
      </c>
      <c r="F1195" s="2">
        <v>60.76</v>
      </c>
    </row>
    <row r="1196" spans="1:6" x14ac:dyDescent="0.2">
      <c r="A1196" s="2" t="s">
        <v>0</v>
      </c>
      <c r="B1196" s="2">
        <v>25</v>
      </c>
      <c r="C1196" s="2">
        <v>4</v>
      </c>
      <c r="D1196" s="2">
        <v>2021</v>
      </c>
      <c r="E1196" s="1" t="s">
        <v>94</v>
      </c>
      <c r="F1196" s="2">
        <v>60.6</v>
      </c>
    </row>
    <row r="1197" spans="1:6" x14ac:dyDescent="0.2">
      <c r="A1197" s="2" t="s">
        <v>48</v>
      </c>
      <c r="B1197" s="2">
        <v>24</v>
      </c>
      <c r="C1197" s="2">
        <v>7</v>
      </c>
      <c r="D1197" s="2">
        <v>2021</v>
      </c>
      <c r="E1197" s="2">
        <v>39.369999999999997</v>
      </c>
      <c r="F1197" s="2">
        <v>60.14</v>
      </c>
    </row>
    <row r="1198" spans="1:6" x14ac:dyDescent="0.2">
      <c r="A1198" s="2" t="s">
        <v>58</v>
      </c>
      <c r="B1198" s="2">
        <v>16</v>
      </c>
      <c r="C1198" s="2">
        <v>6</v>
      </c>
      <c r="D1198" s="2">
        <v>2021</v>
      </c>
      <c r="E1198" s="2">
        <v>36</v>
      </c>
      <c r="F1198" s="2">
        <v>59.7</v>
      </c>
    </row>
    <row r="1199" spans="1:6" x14ac:dyDescent="0.2">
      <c r="A1199" s="2" t="s">
        <v>49</v>
      </c>
      <c r="B1199" s="2">
        <v>3</v>
      </c>
      <c r="C1199" s="2">
        <v>11</v>
      </c>
      <c r="D1199" s="2">
        <v>2021</v>
      </c>
      <c r="E1199" s="2">
        <v>91.8</v>
      </c>
      <c r="F1199" s="2">
        <v>59.1</v>
      </c>
    </row>
    <row r="1200" spans="1:6" x14ac:dyDescent="0.2">
      <c r="A1200" s="2" t="s">
        <v>49</v>
      </c>
      <c r="B1200" s="2">
        <v>3</v>
      </c>
      <c r="C1200" s="2">
        <v>4</v>
      </c>
      <c r="D1200" s="2">
        <v>2021</v>
      </c>
      <c r="E1200" s="2">
        <v>71.400000000000006</v>
      </c>
      <c r="F1200" s="2">
        <v>57</v>
      </c>
    </row>
    <row r="1201" spans="1:10" x14ac:dyDescent="0.2">
      <c r="A1201" s="2" t="s">
        <v>0</v>
      </c>
      <c r="B1201" s="2">
        <v>25</v>
      </c>
      <c r="C1201" s="2">
        <v>2</v>
      </c>
      <c r="D1201" s="2">
        <v>2021</v>
      </c>
      <c r="E1201" s="1" t="s">
        <v>94</v>
      </c>
      <c r="F1201" s="2">
        <v>54.6</v>
      </c>
      <c r="J1201">
        <f>E1202-'double check'!E1202</f>
        <v>2.6876253420849707</v>
      </c>
    </row>
    <row r="1202" spans="1:10" x14ac:dyDescent="0.2">
      <c r="E1202">
        <f>AVERAGE(E2:E1201)</f>
        <v>53.471091251175899</v>
      </c>
      <c r="F1202">
        <f>AVERAGE(F2:F1201)</f>
        <v>108.80513333333327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69650-0598-2A4C-AA09-C51D953E5938}">
  <dimension ref="A1:H1207"/>
  <sheetViews>
    <sheetView topLeftCell="A520" workbookViewId="0">
      <selection activeCell="A14" sqref="A14"/>
    </sheetView>
  </sheetViews>
  <sheetFormatPr baseColWidth="10" defaultRowHeight="14" x14ac:dyDescent="0.2"/>
  <cols>
    <col min="1" max="16384" width="10.83203125" style="1"/>
  </cols>
  <sheetData>
    <row r="1" spans="1:8" x14ac:dyDescent="0.2">
      <c r="A1" s="2" t="s">
        <v>110</v>
      </c>
      <c r="B1" s="2" t="s">
        <v>109</v>
      </c>
      <c r="C1" s="2" t="s">
        <v>108</v>
      </c>
      <c r="D1" s="2" t="s">
        <v>107</v>
      </c>
      <c r="E1" s="2" t="s">
        <v>106</v>
      </c>
      <c r="F1" s="2" t="s">
        <v>105</v>
      </c>
      <c r="H1" s="1" t="s">
        <v>345</v>
      </c>
    </row>
    <row r="2" spans="1:8" x14ac:dyDescent="0.2">
      <c r="A2" s="2" t="s">
        <v>32</v>
      </c>
      <c r="B2" s="2">
        <v>17</v>
      </c>
      <c r="C2" s="2">
        <v>12</v>
      </c>
      <c r="D2" s="2">
        <v>2021</v>
      </c>
      <c r="E2" s="1" t="s">
        <v>94</v>
      </c>
      <c r="F2" s="2">
        <v>272.49</v>
      </c>
      <c r="H2" s="1">
        <f>_xlfn.XLOOKUP('Data Source 1_customer readings'!A2,'Data Source 1_customer readings'!A2:A2400,'Data Source 1_customer readings'!J2:J2400)</f>
        <v>0</v>
      </c>
    </row>
    <row r="3" spans="1:8" x14ac:dyDescent="0.2">
      <c r="A3" s="2" t="s">
        <v>30</v>
      </c>
      <c r="B3" s="2">
        <v>2</v>
      </c>
      <c r="C3" s="2">
        <v>11</v>
      </c>
      <c r="D3" s="2">
        <v>2021</v>
      </c>
      <c r="E3" s="1" t="s">
        <v>94</v>
      </c>
      <c r="F3" s="2">
        <v>226.8</v>
      </c>
      <c r="H3" s="1">
        <f>_xlfn.XLOOKUP('Data Source 1_customer readings'!A3,'Data Source 1_customer readings'!A3:A2401,'Data Source 1_customer readings'!J3:J2401)</f>
        <v>0</v>
      </c>
    </row>
    <row r="4" spans="1:8" x14ac:dyDescent="0.2">
      <c r="A4" s="2" t="s">
        <v>28</v>
      </c>
      <c r="B4" s="2">
        <v>5</v>
      </c>
      <c r="C4" s="2">
        <v>12</v>
      </c>
      <c r="D4" s="2">
        <v>2021</v>
      </c>
      <c r="E4" s="1" t="s">
        <v>94</v>
      </c>
      <c r="F4" s="2">
        <v>222.89</v>
      </c>
      <c r="H4" s="1">
        <f>_xlfn.XLOOKUP('Data Source 1_customer readings'!A4,'Data Source 1_customer readings'!A4:A2402,'Data Source 1_customer readings'!J4:J2402)</f>
        <v>0</v>
      </c>
    </row>
    <row r="5" spans="1:8" x14ac:dyDescent="0.2">
      <c r="A5" s="2" t="s">
        <v>27</v>
      </c>
      <c r="B5" s="2">
        <v>1</v>
      </c>
      <c r="C5" s="2">
        <v>12</v>
      </c>
      <c r="D5" s="2">
        <v>2021</v>
      </c>
      <c r="E5" s="1" t="s">
        <v>94</v>
      </c>
      <c r="F5" s="2">
        <v>211.73</v>
      </c>
      <c r="H5" s="1" t="b">
        <f>_xlfn.XLOOKUP('Data Source 1_customer readings'!A5,'Data Source 1_customer readings'!A5:A2403,'Data Source 1_customer readings'!J5:J2403)</f>
        <v>0</v>
      </c>
    </row>
    <row r="6" spans="1:8" x14ac:dyDescent="0.2">
      <c r="A6" s="2" t="s">
        <v>23</v>
      </c>
      <c r="B6" s="2">
        <v>5</v>
      </c>
      <c r="C6" s="2">
        <v>1</v>
      </c>
      <c r="D6" s="2">
        <v>2021</v>
      </c>
      <c r="E6" s="1" t="s">
        <v>94</v>
      </c>
      <c r="F6" s="2">
        <v>201.5</v>
      </c>
      <c r="H6" s="1">
        <f>_xlfn.XLOOKUP('Data Source 1_customer readings'!A6,'Data Source 1_customer readings'!A6:A2404,'Data Source 1_customer readings'!J6:J2404)</f>
        <v>0</v>
      </c>
    </row>
    <row r="7" spans="1:8" x14ac:dyDescent="0.2">
      <c r="A7" s="2" t="s">
        <v>31</v>
      </c>
      <c r="B7" s="2">
        <v>14</v>
      </c>
      <c r="C7" s="2">
        <v>2</v>
      </c>
      <c r="D7" s="2">
        <v>2021</v>
      </c>
      <c r="E7" s="1" t="s">
        <v>94</v>
      </c>
      <c r="F7" s="2">
        <v>199.92</v>
      </c>
      <c r="H7" s="1">
        <f>_xlfn.XLOOKUP('Data Source 1_customer readings'!A7,'Data Source 1_customer readings'!A7:A2405,'Data Source 1_customer readings'!J7:J2405)</f>
        <v>0</v>
      </c>
    </row>
    <row r="8" spans="1:8" x14ac:dyDescent="0.2">
      <c r="A8" s="2" t="s">
        <v>11</v>
      </c>
      <c r="B8" s="2">
        <v>15</v>
      </c>
      <c r="C8" s="2">
        <v>1</v>
      </c>
      <c r="D8" s="2">
        <v>2021</v>
      </c>
      <c r="E8" s="1" t="s">
        <v>94</v>
      </c>
      <c r="F8" s="2">
        <v>198.4</v>
      </c>
      <c r="H8" s="1">
        <f>_xlfn.XLOOKUP('Data Source 1_customer readings'!A8,'Data Source 1_customer readings'!A8:A2406,'Data Source 1_customer readings'!J8:J2406)</f>
        <v>0</v>
      </c>
    </row>
    <row r="9" spans="1:8" x14ac:dyDescent="0.2">
      <c r="A9" s="2" t="s">
        <v>98</v>
      </c>
      <c r="B9" s="2">
        <v>21</v>
      </c>
      <c r="C9" s="2">
        <v>12</v>
      </c>
      <c r="D9" s="2">
        <v>2021</v>
      </c>
      <c r="E9" s="1" t="s">
        <v>94</v>
      </c>
      <c r="F9" s="2">
        <v>197.47</v>
      </c>
      <c r="H9" s="1">
        <f>_xlfn.XLOOKUP('Data Source 1_customer readings'!A9,'Data Source 1_customer readings'!A9:A2407,'Data Source 1_customer readings'!J9:J2407)</f>
        <v>0</v>
      </c>
    </row>
    <row r="10" spans="1:8" x14ac:dyDescent="0.2">
      <c r="A10" s="2" t="s">
        <v>17</v>
      </c>
      <c r="B10" s="2">
        <v>8</v>
      </c>
      <c r="C10" s="2" t="s">
        <v>101</v>
      </c>
      <c r="D10" s="2">
        <v>2021</v>
      </c>
      <c r="E10" s="1" t="s">
        <v>94</v>
      </c>
      <c r="F10" s="2">
        <v>195.92</v>
      </c>
      <c r="H10" s="1">
        <f>_xlfn.XLOOKUP('Data Source 1_customer readings'!A10,'Data Source 1_customer readings'!A10:A2408,'Data Source 1_customer readings'!J10:J2408)</f>
        <v>0</v>
      </c>
    </row>
    <row r="11" spans="1:8" x14ac:dyDescent="0.2">
      <c r="A11" s="2" t="s">
        <v>6</v>
      </c>
      <c r="B11" s="2">
        <v>7</v>
      </c>
      <c r="C11" s="2">
        <v>12</v>
      </c>
      <c r="D11" s="2">
        <v>2021</v>
      </c>
      <c r="E11" s="1" t="s">
        <v>94</v>
      </c>
      <c r="F11" s="2">
        <v>193.75</v>
      </c>
      <c r="H11" s="1">
        <f>_xlfn.XLOOKUP('Data Source 1_customer readings'!A11,'Data Source 1_customer readings'!A11:A2409,'Data Source 1_customer readings'!J11:J2409)</f>
        <v>0</v>
      </c>
    </row>
    <row r="12" spans="1:8" x14ac:dyDescent="0.2">
      <c r="A12" s="2" t="s">
        <v>20</v>
      </c>
      <c r="B12" s="2">
        <v>12</v>
      </c>
      <c r="C12" s="2">
        <v>11</v>
      </c>
      <c r="D12" s="2">
        <v>2021</v>
      </c>
      <c r="E12" s="1" t="s">
        <v>94</v>
      </c>
      <c r="F12" s="2">
        <v>192.9</v>
      </c>
      <c r="H12" s="1">
        <f>_xlfn.XLOOKUP('Data Source 1_customer readings'!A12,'Data Source 1_customer readings'!A12:A2410,'Data Source 1_customer readings'!J12:J2410)</f>
        <v>0</v>
      </c>
    </row>
    <row r="13" spans="1:8" x14ac:dyDescent="0.2">
      <c r="A13" s="2" t="s">
        <v>22</v>
      </c>
      <c r="B13" s="2">
        <v>22</v>
      </c>
      <c r="C13" s="2">
        <v>12</v>
      </c>
      <c r="D13" s="2">
        <v>2021</v>
      </c>
      <c r="E13" s="1" t="s">
        <v>94</v>
      </c>
      <c r="F13" s="2">
        <v>192.82</v>
      </c>
      <c r="H13" s="1">
        <f>_xlfn.XLOOKUP('Data Source 1_customer readings'!A13,'Data Source 1_customer readings'!A13:A2411,'Data Source 1_customer readings'!J13:J2411)</f>
        <v>0</v>
      </c>
    </row>
    <row r="14" spans="1:8" x14ac:dyDescent="0.2">
      <c r="A14" s="2" t="s">
        <v>22</v>
      </c>
      <c r="B14" s="2">
        <v>22</v>
      </c>
      <c r="C14" s="2">
        <v>11</v>
      </c>
      <c r="D14" s="2">
        <v>2021</v>
      </c>
      <c r="E14" s="1" t="s">
        <v>94</v>
      </c>
      <c r="F14" s="2">
        <v>186.9</v>
      </c>
      <c r="H14" s="1">
        <f>_xlfn.XLOOKUP('Data Source 1_customer readings'!A14,'Data Source 1_customer readings'!A14:A2412,'Data Source 1_customer readings'!J14:J2412)</f>
        <v>0</v>
      </c>
    </row>
    <row r="15" spans="1:8" x14ac:dyDescent="0.2">
      <c r="A15" s="2" t="s">
        <v>19</v>
      </c>
      <c r="B15" s="2">
        <v>24</v>
      </c>
      <c r="C15" s="2">
        <v>11</v>
      </c>
      <c r="D15" s="2">
        <v>2021</v>
      </c>
      <c r="E15" s="1" t="s">
        <v>94</v>
      </c>
      <c r="F15" s="2">
        <v>186.6</v>
      </c>
      <c r="H15" s="1">
        <f>_xlfn.XLOOKUP('Data Source 1_customer readings'!A15,'Data Source 1_customer readings'!A15:A2413,'Data Source 1_customer readings'!J15:J2413)</f>
        <v>0</v>
      </c>
    </row>
    <row r="16" spans="1:8" x14ac:dyDescent="0.2">
      <c r="A16" s="2" t="s">
        <v>98</v>
      </c>
      <c r="B16" s="2">
        <v>21</v>
      </c>
      <c r="C16" s="2">
        <v>2</v>
      </c>
      <c r="D16" s="2">
        <v>2021</v>
      </c>
      <c r="E16" s="1" t="s">
        <v>94</v>
      </c>
      <c r="F16" s="2">
        <v>186.2</v>
      </c>
      <c r="H16" s="1">
        <f>_xlfn.XLOOKUP('Data Source 1_customer readings'!A16,'Data Source 1_customer readings'!A16:A2414,'Data Source 1_customer readings'!J16:J2414)</f>
        <v>0</v>
      </c>
    </row>
    <row r="17" spans="1:8" x14ac:dyDescent="0.2">
      <c r="A17" s="2" t="s">
        <v>18</v>
      </c>
      <c r="B17" s="2">
        <v>5</v>
      </c>
      <c r="C17" s="2">
        <v>1</v>
      </c>
      <c r="D17" s="2">
        <v>2021</v>
      </c>
      <c r="E17" s="1" t="s">
        <v>94</v>
      </c>
      <c r="F17" s="2">
        <v>182.9</v>
      </c>
      <c r="H17" s="1">
        <f>_xlfn.XLOOKUP('Data Source 1_customer readings'!A17,'Data Source 1_customer readings'!A17:A2415,'Data Source 1_customer readings'!J17:J2415)</f>
        <v>0</v>
      </c>
    </row>
    <row r="18" spans="1:8" x14ac:dyDescent="0.2">
      <c r="A18" s="2" t="s">
        <v>99</v>
      </c>
      <c r="B18" s="2">
        <v>10</v>
      </c>
      <c r="C18" s="2">
        <v>1</v>
      </c>
      <c r="D18" s="2">
        <v>2021</v>
      </c>
      <c r="E18" s="1" t="s">
        <v>94</v>
      </c>
      <c r="F18" s="2">
        <v>180.73</v>
      </c>
      <c r="H18" s="1">
        <f>_xlfn.XLOOKUP('Data Source 1_customer readings'!A18,'Data Source 1_customer readings'!A18:A2416,'Data Source 1_customer readings'!J18:J2416)</f>
        <v>0</v>
      </c>
    </row>
    <row r="19" spans="1:8" x14ac:dyDescent="0.2">
      <c r="A19" s="2" t="s">
        <v>98</v>
      </c>
      <c r="B19" s="2">
        <v>21</v>
      </c>
      <c r="C19" s="2">
        <v>11</v>
      </c>
      <c r="D19" s="2">
        <v>2021</v>
      </c>
      <c r="E19" s="1" t="s">
        <v>94</v>
      </c>
      <c r="F19" s="2">
        <v>180.3</v>
      </c>
      <c r="H19" s="1">
        <f>_xlfn.XLOOKUP('Data Source 1_customer readings'!A19,'Data Source 1_customer readings'!A19:A2417,'Data Source 1_customer readings'!J19:J2417)</f>
        <v>0</v>
      </c>
    </row>
    <row r="20" spans="1:8" x14ac:dyDescent="0.2">
      <c r="A20" s="2" t="s">
        <v>16</v>
      </c>
      <c r="B20" s="2">
        <v>14</v>
      </c>
      <c r="C20" s="2">
        <v>12</v>
      </c>
      <c r="D20" s="2">
        <v>2021</v>
      </c>
      <c r="E20" s="1" t="s">
        <v>94</v>
      </c>
      <c r="F20" s="2">
        <v>177.32</v>
      </c>
      <c r="H20" s="1">
        <f>_xlfn.XLOOKUP('Data Source 1_customer readings'!A20,'Data Source 1_customer readings'!A20:A2418,'Data Source 1_customer readings'!J20:J2418)</f>
        <v>0</v>
      </c>
    </row>
    <row r="21" spans="1:8" x14ac:dyDescent="0.2">
      <c r="A21" s="2" t="s">
        <v>98</v>
      </c>
      <c r="B21" s="2">
        <v>21</v>
      </c>
      <c r="C21" s="2">
        <v>1</v>
      </c>
      <c r="D21" s="2">
        <v>2021</v>
      </c>
      <c r="E21" s="1" t="s">
        <v>94</v>
      </c>
      <c r="F21" s="2">
        <v>176.39</v>
      </c>
      <c r="H21" s="1">
        <f>_xlfn.XLOOKUP('Data Source 1_customer readings'!A21,'Data Source 1_customer readings'!A21:A2419,'Data Source 1_customer readings'!J21:J2419)</f>
        <v>0</v>
      </c>
    </row>
    <row r="22" spans="1:8" x14ac:dyDescent="0.2">
      <c r="A22" s="2" t="s">
        <v>15</v>
      </c>
      <c r="B22" s="2">
        <v>5</v>
      </c>
      <c r="C22" s="2">
        <v>1</v>
      </c>
      <c r="D22" s="2">
        <v>2021</v>
      </c>
      <c r="E22" s="1" t="s">
        <v>94</v>
      </c>
      <c r="F22" s="2">
        <v>176.08</v>
      </c>
      <c r="H22" s="1">
        <f>_xlfn.XLOOKUP('Data Source 1_customer readings'!A22,'Data Source 1_customer readings'!A22:A2420,'Data Source 1_customer readings'!J22:J2420)</f>
        <v>0</v>
      </c>
    </row>
    <row r="23" spans="1:8" x14ac:dyDescent="0.2">
      <c r="A23" s="2" t="s">
        <v>13</v>
      </c>
      <c r="B23" s="2">
        <v>7</v>
      </c>
      <c r="C23" s="2">
        <v>1</v>
      </c>
      <c r="D23" s="2">
        <v>2021</v>
      </c>
      <c r="E23" s="1" t="s">
        <v>94</v>
      </c>
      <c r="F23" s="2">
        <v>174.84</v>
      </c>
      <c r="H23" s="1">
        <f>_xlfn.XLOOKUP('Data Source 1_customer readings'!A23,'Data Source 1_customer readings'!A23:A2421,'Data Source 1_customer readings'!J23:J2421)</f>
        <v>0</v>
      </c>
    </row>
    <row r="24" spans="1:8" x14ac:dyDescent="0.2">
      <c r="A24" s="2" t="s">
        <v>5</v>
      </c>
      <c r="B24" s="2">
        <v>7</v>
      </c>
      <c r="C24" s="2">
        <v>11</v>
      </c>
      <c r="D24" s="2">
        <v>2021</v>
      </c>
      <c r="E24" s="1" t="s">
        <v>94</v>
      </c>
      <c r="F24" s="2">
        <v>173.1</v>
      </c>
      <c r="H24" s="1">
        <f>_xlfn.XLOOKUP('Data Source 1_customer readings'!A24,'Data Source 1_customer readings'!A24:A2422,'Data Source 1_customer readings'!J24:J2422)</f>
        <v>0</v>
      </c>
    </row>
    <row r="25" spans="1:8" x14ac:dyDescent="0.2">
      <c r="A25" s="2" t="s">
        <v>100</v>
      </c>
      <c r="B25" s="2">
        <v>1</v>
      </c>
      <c r="C25" s="2">
        <v>12</v>
      </c>
      <c r="D25" s="2">
        <v>2021</v>
      </c>
      <c r="E25" s="1" t="s">
        <v>94</v>
      </c>
      <c r="F25" s="2">
        <v>172.67</v>
      </c>
      <c r="H25" s="1">
        <f>_xlfn.XLOOKUP('Data Source 1_customer readings'!A25,'Data Source 1_customer readings'!A25:A2423,'Data Source 1_customer readings'!J25:J2423)</f>
        <v>0</v>
      </c>
    </row>
    <row r="26" spans="1:8" x14ac:dyDescent="0.2">
      <c r="A26" s="2" t="s">
        <v>99</v>
      </c>
      <c r="B26" s="2">
        <v>10</v>
      </c>
      <c r="C26" s="2">
        <v>11</v>
      </c>
      <c r="D26" s="2">
        <v>2021</v>
      </c>
      <c r="E26" s="1" t="s">
        <v>94</v>
      </c>
      <c r="F26" s="2">
        <v>172.2</v>
      </c>
      <c r="H26" s="1">
        <f>_xlfn.XLOOKUP('Data Source 1_customer readings'!A26,'Data Source 1_customer readings'!A26:A2424,'Data Source 1_customer readings'!J26:J2424)</f>
        <v>0</v>
      </c>
    </row>
    <row r="27" spans="1:8" x14ac:dyDescent="0.2">
      <c r="A27" s="2" t="s">
        <v>9</v>
      </c>
      <c r="B27" s="2">
        <v>22</v>
      </c>
      <c r="C27" s="2">
        <v>2</v>
      </c>
      <c r="D27" s="2">
        <v>2021</v>
      </c>
      <c r="E27" s="1" t="s">
        <v>94</v>
      </c>
      <c r="F27" s="2">
        <v>168.56</v>
      </c>
      <c r="H27" s="1">
        <f>_xlfn.XLOOKUP('Data Source 1_customer readings'!A27,'Data Source 1_customer readings'!A27:A2425,'Data Source 1_customer readings'!J27:J2425)</f>
        <v>0</v>
      </c>
    </row>
    <row r="28" spans="1:8" x14ac:dyDescent="0.2">
      <c r="A28" s="2" t="s">
        <v>4</v>
      </c>
      <c r="B28" s="2">
        <v>1</v>
      </c>
      <c r="C28" s="2">
        <v>12</v>
      </c>
      <c r="D28" s="2">
        <v>2021</v>
      </c>
      <c r="E28" s="1" t="s">
        <v>94</v>
      </c>
      <c r="F28" s="2">
        <v>167.09</v>
      </c>
      <c r="H28" s="1">
        <f>_xlfn.XLOOKUP('Data Source 1_customer readings'!A28,'Data Source 1_customer readings'!A28:A2426,'Data Source 1_customer readings'!J28:J2426)</f>
        <v>0</v>
      </c>
    </row>
    <row r="29" spans="1:8" x14ac:dyDescent="0.2">
      <c r="A29" s="2" t="s">
        <v>26</v>
      </c>
      <c r="B29" s="2">
        <v>22</v>
      </c>
      <c r="C29" s="2">
        <v>3</v>
      </c>
      <c r="D29" s="2">
        <v>2021</v>
      </c>
      <c r="E29" s="1" t="s">
        <v>94</v>
      </c>
      <c r="F29" s="2">
        <v>165.54</v>
      </c>
      <c r="H29" s="1">
        <f>_xlfn.XLOOKUP('Data Source 1_customer readings'!A29,'Data Source 1_customer readings'!A29:A2427,'Data Source 1_customer readings'!J29:J2427)</f>
        <v>0</v>
      </c>
    </row>
    <row r="30" spans="1:8" x14ac:dyDescent="0.2">
      <c r="A30" s="2" t="s">
        <v>99</v>
      </c>
      <c r="B30" s="2">
        <v>10</v>
      </c>
      <c r="C30" s="2">
        <v>12</v>
      </c>
      <c r="D30" s="2">
        <v>2021</v>
      </c>
      <c r="E30" s="1" t="s">
        <v>94</v>
      </c>
      <c r="F30" s="2">
        <v>165.23</v>
      </c>
      <c r="H30" s="1">
        <f>_xlfn.XLOOKUP('Data Source 1_customer readings'!A30,'Data Source 1_customer readings'!A30:A2428,'Data Source 1_customer readings'!J30:J2428)</f>
        <v>0</v>
      </c>
    </row>
    <row r="31" spans="1:8" x14ac:dyDescent="0.2">
      <c r="A31" s="2" t="s">
        <v>98</v>
      </c>
      <c r="B31" s="2">
        <v>21</v>
      </c>
      <c r="C31" s="2">
        <v>3</v>
      </c>
      <c r="D31" s="2">
        <v>2021</v>
      </c>
      <c r="E31" s="1" t="s">
        <v>94</v>
      </c>
      <c r="F31" s="2">
        <v>163.68</v>
      </c>
      <c r="H31" s="1">
        <f>_xlfn.XLOOKUP('Data Source 1_customer readings'!A31,'Data Source 1_customer readings'!A31:A2429,'Data Source 1_customer readings'!J31:J2429)</f>
        <v>0</v>
      </c>
    </row>
    <row r="32" spans="1:8" x14ac:dyDescent="0.2">
      <c r="A32" s="2" t="s">
        <v>97</v>
      </c>
      <c r="B32" s="2">
        <v>12</v>
      </c>
      <c r="C32" s="2">
        <v>12</v>
      </c>
      <c r="D32" s="2">
        <v>2021</v>
      </c>
      <c r="E32" s="1" t="s">
        <v>94</v>
      </c>
      <c r="F32" s="2">
        <v>163.68</v>
      </c>
      <c r="H32" s="1" t="b">
        <f>_xlfn.XLOOKUP('Data Source 1_customer readings'!A32,'Data Source 1_customer readings'!A32:A2430,'Data Source 1_customer readings'!J32:J2430)</f>
        <v>0</v>
      </c>
    </row>
    <row r="33" spans="1:8" x14ac:dyDescent="0.2">
      <c r="A33" s="2" t="s">
        <v>28</v>
      </c>
      <c r="B33" s="2">
        <v>5</v>
      </c>
      <c r="C33" s="2">
        <v>4</v>
      </c>
      <c r="D33" s="2">
        <v>2021</v>
      </c>
      <c r="E33" s="1" t="s">
        <v>94</v>
      </c>
      <c r="F33" s="2">
        <v>163.19999999999999</v>
      </c>
      <c r="H33" s="1">
        <f>_xlfn.XLOOKUP('Data Source 1_customer readings'!A33,'Data Source 1_customer readings'!A33:A2431,'Data Source 1_customer readings'!J33:J2431)</f>
        <v>0</v>
      </c>
    </row>
    <row r="34" spans="1:8" x14ac:dyDescent="0.2">
      <c r="A34" s="2" t="s">
        <v>5</v>
      </c>
      <c r="B34" s="2">
        <v>7</v>
      </c>
      <c r="C34" s="2">
        <v>1</v>
      </c>
      <c r="D34" s="2">
        <v>2021</v>
      </c>
      <c r="E34" s="1" t="s">
        <v>94</v>
      </c>
      <c r="F34" s="2">
        <v>161.19999999999999</v>
      </c>
      <c r="H34" s="1" t="b">
        <f>_xlfn.XLOOKUP('Data Source 1_customer readings'!A34,'Data Source 1_customer readings'!A34:A2432,'Data Source 1_customer readings'!J34:J2432)</f>
        <v>0</v>
      </c>
    </row>
    <row r="35" spans="1:8" x14ac:dyDescent="0.2">
      <c r="A35" s="2" t="s">
        <v>100</v>
      </c>
      <c r="B35" s="2">
        <v>1</v>
      </c>
      <c r="C35" s="2">
        <v>11</v>
      </c>
      <c r="D35" s="2">
        <v>2021</v>
      </c>
      <c r="E35" s="1" t="s">
        <v>94</v>
      </c>
      <c r="F35" s="2">
        <v>160.80000000000001</v>
      </c>
      <c r="H35" s="1">
        <f>_xlfn.XLOOKUP('Data Source 1_customer readings'!A35,'Data Source 1_customer readings'!A35:A2433,'Data Source 1_customer readings'!J35:J2433)</f>
        <v>0</v>
      </c>
    </row>
    <row r="36" spans="1:8" x14ac:dyDescent="0.2">
      <c r="A36" s="2" t="s">
        <v>100</v>
      </c>
      <c r="B36" s="2">
        <v>1</v>
      </c>
      <c r="C36" s="2">
        <v>1</v>
      </c>
      <c r="D36" s="2">
        <v>2021</v>
      </c>
      <c r="E36" s="1" t="s">
        <v>94</v>
      </c>
      <c r="F36" s="2">
        <v>158.1</v>
      </c>
      <c r="H36" s="1">
        <f>_xlfn.XLOOKUP('Data Source 1_customer readings'!A36,'Data Source 1_customer readings'!A36:A2434,'Data Source 1_customer readings'!J36:J2434)</f>
        <v>0</v>
      </c>
    </row>
    <row r="37" spans="1:8" x14ac:dyDescent="0.2">
      <c r="A37" s="2" t="s">
        <v>4</v>
      </c>
      <c r="B37" s="2">
        <v>1</v>
      </c>
      <c r="C37" s="2">
        <v>11</v>
      </c>
      <c r="D37" s="2">
        <v>2021</v>
      </c>
      <c r="E37" s="1" t="s">
        <v>94</v>
      </c>
      <c r="F37" s="2">
        <v>156</v>
      </c>
      <c r="H37" s="1">
        <f>_xlfn.XLOOKUP('Data Source 1_customer readings'!A37,'Data Source 1_customer readings'!A37:A2435,'Data Source 1_customer readings'!J37:J2435)</f>
        <v>0</v>
      </c>
    </row>
    <row r="38" spans="1:8" x14ac:dyDescent="0.2">
      <c r="A38" s="2" t="s">
        <v>100</v>
      </c>
      <c r="B38" s="2">
        <v>1</v>
      </c>
      <c r="C38" s="2">
        <v>2</v>
      </c>
      <c r="D38" s="2">
        <v>2021</v>
      </c>
      <c r="E38" s="1" t="s">
        <v>94</v>
      </c>
      <c r="F38" s="2">
        <v>153.44</v>
      </c>
      <c r="H38" s="1">
        <f>_xlfn.XLOOKUP('Data Source 1_customer readings'!A38,'Data Source 1_customer readings'!A38:A2436,'Data Source 1_customer readings'!J38:J2436)</f>
        <v>0</v>
      </c>
    </row>
    <row r="39" spans="1:8" x14ac:dyDescent="0.2">
      <c r="A39" s="2" t="s">
        <v>28</v>
      </c>
      <c r="B39" s="2">
        <v>5</v>
      </c>
      <c r="C39" s="2">
        <v>5</v>
      </c>
      <c r="D39" s="2">
        <v>2021</v>
      </c>
      <c r="E39" s="1" t="s">
        <v>94</v>
      </c>
      <c r="F39" s="2">
        <v>151.9</v>
      </c>
      <c r="H39" s="1">
        <f>_xlfn.XLOOKUP('Data Source 1_customer readings'!A39,'Data Source 1_customer readings'!A39:A2437,'Data Source 1_customer readings'!J39:J2437)</f>
        <v>0</v>
      </c>
    </row>
    <row r="40" spans="1:8" x14ac:dyDescent="0.2">
      <c r="A40" s="2" t="s">
        <v>99</v>
      </c>
      <c r="B40" s="2">
        <v>10</v>
      </c>
      <c r="C40" s="2">
        <v>2</v>
      </c>
      <c r="D40" s="2">
        <v>2021</v>
      </c>
      <c r="E40" s="1" t="s">
        <v>94</v>
      </c>
      <c r="F40" s="2">
        <v>151.47999999999999</v>
      </c>
      <c r="H40" s="1">
        <f>_xlfn.XLOOKUP('Data Source 1_customer readings'!A40,'Data Source 1_customer readings'!A40:A2438,'Data Source 1_customer readings'!J40:J2438)</f>
        <v>0</v>
      </c>
    </row>
    <row r="41" spans="1:8" x14ac:dyDescent="0.2">
      <c r="A41" s="2" t="s">
        <v>97</v>
      </c>
      <c r="B41" s="2">
        <v>12</v>
      </c>
      <c r="C41" s="2">
        <v>1</v>
      </c>
      <c r="D41" s="2">
        <v>2021</v>
      </c>
      <c r="E41" s="1" t="s">
        <v>94</v>
      </c>
      <c r="F41" s="2">
        <v>150.66</v>
      </c>
      <c r="H41" s="1">
        <f>_xlfn.XLOOKUP('Data Source 1_customer readings'!A41,'Data Source 1_customer readings'!A41:A2439,'Data Source 1_customer readings'!J41:J2439)</f>
        <v>0</v>
      </c>
    </row>
    <row r="42" spans="1:8" x14ac:dyDescent="0.2">
      <c r="A42" s="2" t="s">
        <v>99</v>
      </c>
      <c r="B42" s="2">
        <v>10</v>
      </c>
      <c r="C42" s="2">
        <v>10</v>
      </c>
      <c r="D42" s="2">
        <v>2021</v>
      </c>
      <c r="E42" s="1" t="s">
        <v>94</v>
      </c>
      <c r="F42" s="2">
        <v>150.04</v>
      </c>
      <c r="H42" s="1" t="b">
        <f>_xlfn.XLOOKUP('Data Source 1_customer readings'!A42,'Data Source 1_customer readings'!A42:A2440,'Data Source 1_customer readings'!J42:J2440)</f>
        <v>0</v>
      </c>
    </row>
    <row r="43" spans="1:8" x14ac:dyDescent="0.2">
      <c r="A43" s="2" t="s">
        <v>20</v>
      </c>
      <c r="B43" s="2">
        <v>12</v>
      </c>
      <c r="C43" s="2">
        <v>10</v>
      </c>
      <c r="D43" s="2">
        <v>2021</v>
      </c>
      <c r="E43" s="1" t="s">
        <v>94</v>
      </c>
      <c r="F43" s="2">
        <v>149.72999999999999</v>
      </c>
      <c r="H43" s="1">
        <f>_xlfn.XLOOKUP('Data Source 1_customer readings'!A43,'Data Source 1_customer readings'!A43:A2441,'Data Source 1_customer readings'!J43:J2441)</f>
        <v>0</v>
      </c>
    </row>
    <row r="44" spans="1:8" x14ac:dyDescent="0.2">
      <c r="A44" s="2" t="s">
        <v>100</v>
      </c>
      <c r="B44" s="2">
        <v>1</v>
      </c>
      <c r="C44" s="2">
        <v>4</v>
      </c>
      <c r="D44" s="2">
        <v>2021</v>
      </c>
      <c r="E44" s="1" t="s">
        <v>94</v>
      </c>
      <c r="F44" s="2">
        <v>148.19999999999999</v>
      </c>
      <c r="H44" s="1">
        <f>_xlfn.XLOOKUP('Data Source 1_customer readings'!A44,'Data Source 1_customer readings'!A44:A2442,'Data Source 1_customer readings'!J44:J2442)</f>
        <v>0</v>
      </c>
    </row>
    <row r="45" spans="1:8" x14ac:dyDescent="0.2">
      <c r="A45" s="2" t="s">
        <v>100</v>
      </c>
      <c r="B45" s="2">
        <v>1</v>
      </c>
      <c r="C45" s="2">
        <v>10</v>
      </c>
      <c r="D45" s="2">
        <v>2021</v>
      </c>
      <c r="E45" s="1" t="s">
        <v>94</v>
      </c>
      <c r="F45" s="2">
        <v>145.38999999999999</v>
      </c>
      <c r="H45" s="1">
        <f>_xlfn.XLOOKUP('Data Source 1_customer readings'!A45,'Data Source 1_customer readings'!A45:A2443,'Data Source 1_customer readings'!J45:J2443)</f>
        <v>0</v>
      </c>
    </row>
    <row r="46" spans="1:8" x14ac:dyDescent="0.2">
      <c r="A46" s="2" t="s">
        <v>21</v>
      </c>
      <c r="B46" s="2">
        <v>15</v>
      </c>
      <c r="C46" s="2">
        <v>10</v>
      </c>
      <c r="D46" s="2">
        <v>2021</v>
      </c>
      <c r="E46" s="1" t="s">
        <v>94</v>
      </c>
      <c r="F46" s="2">
        <v>144.46</v>
      </c>
      <c r="H46" s="1">
        <f>_xlfn.XLOOKUP('Data Source 1_customer readings'!A46,'Data Source 1_customer readings'!A46:A2444,'Data Source 1_customer readings'!J46:J2444)</f>
        <v>0</v>
      </c>
    </row>
    <row r="47" spans="1:8" x14ac:dyDescent="0.2">
      <c r="A47" s="2" t="s">
        <v>98</v>
      </c>
      <c r="B47" s="2">
        <v>21</v>
      </c>
      <c r="C47" s="2">
        <v>4</v>
      </c>
      <c r="D47" s="2">
        <v>2021</v>
      </c>
      <c r="E47" s="1" t="s">
        <v>94</v>
      </c>
      <c r="F47" s="2">
        <v>142.80000000000001</v>
      </c>
      <c r="H47" s="1" t="b">
        <f>_xlfn.XLOOKUP('Data Source 1_customer readings'!A47,'Data Source 1_customer readings'!A47:A2445,'Data Source 1_customer readings'!J47:J2445)</f>
        <v>0</v>
      </c>
    </row>
    <row r="48" spans="1:8" x14ac:dyDescent="0.2">
      <c r="A48" s="2" t="s">
        <v>100</v>
      </c>
      <c r="B48" s="2">
        <v>1</v>
      </c>
      <c r="C48" s="2">
        <v>3</v>
      </c>
      <c r="D48" s="2">
        <v>2021</v>
      </c>
      <c r="E48" s="1" t="s">
        <v>94</v>
      </c>
      <c r="F48" s="2">
        <v>141.97999999999999</v>
      </c>
      <c r="H48" s="1">
        <f>_xlfn.XLOOKUP('Data Source 1_customer readings'!A48,'Data Source 1_customer readings'!A48:A2446,'Data Source 1_customer readings'!J48:J2446)</f>
        <v>0</v>
      </c>
    </row>
    <row r="49" spans="1:8" x14ac:dyDescent="0.2">
      <c r="A49" s="2" t="s">
        <v>7</v>
      </c>
      <c r="B49" s="2">
        <v>20</v>
      </c>
      <c r="C49" s="2">
        <v>3</v>
      </c>
      <c r="D49" s="2">
        <v>2021</v>
      </c>
      <c r="E49" s="1" t="s">
        <v>94</v>
      </c>
      <c r="F49" s="2">
        <v>141.36000000000001</v>
      </c>
      <c r="H49" s="1">
        <f>_xlfn.XLOOKUP('Data Source 1_customer readings'!A49,'Data Source 1_customer readings'!A49:A2447,'Data Source 1_customer readings'!J49:J2447)</f>
        <v>0</v>
      </c>
    </row>
    <row r="50" spans="1:8" x14ac:dyDescent="0.2">
      <c r="A50" s="2" t="s">
        <v>28</v>
      </c>
      <c r="B50" s="2">
        <v>5</v>
      </c>
      <c r="C50" s="2">
        <v>6</v>
      </c>
      <c r="D50" s="2">
        <v>2021</v>
      </c>
      <c r="E50" s="1" t="s">
        <v>94</v>
      </c>
      <c r="F50" s="2">
        <v>139.19999999999999</v>
      </c>
      <c r="H50" s="1">
        <f>_xlfn.XLOOKUP('Data Source 1_customer readings'!A50,'Data Source 1_customer readings'!A50:A2448,'Data Source 1_customer readings'!J50:J2448)</f>
        <v>0</v>
      </c>
    </row>
    <row r="51" spans="1:8" x14ac:dyDescent="0.2">
      <c r="A51" s="2" t="s">
        <v>21</v>
      </c>
      <c r="B51" s="2">
        <v>15</v>
      </c>
      <c r="C51" s="2">
        <v>9</v>
      </c>
      <c r="D51" s="2">
        <v>2021</v>
      </c>
      <c r="E51" s="1" t="s">
        <v>94</v>
      </c>
      <c r="F51" s="2">
        <v>139.19999999999999</v>
      </c>
      <c r="H51" s="1" t="b">
        <f>_xlfn.XLOOKUP('Data Source 1_customer readings'!A51,'Data Source 1_customer readings'!A51:A2449,'Data Source 1_customer readings'!J51:J2449)</f>
        <v>0</v>
      </c>
    </row>
    <row r="52" spans="1:8" x14ac:dyDescent="0.2">
      <c r="A52" s="2" t="s">
        <v>98</v>
      </c>
      <c r="B52" s="2">
        <v>21</v>
      </c>
      <c r="C52" s="2">
        <v>10</v>
      </c>
      <c r="D52" s="2">
        <v>2021</v>
      </c>
      <c r="E52" s="1" t="s">
        <v>94</v>
      </c>
      <c r="F52" s="2">
        <v>138.57</v>
      </c>
      <c r="H52" s="1">
        <f>_xlfn.XLOOKUP('Data Source 1_customer readings'!A52,'Data Source 1_customer readings'!A52:A2450,'Data Source 1_customer readings'!J52:J2450)</f>
        <v>0</v>
      </c>
    </row>
    <row r="53" spans="1:8" x14ac:dyDescent="0.2">
      <c r="A53" s="2" t="s">
        <v>99</v>
      </c>
      <c r="B53" s="2">
        <v>10</v>
      </c>
      <c r="C53" s="2">
        <v>4</v>
      </c>
      <c r="D53" s="2">
        <v>2021</v>
      </c>
      <c r="E53" s="1" t="s">
        <v>94</v>
      </c>
      <c r="F53" s="2">
        <v>138</v>
      </c>
      <c r="H53" s="1">
        <f>_xlfn.XLOOKUP('Data Source 1_customer readings'!A53,'Data Source 1_customer readings'!A53:A2451,'Data Source 1_customer readings'!J53:J2451)</f>
        <v>0</v>
      </c>
    </row>
    <row r="54" spans="1:8" x14ac:dyDescent="0.2">
      <c r="A54" s="2" t="s">
        <v>17</v>
      </c>
      <c r="B54" s="2">
        <v>8</v>
      </c>
      <c r="C54" s="2">
        <v>9</v>
      </c>
      <c r="D54" s="2">
        <v>2021</v>
      </c>
      <c r="E54" s="1" t="s">
        <v>94</v>
      </c>
      <c r="F54" s="2">
        <v>138</v>
      </c>
      <c r="H54" s="1">
        <f>_xlfn.XLOOKUP('Data Source 1_customer readings'!A54,'Data Source 1_customer readings'!A54:A2452,'Data Source 1_customer readings'!J54:J2452)</f>
        <v>0</v>
      </c>
    </row>
    <row r="55" spans="1:8" x14ac:dyDescent="0.2">
      <c r="A55" s="2" t="s">
        <v>9</v>
      </c>
      <c r="B55" s="2">
        <v>22</v>
      </c>
      <c r="C55" s="2">
        <v>4</v>
      </c>
      <c r="D55" s="2">
        <v>2021</v>
      </c>
      <c r="E55" s="1" t="s">
        <v>94</v>
      </c>
      <c r="F55" s="2">
        <v>137.1</v>
      </c>
      <c r="H55" s="1">
        <f>_xlfn.XLOOKUP('Data Source 1_customer readings'!A55,'Data Source 1_customer readings'!A55:A2453,'Data Source 1_customer readings'!J55:J2453)</f>
        <v>0</v>
      </c>
    </row>
    <row r="56" spans="1:8" x14ac:dyDescent="0.2">
      <c r="A56" s="2" t="s">
        <v>97</v>
      </c>
      <c r="B56" s="2">
        <v>12</v>
      </c>
      <c r="C56" s="2">
        <v>11</v>
      </c>
      <c r="D56" s="2">
        <v>2021</v>
      </c>
      <c r="E56" s="1" t="s">
        <v>94</v>
      </c>
      <c r="F56" s="2">
        <v>135.6</v>
      </c>
      <c r="H56" s="1">
        <f>_xlfn.XLOOKUP('Data Source 1_customer readings'!A56,'Data Source 1_customer readings'!A56:A2454,'Data Source 1_customer readings'!J56:J2454)</f>
        <v>0</v>
      </c>
    </row>
    <row r="57" spans="1:8" x14ac:dyDescent="0.2">
      <c r="A57" s="2" t="s">
        <v>18</v>
      </c>
      <c r="B57" s="2">
        <v>5</v>
      </c>
      <c r="C57" s="2">
        <v>9</v>
      </c>
      <c r="D57" s="2">
        <v>2021</v>
      </c>
      <c r="E57" s="1" t="s">
        <v>94</v>
      </c>
      <c r="F57" s="2">
        <v>134.69999999999999</v>
      </c>
      <c r="H57" s="1">
        <f>_xlfn.XLOOKUP('Data Source 1_customer readings'!A57,'Data Source 1_customer readings'!A57:A2455,'Data Source 1_customer readings'!J57:J2455)</f>
        <v>0</v>
      </c>
    </row>
    <row r="58" spans="1:8" x14ac:dyDescent="0.2">
      <c r="A58" s="2" t="s">
        <v>28</v>
      </c>
      <c r="B58" s="2">
        <v>5</v>
      </c>
      <c r="C58" s="2">
        <v>9</v>
      </c>
      <c r="D58" s="2">
        <v>2021</v>
      </c>
      <c r="E58" s="1" t="s">
        <v>94</v>
      </c>
      <c r="F58" s="2">
        <v>134.69999999999999</v>
      </c>
      <c r="H58" s="1" t="b">
        <f>_xlfn.XLOOKUP('Data Source 1_customer readings'!A58,'Data Source 1_customer readings'!A58:A2456,'Data Source 1_customer readings'!J58:J2456)</f>
        <v>0</v>
      </c>
    </row>
    <row r="59" spans="1:8" x14ac:dyDescent="0.2">
      <c r="A59" s="2" t="s">
        <v>8</v>
      </c>
      <c r="B59" s="2">
        <v>5</v>
      </c>
      <c r="C59" s="2">
        <v>6</v>
      </c>
      <c r="D59" s="2">
        <v>2021</v>
      </c>
      <c r="E59" s="1" t="s">
        <v>94</v>
      </c>
      <c r="F59" s="2">
        <v>134.4</v>
      </c>
      <c r="H59" s="1">
        <f>_xlfn.XLOOKUP('Data Source 1_customer readings'!A59,'Data Source 1_customer readings'!A59:A2457,'Data Source 1_customer readings'!J59:J2457)</f>
        <v>0</v>
      </c>
    </row>
    <row r="60" spans="1:8" x14ac:dyDescent="0.2">
      <c r="A60" s="2" t="s">
        <v>99</v>
      </c>
      <c r="B60" s="2">
        <v>10</v>
      </c>
      <c r="C60" s="2">
        <v>3</v>
      </c>
      <c r="D60" s="2">
        <v>2021</v>
      </c>
      <c r="E60" s="1" t="s">
        <v>94</v>
      </c>
      <c r="F60" s="2">
        <v>133.61000000000001</v>
      </c>
      <c r="H60" s="1">
        <f>_xlfn.XLOOKUP('Data Source 1_customer readings'!A60,'Data Source 1_customer readings'!A60:A2458,'Data Source 1_customer readings'!J60:J2458)</f>
        <v>0</v>
      </c>
    </row>
    <row r="61" spans="1:8" x14ac:dyDescent="0.2">
      <c r="A61" s="2" t="s">
        <v>13</v>
      </c>
      <c r="B61" s="2">
        <v>7</v>
      </c>
      <c r="C61" s="2">
        <v>10</v>
      </c>
      <c r="D61" s="2">
        <v>2021</v>
      </c>
      <c r="E61" s="1" t="s">
        <v>94</v>
      </c>
      <c r="F61" s="2">
        <v>133.30000000000001</v>
      </c>
      <c r="H61" s="1">
        <f>_xlfn.XLOOKUP('Data Source 1_customer readings'!A61,'Data Source 1_customer readings'!A61:A2459,'Data Source 1_customer readings'!J61:J2459)</f>
        <v>0</v>
      </c>
    </row>
    <row r="62" spans="1:8" x14ac:dyDescent="0.2">
      <c r="A62" s="2" t="s">
        <v>26</v>
      </c>
      <c r="B62" s="2">
        <v>22</v>
      </c>
      <c r="C62" s="2">
        <v>5</v>
      </c>
      <c r="D62" s="2">
        <v>2021</v>
      </c>
      <c r="E62" s="1" t="s">
        <v>94</v>
      </c>
      <c r="F62" s="2">
        <v>132.99</v>
      </c>
      <c r="H62" s="1">
        <f>_xlfn.XLOOKUP('Data Source 1_customer readings'!A62,'Data Source 1_customer readings'!A62:A2460,'Data Source 1_customer readings'!J62:J2460)</f>
        <v>0</v>
      </c>
    </row>
    <row r="63" spans="1:8" x14ac:dyDescent="0.2">
      <c r="A63" s="2" t="s">
        <v>97</v>
      </c>
      <c r="B63" s="2">
        <v>12</v>
      </c>
      <c r="C63" s="2">
        <v>10</v>
      </c>
      <c r="D63" s="2">
        <v>2021</v>
      </c>
      <c r="E63" s="1" t="s">
        <v>94</v>
      </c>
      <c r="F63" s="2">
        <v>131.44</v>
      </c>
      <c r="H63" s="1">
        <f>_xlfn.XLOOKUP('Data Source 1_customer readings'!A63,'Data Source 1_customer readings'!A63:A2461,'Data Source 1_customer readings'!J63:J2461)</f>
        <v>0</v>
      </c>
    </row>
    <row r="64" spans="1:8" x14ac:dyDescent="0.2">
      <c r="A64" s="2" t="s">
        <v>10</v>
      </c>
      <c r="B64" s="2">
        <v>18</v>
      </c>
      <c r="C64" s="2">
        <v>5</v>
      </c>
      <c r="D64" s="2">
        <v>2021</v>
      </c>
      <c r="E64" s="1" t="s">
        <v>94</v>
      </c>
      <c r="F64" s="2">
        <v>130.19999999999999</v>
      </c>
      <c r="H64" s="1">
        <f>_xlfn.XLOOKUP('Data Source 1_customer readings'!A64,'Data Source 1_customer readings'!A64:A2462,'Data Source 1_customer readings'!J64:J2462)</f>
        <v>0</v>
      </c>
    </row>
    <row r="65" spans="1:8" x14ac:dyDescent="0.2">
      <c r="A65" s="2" t="s">
        <v>24</v>
      </c>
      <c r="B65" s="2">
        <v>22</v>
      </c>
      <c r="C65" s="2">
        <v>9</v>
      </c>
      <c r="D65" s="2">
        <v>2021</v>
      </c>
      <c r="E65" s="1" t="s">
        <v>94</v>
      </c>
      <c r="F65" s="2">
        <v>129.9</v>
      </c>
      <c r="H65" s="1">
        <f>_xlfn.XLOOKUP('Data Source 1_customer readings'!A65,'Data Source 1_customer readings'!A65:A2463,'Data Source 1_customer readings'!J65:J2463)</f>
        <v>0</v>
      </c>
    </row>
    <row r="66" spans="1:8" x14ac:dyDescent="0.2">
      <c r="A66" s="2" t="s">
        <v>98</v>
      </c>
      <c r="B66" s="2">
        <v>21</v>
      </c>
      <c r="C66" s="2">
        <v>5</v>
      </c>
      <c r="D66" s="2">
        <v>2021</v>
      </c>
      <c r="E66" s="1" t="s">
        <v>94</v>
      </c>
      <c r="F66" s="2">
        <v>128.34</v>
      </c>
      <c r="H66" s="1" t="b">
        <f>_xlfn.XLOOKUP('Data Source 1_customer readings'!A66,'Data Source 1_customer readings'!A66:A2464,'Data Source 1_customer readings'!J66:J2464)</f>
        <v>0</v>
      </c>
    </row>
    <row r="67" spans="1:8" x14ac:dyDescent="0.2">
      <c r="A67" s="2" t="s">
        <v>16</v>
      </c>
      <c r="B67" s="2">
        <v>14</v>
      </c>
      <c r="C67" s="2">
        <v>5</v>
      </c>
      <c r="D67" s="2">
        <v>2021</v>
      </c>
      <c r="E67" s="1" t="s">
        <v>94</v>
      </c>
      <c r="F67" s="2">
        <v>127.41</v>
      </c>
      <c r="H67" s="1">
        <f>_xlfn.XLOOKUP('Data Source 1_customer readings'!A67,'Data Source 1_customer readings'!A67:A2465,'Data Source 1_customer readings'!J67:J2465)</f>
        <v>0</v>
      </c>
    </row>
    <row r="68" spans="1:8" x14ac:dyDescent="0.2">
      <c r="A68" s="2" t="s">
        <v>8</v>
      </c>
      <c r="B68" s="2">
        <v>5</v>
      </c>
      <c r="C68" s="2">
        <v>8</v>
      </c>
      <c r="D68" s="2">
        <v>2021</v>
      </c>
      <c r="E68" s="1" t="s">
        <v>94</v>
      </c>
      <c r="F68" s="2">
        <v>127.41</v>
      </c>
      <c r="H68" s="1">
        <f>_xlfn.XLOOKUP('Data Source 1_customer readings'!A68,'Data Source 1_customer readings'!A68:A2466,'Data Source 1_customer readings'!J68:J2466)</f>
        <v>0</v>
      </c>
    </row>
    <row r="69" spans="1:8" x14ac:dyDescent="0.2">
      <c r="A69" s="2" t="s">
        <v>97</v>
      </c>
      <c r="B69" s="2">
        <v>12</v>
      </c>
      <c r="C69" s="2">
        <v>4</v>
      </c>
      <c r="D69" s="2">
        <v>2021</v>
      </c>
      <c r="E69" s="1" t="s">
        <v>94</v>
      </c>
      <c r="F69" s="2">
        <v>126.9</v>
      </c>
      <c r="H69" s="1">
        <f>_xlfn.XLOOKUP('Data Source 1_customer readings'!A69,'Data Source 1_customer readings'!A69:A2467,'Data Source 1_customer readings'!J69:J2467)</f>
        <v>0</v>
      </c>
    </row>
    <row r="70" spans="1:8" x14ac:dyDescent="0.2">
      <c r="A70" s="2" t="s">
        <v>98</v>
      </c>
      <c r="B70" s="2">
        <v>21</v>
      </c>
      <c r="C70" s="2">
        <v>8</v>
      </c>
      <c r="D70" s="2">
        <v>2021</v>
      </c>
      <c r="E70" s="1" t="s">
        <v>94</v>
      </c>
      <c r="F70" s="2">
        <v>125.24</v>
      </c>
      <c r="H70" s="1">
        <f>_xlfn.XLOOKUP('Data Source 1_customer readings'!A70,'Data Source 1_customer readings'!A70:A2468,'Data Source 1_customer readings'!J70:J2468)</f>
        <v>0</v>
      </c>
    </row>
    <row r="71" spans="1:8" x14ac:dyDescent="0.2">
      <c r="A71" s="2" t="s">
        <v>99</v>
      </c>
      <c r="B71" s="2">
        <v>10</v>
      </c>
      <c r="C71" s="2">
        <v>5</v>
      </c>
      <c r="D71" s="2">
        <v>2021</v>
      </c>
      <c r="E71" s="1" t="s">
        <v>94</v>
      </c>
      <c r="F71" s="2">
        <v>121.52</v>
      </c>
      <c r="H71" s="1">
        <f>_xlfn.XLOOKUP('Data Source 1_customer readings'!A71,'Data Source 1_customer readings'!A71:A2469,'Data Source 1_customer readings'!J71:J2469)</f>
        <v>0</v>
      </c>
    </row>
    <row r="72" spans="1:8" x14ac:dyDescent="0.2">
      <c r="A72" s="2" t="s">
        <v>98</v>
      </c>
      <c r="B72" s="2">
        <v>21</v>
      </c>
      <c r="C72" s="2">
        <v>6</v>
      </c>
      <c r="D72" s="2">
        <v>2021</v>
      </c>
      <c r="E72" s="1" t="s">
        <v>94</v>
      </c>
      <c r="F72" s="2">
        <v>121.5</v>
      </c>
      <c r="H72" s="1">
        <f>_xlfn.XLOOKUP('Data Source 1_customer readings'!A72,'Data Source 1_customer readings'!A72:A2470,'Data Source 1_customer readings'!J72:J2470)</f>
        <v>0</v>
      </c>
    </row>
    <row r="73" spans="1:8" x14ac:dyDescent="0.2">
      <c r="A73" s="2" t="s">
        <v>19</v>
      </c>
      <c r="B73" s="2">
        <v>24</v>
      </c>
      <c r="C73" s="2">
        <v>7</v>
      </c>
      <c r="D73" s="2">
        <v>2021</v>
      </c>
      <c r="E73" s="1" t="s">
        <v>94</v>
      </c>
      <c r="F73" s="2">
        <v>121.21</v>
      </c>
      <c r="H73" s="1">
        <f>_xlfn.XLOOKUP('Data Source 1_customer readings'!A73,'Data Source 1_customer readings'!A73:A2471,'Data Source 1_customer readings'!J73:J2471)</f>
        <v>0</v>
      </c>
    </row>
    <row r="74" spans="1:8" x14ac:dyDescent="0.2">
      <c r="A74" s="2" t="s">
        <v>17</v>
      </c>
      <c r="B74" s="2">
        <v>8</v>
      </c>
      <c r="C74" s="2">
        <v>6</v>
      </c>
      <c r="D74" s="2">
        <v>2021</v>
      </c>
      <c r="E74" s="1" t="s">
        <v>94</v>
      </c>
      <c r="F74" s="2">
        <v>120.9</v>
      </c>
      <c r="H74" s="1">
        <f>_xlfn.XLOOKUP('Data Source 1_customer readings'!A74,'Data Source 1_customer readings'!A74:A2472,'Data Source 1_customer readings'!J74:J2472)</f>
        <v>0</v>
      </c>
    </row>
    <row r="75" spans="1:8" x14ac:dyDescent="0.2">
      <c r="A75" s="2" t="s">
        <v>28</v>
      </c>
      <c r="B75" s="2">
        <v>5</v>
      </c>
      <c r="C75" s="2">
        <v>8</v>
      </c>
      <c r="D75" s="2">
        <v>2021</v>
      </c>
      <c r="E75" s="1" t="s">
        <v>94</v>
      </c>
      <c r="F75" s="2">
        <v>120.9</v>
      </c>
      <c r="H75" s="1">
        <f>_xlfn.XLOOKUP('Data Source 1_customer readings'!A75,'Data Source 1_customer readings'!A75:A2473,'Data Source 1_customer readings'!J75:J2473)</f>
        <v>0</v>
      </c>
    </row>
    <row r="76" spans="1:8" x14ac:dyDescent="0.2">
      <c r="A76" s="2" t="s">
        <v>97</v>
      </c>
      <c r="B76" s="2">
        <v>12</v>
      </c>
      <c r="C76" s="2">
        <v>2</v>
      </c>
      <c r="D76" s="2">
        <v>2021</v>
      </c>
      <c r="E76" s="1" t="s">
        <v>94</v>
      </c>
      <c r="F76" s="2">
        <v>120.68</v>
      </c>
      <c r="H76" s="1">
        <f>_xlfn.XLOOKUP('Data Source 1_customer readings'!A76,'Data Source 1_customer readings'!A76:A2474,'Data Source 1_customer readings'!J76:J2474)</f>
        <v>0</v>
      </c>
    </row>
    <row r="77" spans="1:8" x14ac:dyDescent="0.2">
      <c r="A77" s="2" t="s">
        <v>98</v>
      </c>
      <c r="B77" s="2">
        <v>21</v>
      </c>
      <c r="C77" s="2">
        <v>7</v>
      </c>
      <c r="D77" s="2">
        <v>2021</v>
      </c>
      <c r="E77" s="1" t="s">
        <v>94</v>
      </c>
      <c r="F77" s="2">
        <v>120.59</v>
      </c>
      <c r="H77" s="1">
        <f>_xlfn.XLOOKUP('Data Source 1_customer readings'!A77,'Data Source 1_customer readings'!A77:A2475,'Data Source 1_customer readings'!J77:J2475)</f>
        <v>0</v>
      </c>
    </row>
    <row r="78" spans="1:8" x14ac:dyDescent="0.2">
      <c r="A78" s="2" t="s">
        <v>99</v>
      </c>
      <c r="B78" s="2">
        <v>10</v>
      </c>
      <c r="C78" s="2">
        <v>8</v>
      </c>
      <c r="D78" s="2">
        <v>2021</v>
      </c>
      <c r="E78" s="1" t="s">
        <v>94</v>
      </c>
      <c r="F78" s="2">
        <v>119.66</v>
      </c>
      <c r="H78" s="1">
        <f>_xlfn.XLOOKUP('Data Source 1_customer readings'!A78,'Data Source 1_customer readings'!A78:A2476,'Data Source 1_customer readings'!J78:J2476)</f>
        <v>0</v>
      </c>
    </row>
    <row r="79" spans="1:8" x14ac:dyDescent="0.2">
      <c r="A79" s="2" t="s">
        <v>26</v>
      </c>
      <c r="B79" s="2">
        <v>22</v>
      </c>
      <c r="C79" s="2">
        <v>7</v>
      </c>
      <c r="D79" s="2">
        <v>2021</v>
      </c>
      <c r="E79" s="1" t="s">
        <v>94</v>
      </c>
      <c r="F79" s="2">
        <v>119.35</v>
      </c>
      <c r="H79" s="1">
        <f>_xlfn.XLOOKUP('Data Source 1_customer readings'!A79,'Data Source 1_customer readings'!A79:A2477,'Data Source 1_customer readings'!J79:J2477)</f>
        <v>0</v>
      </c>
    </row>
    <row r="80" spans="1:8" x14ac:dyDescent="0.2">
      <c r="A80" s="2" t="s">
        <v>15</v>
      </c>
      <c r="B80" s="2">
        <v>5</v>
      </c>
      <c r="C80" s="2">
        <v>7</v>
      </c>
      <c r="D80" s="2">
        <v>2021</v>
      </c>
      <c r="E80" s="1" t="s">
        <v>94</v>
      </c>
      <c r="F80" s="2">
        <v>119.04</v>
      </c>
      <c r="H80" s="1">
        <f>_xlfn.XLOOKUP('Data Source 1_customer readings'!A80,'Data Source 1_customer readings'!A80:A2478,'Data Source 1_customer readings'!J80:J2478)</f>
        <v>0</v>
      </c>
    </row>
    <row r="81" spans="1:8" x14ac:dyDescent="0.2">
      <c r="A81" s="2" t="s">
        <v>6</v>
      </c>
      <c r="B81" s="2">
        <v>7</v>
      </c>
      <c r="C81" s="2">
        <v>7</v>
      </c>
      <c r="D81" s="2">
        <v>2021</v>
      </c>
      <c r="E81" s="1" t="s">
        <v>94</v>
      </c>
      <c r="F81" s="2">
        <v>119.04</v>
      </c>
      <c r="H81" s="1">
        <f>_xlfn.XLOOKUP('Data Source 1_customer readings'!A81,'Data Source 1_customer readings'!A81:A2479,'Data Source 1_customer readings'!J81:J2479)</f>
        <v>0</v>
      </c>
    </row>
    <row r="82" spans="1:8" x14ac:dyDescent="0.2">
      <c r="A82" s="2" t="s">
        <v>100</v>
      </c>
      <c r="B82" s="2">
        <v>1</v>
      </c>
      <c r="C82" s="2">
        <v>6</v>
      </c>
      <c r="D82" s="2">
        <v>2021</v>
      </c>
      <c r="E82" s="1" t="s">
        <v>94</v>
      </c>
      <c r="F82" s="2">
        <v>117.3</v>
      </c>
      <c r="H82" s="1">
        <f>_xlfn.XLOOKUP('Data Source 1_customer readings'!A82,'Data Source 1_customer readings'!A82:A2480,'Data Source 1_customer readings'!J82:J2480)</f>
        <v>0</v>
      </c>
    </row>
    <row r="83" spans="1:8" x14ac:dyDescent="0.2">
      <c r="A83" s="2" t="s">
        <v>100</v>
      </c>
      <c r="B83" s="2">
        <v>1</v>
      </c>
      <c r="C83" s="2">
        <v>5</v>
      </c>
      <c r="D83" s="2">
        <v>2021</v>
      </c>
      <c r="E83" s="1" t="s">
        <v>94</v>
      </c>
      <c r="F83" s="2">
        <v>115.63</v>
      </c>
      <c r="H83" s="1">
        <f>_xlfn.XLOOKUP('Data Source 1_customer readings'!A83,'Data Source 1_customer readings'!A83:A2481,'Data Source 1_customer readings'!J83:J2481)</f>
        <v>0</v>
      </c>
    </row>
    <row r="84" spans="1:8" x14ac:dyDescent="0.2">
      <c r="A84" s="2" t="s">
        <v>97</v>
      </c>
      <c r="B84" s="2">
        <v>12</v>
      </c>
      <c r="C84" s="2">
        <v>3</v>
      </c>
      <c r="D84" s="2">
        <v>2021</v>
      </c>
      <c r="E84" s="1" t="s">
        <v>94</v>
      </c>
      <c r="F84" s="2">
        <v>115.32</v>
      </c>
      <c r="H84" s="1" t="b">
        <f>_xlfn.XLOOKUP('Data Source 1_customer readings'!A84,'Data Source 1_customer readings'!A84:A2482,'Data Source 1_customer readings'!J84:J2482)</f>
        <v>0</v>
      </c>
    </row>
    <row r="85" spans="1:8" x14ac:dyDescent="0.2">
      <c r="A85" s="2" t="s">
        <v>99</v>
      </c>
      <c r="B85" s="2">
        <v>10</v>
      </c>
      <c r="C85" s="2">
        <v>7</v>
      </c>
      <c r="D85" s="2">
        <v>2021</v>
      </c>
      <c r="E85" s="1" t="s">
        <v>94</v>
      </c>
      <c r="F85" s="2">
        <v>115.32</v>
      </c>
      <c r="H85" s="1">
        <f>_xlfn.XLOOKUP('Data Source 1_customer readings'!A85,'Data Source 1_customer readings'!A85:A2483,'Data Source 1_customer readings'!J85:J2483)</f>
        <v>0</v>
      </c>
    </row>
    <row r="86" spans="1:8" x14ac:dyDescent="0.2">
      <c r="A86" s="2" t="s">
        <v>22</v>
      </c>
      <c r="B86" s="2">
        <v>22</v>
      </c>
      <c r="C86" s="2">
        <v>9</v>
      </c>
      <c r="D86" s="2">
        <v>2021</v>
      </c>
      <c r="E86" s="1" t="s">
        <v>94</v>
      </c>
      <c r="F86" s="2">
        <v>113.7</v>
      </c>
      <c r="H86" s="1">
        <f>_xlfn.XLOOKUP('Data Source 1_customer readings'!A86,'Data Source 1_customer readings'!A86:A2484,'Data Source 1_customer readings'!J86:J2484)</f>
        <v>0</v>
      </c>
    </row>
    <row r="87" spans="1:8" x14ac:dyDescent="0.2">
      <c r="A87" s="2" t="s">
        <v>99</v>
      </c>
      <c r="B87" s="2">
        <v>10</v>
      </c>
      <c r="C87" s="2">
        <v>9</v>
      </c>
      <c r="D87" s="2">
        <v>2021</v>
      </c>
      <c r="E87" s="1" t="s">
        <v>94</v>
      </c>
      <c r="F87" s="2">
        <v>112.5</v>
      </c>
      <c r="H87" s="1" t="b">
        <f>_xlfn.XLOOKUP('Data Source 1_customer readings'!A87,'Data Source 1_customer readings'!A87:A2485,'Data Source 1_customer readings'!J87:J2485)</f>
        <v>0</v>
      </c>
    </row>
    <row r="88" spans="1:8" x14ac:dyDescent="0.2">
      <c r="A88" s="2" t="s">
        <v>4</v>
      </c>
      <c r="B88" s="2">
        <v>1</v>
      </c>
      <c r="C88" s="2">
        <v>9</v>
      </c>
      <c r="D88" s="2">
        <v>2021</v>
      </c>
      <c r="E88" s="1" t="s">
        <v>94</v>
      </c>
      <c r="F88" s="2">
        <v>108.9</v>
      </c>
      <c r="H88" s="1">
        <f>_xlfn.XLOOKUP('Data Source 1_customer readings'!A88,'Data Source 1_customer readings'!A88:A2486,'Data Source 1_customer readings'!J88:J2486)</f>
        <v>0</v>
      </c>
    </row>
    <row r="89" spans="1:8" x14ac:dyDescent="0.2">
      <c r="A89" s="2" t="s">
        <v>100</v>
      </c>
      <c r="B89" s="2">
        <v>1</v>
      </c>
      <c r="C89" s="2">
        <v>8</v>
      </c>
      <c r="D89" s="2">
        <v>2021</v>
      </c>
      <c r="E89" s="1" t="s">
        <v>94</v>
      </c>
      <c r="F89" s="2">
        <v>108.81</v>
      </c>
      <c r="H89" s="1">
        <f>_xlfn.XLOOKUP('Data Source 1_customer readings'!A89,'Data Source 1_customer readings'!A89:A2487,'Data Source 1_customer readings'!J89:J2487)</f>
        <v>0</v>
      </c>
    </row>
    <row r="90" spans="1:8" x14ac:dyDescent="0.2">
      <c r="A90" s="2" t="s">
        <v>100</v>
      </c>
      <c r="B90" s="2">
        <v>1</v>
      </c>
      <c r="C90" s="2">
        <v>7</v>
      </c>
      <c r="D90" s="2">
        <v>2021</v>
      </c>
      <c r="E90" s="1" t="s">
        <v>94</v>
      </c>
      <c r="F90" s="2">
        <v>108.5</v>
      </c>
      <c r="H90" s="1">
        <f>_xlfn.XLOOKUP('Data Source 1_customer readings'!A90,'Data Source 1_customer readings'!A90:A2488,'Data Source 1_customer readings'!J90:J2488)</f>
        <v>0</v>
      </c>
    </row>
    <row r="91" spans="1:8" x14ac:dyDescent="0.2">
      <c r="A91" s="2" t="s">
        <v>97</v>
      </c>
      <c r="B91" s="2">
        <v>12</v>
      </c>
      <c r="C91" s="2">
        <v>6</v>
      </c>
      <c r="D91" s="2">
        <v>2021</v>
      </c>
      <c r="E91" s="1" t="s">
        <v>94</v>
      </c>
      <c r="F91" s="2">
        <v>105.3</v>
      </c>
      <c r="H91" s="1">
        <f>_xlfn.XLOOKUP('Data Source 1_customer readings'!A91,'Data Source 1_customer readings'!A91:A2489,'Data Source 1_customer readings'!J91:J2489)</f>
        <v>0</v>
      </c>
    </row>
    <row r="92" spans="1:8" x14ac:dyDescent="0.2">
      <c r="A92" s="2" t="s">
        <v>98</v>
      </c>
      <c r="B92" s="2">
        <v>21</v>
      </c>
      <c r="C92" s="2">
        <v>9</v>
      </c>
      <c r="D92" s="2">
        <v>2021</v>
      </c>
      <c r="E92" s="1" t="s">
        <v>94</v>
      </c>
      <c r="F92" s="2">
        <v>105</v>
      </c>
      <c r="H92" s="1">
        <f>_xlfn.XLOOKUP('Data Source 1_customer readings'!A92,'Data Source 1_customer readings'!A92:A2490,'Data Source 1_customer readings'!J92:J2490)</f>
        <v>0</v>
      </c>
    </row>
    <row r="93" spans="1:8" x14ac:dyDescent="0.2">
      <c r="A93" s="2" t="s">
        <v>3</v>
      </c>
      <c r="B93" s="2">
        <v>25</v>
      </c>
      <c r="C93" s="2">
        <v>5</v>
      </c>
      <c r="D93" s="2">
        <v>2021</v>
      </c>
      <c r="E93" s="1" t="s">
        <v>94</v>
      </c>
      <c r="F93" s="2">
        <v>104.16</v>
      </c>
      <c r="H93" s="1" t="b">
        <f>_xlfn.XLOOKUP('Data Source 1_customer readings'!A93,'Data Source 1_customer readings'!A93:A2491,'Data Source 1_customer readings'!J93:J2491)</f>
        <v>0</v>
      </c>
    </row>
    <row r="94" spans="1:8" x14ac:dyDescent="0.2">
      <c r="A94" s="2" t="s">
        <v>4</v>
      </c>
      <c r="B94" s="2">
        <v>1</v>
      </c>
      <c r="C94" s="2">
        <v>6</v>
      </c>
      <c r="D94" s="2">
        <v>2021</v>
      </c>
      <c r="E94" s="1" t="s">
        <v>94</v>
      </c>
      <c r="F94" s="2">
        <v>102.9</v>
      </c>
      <c r="H94" s="1">
        <f>_xlfn.XLOOKUP('Data Source 1_customer readings'!A94,'Data Source 1_customer readings'!A94:A2492,'Data Source 1_customer readings'!J94:J2492)</f>
        <v>0</v>
      </c>
    </row>
    <row r="95" spans="1:8" x14ac:dyDescent="0.2">
      <c r="A95" s="2" t="s">
        <v>100</v>
      </c>
      <c r="B95" s="2">
        <v>1</v>
      </c>
      <c r="C95" s="2">
        <v>9</v>
      </c>
      <c r="D95" s="2">
        <v>2021</v>
      </c>
      <c r="E95" s="1" t="s">
        <v>94</v>
      </c>
      <c r="F95" s="2">
        <v>102.3</v>
      </c>
      <c r="H95" s="1">
        <f>_xlfn.XLOOKUP('Data Source 1_customer readings'!A95,'Data Source 1_customer readings'!A95:A2493,'Data Source 1_customer readings'!J95:J2493)</f>
        <v>0</v>
      </c>
    </row>
    <row r="96" spans="1:8" x14ac:dyDescent="0.2">
      <c r="A96" s="2" t="s">
        <v>97</v>
      </c>
      <c r="B96" s="2">
        <v>12</v>
      </c>
      <c r="C96" s="2">
        <v>8</v>
      </c>
      <c r="D96" s="2">
        <v>2021</v>
      </c>
      <c r="E96" s="1" t="s">
        <v>94</v>
      </c>
      <c r="F96" s="2">
        <v>101.37</v>
      </c>
      <c r="H96" s="1">
        <f>_xlfn.XLOOKUP('Data Source 1_customer readings'!A96,'Data Source 1_customer readings'!A96:A2494,'Data Source 1_customer readings'!J96:J2494)</f>
        <v>0</v>
      </c>
    </row>
    <row r="97" spans="1:8" x14ac:dyDescent="0.2">
      <c r="A97" s="2" t="s">
        <v>1</v>
      </c>
      <c r="B97" s="2">
        <v>21</v>
      </c>
      <c r="C97" s="2">
        <v>8</v>
      </c>
      <c r="D97" s="2">
        <v>2021</v>
      </c>
      <c r="E97" s="1" t="s">
        <v>94</v>
      </c>
      <c r="F97" s="2">
        <v>98.58</v>
      </c>
      <c r="H97" s="1">
        <f>_xlfn.XLOOKUP('Data Source 1_customer readings'!A97,'Data Source 1_customer readings'!A97:A2495,'Data Source 1_customer readings'!J97:J2495)</f>
        <v>0</v>
      </c>
    </row>
    <row r="98" spans="1:8" x14ac:dyDescent="0.2">
      <c r="A98" s="2" t="s">
        <v>97</v>
      </c>
      <c r="B98" s="2">
        <v>12</v>
      </c>
      <c r="C98" s="2">
        <v>7</v>
      </c>
      <c r="D98" s="2">
        <v>2021</v>
      </c>
      <c r="E98" s="1" t="s">
        <v>94</v>
      </c>
      <c r="F98" s="2">
        <v>97.34</v>
      </c>
      <c r="H98" s="1">
        <f>_xlfn.XLOOKUP('Data Source 1_customer readings'!A98,'Data Source 1_customer readings'!A98:A2496,'Data Source 1_customer readings'!J98:J2496)</f>
        <v>0</v>
      </c>
    </row>
    <row r="99" spans="1:8" x14ac:dyDescent="0.2">
      <c r="A99" s="2" t="s">
        <v>99</v>
      </c>
      <c r="B99" s="2">
        <v>10</v>
      </c>
      <c r="C99" s="2">
        <v>6</v>
      </c>
      <c r="D99" s="2">
        <v>2021</v>
      </c>
      <c r="E99" s="1" t="s">
        <v>94</v>
      </c>
      <c r="F99" s="2">
        <v>96.9</v>
      </c>
      <c r="H99" s="1">
        <f>_xlfn.XLOOKUP('Data Source 1_customer readings'!A99,'Data Source 1_customer readings'!A99:A2497,'Data Source 1_customer readings'!J99:J2497)</f>
        <v>0</v>
      </c>
    </row>
    <row r="100" spans="1:8" x14ac:dyDescent="0.2">
      <c r="A100" s="2" t="s">
        <v>97</v>
      </c>
      <c r="B100" s="2">
        <v>12</v>
      </c>
      <c r="C100" s="2">
        <v>9</v>
      </c>
      <c r="D100" s="2">
        <v>2021</v>
      </c>
      <c r="E100" s="1" t="s">
        <v>94</v>
      </c>
      <c r="F100" s="2">
        <v>92.1</v>
      </c>
      <c r="H100" s="1">
        <f>_xlfn.XLOOKUP('Data Source 1_customer readings'!A100,'Data Source 1_customer readings'!A100:A2498,'Data Source 1_customer readings'!J100:J2498)</f>
        <v>0</v>
      </c>
    </row>
    <row r="101" spans="1:8" x14ac:dyDescent="0.2">
      <c r="A101" s="2" t="s">
        <v>2</v>
      </c>
      <c r="B101" s="2">
        <v>18</v>
      </c>
      <c r="C101" s="2">
        <v>9</v>
      </c>
      <c r="D101" s="2">
        <v>2021</v>
      </c>
      <c r="E101" s="1" t="s">
        <v>94</v>
      </c>
      <c r="F101" s="2">
        <v>90.9</v>
      </c>
      <c r="H101" s="1">
        <f>_xlfn.XLOOKUP('Data Source 1_customer readings'!A101,'Data Source 1_customer readings'!A101:A2499,'Data Source 1_customer readings'!J101:J2499)</f>
        <v>0</v>
      </c>
    </row>
    <row r="102" spans="1:8" x14ac:dyDescent="0.2">
      <c r="A102" s="2" t="s">
        <v>97</v>
      </c>
      <c r="B102" s="2">
        <v>12</v>
      </c>
      <c r="C102" s="2">
        <v>5</v>
      </c>
      <c r="D102" s="2">
        <v>2021</v>
      </c>
      <c r="E102" s="1" t="s">
        <v>94</v>
      </c>
      <c r="F102" s="2">
        <v>90.21</v>
      </c>
      <c r="H102" s="1">
        <f>_xlfn.XLOOKUP('Data Source 1_customer readings'!A102,'Data Source 1_customer readings'!A102:A2500,'Data Source 1_customer readings'!J102:J2500)</f>
        <v>0</v>
      </c>
    </row>
    <row r="103" spans="1:8" x14ac:dyDescent="0.2">
      <c r="A103" s="2" t="s">
        <v>96</v>
      </c>
      <c r="B103" s="2">
        <v>3</v>
      </c>
      <c r="C103" s="2">
        <v>3</v>
      </c>
      <c r="D103" s="2">
        <v>2021</v>
      </c>
      <c r="E103" s="1" t="s">
        <v>94</v>
      </c>
      <c r="F103" s="2">
        <v>84.32</v>
      </c>
      <c r="H103" s="1">
        <f>_xlfn.XLOOKUP('Data Source 1_customer readings'!A103,'Data Source 1_customer readings'!A103:A2501,'Data Source 1_customer readings'!J103:J2501)</f>
        <v>0</v>
      </c>
    </row>
    <row r="104" spans="1:8" x14ac:dyDescent="0.2">
      <c r="A104" s="2" t="s">
        <v>95</v>
      </c>
      <c r="B104" s="2">
        <v>24</v>
      </c>
      <c r="C104" s="2">
        <v>9</v>
      </c>
      <c r="D104" s="2">
        <v>2021</v>
      </c>
      <c r="E104" s="1" t="s">
        <v>94</v>
      </c>
      <c r="F104" s="2">
        <v>83.4</v>
      </c>
      <c r="H104" s="1">
        <f>_xlfn.XLOOKUP('Data Source 1_customer readings'!A104,'Data Source 1_customer readings'!A104:A2502,'Data Source 1_customer readings'!J104:J2502)</f>
        <v>0</v>
      </c>
    </row>
    <row r="105" spans="1:8" x14ac:dyDescent="0.2">
      <c r="A105" s="2" t="s">
        <v>95</v>
      </c>
      <c r="B105" s="2">
        <v>24</v>
      </c>
      <c r="C105" s="2">
        <v>5</v>
      </c>
      <c r="D105" s="2">
        <v>2021</v>
      </c>
      <c r="E105" s="1" t="s">
        <v>94</v>
      </c>
      <c r="F105" s="2">
        <v>82.46</v>
      </c>
      <c r="H105" s="1">
        <f>_xlfn.XLOOKUP('Data Source 1_customer readings'!A105,'Data Source 1_customer readings'!A105:A2503,'Data Source 1_customer readings'!J105:J2503)</f>
        <v>0</v>
      </c>
    </row>
    <row r="106" spans="1:8" x14ac:dyDescent="0.2">
      <c r="A106" s="2" t="s">
        <v>96</v>
      </c>
      <c r="B106" s="2">
        <v>3</v>
      </c>
      <c r="C106" s="2">
        <v>12</v>
      </c>
      <c r="D106" s="2">
        <v>2021</v>
      </c>
      <c r="E106" s="1" t="s">
        <v>94</v>
      </c>
      <c r="F106" s="2">
        <v>82.15</v>
      </c>
      <c r="H106" s="1" t="b">
        <f>_xlfn.XLOOKUP('Data Source 1_customer readings'!A106,'Data Source 1_customer readings'!A106:A2504,'Data Source 1_customer readings'!J106:J2504)</f>
        <v>0</v>
      </c>
    </row>
    <row r="107" spans="1:8" x14ac:dyDescent="0.2">
      <c r="A107" s="2" t="s">
        <v>0</v>
      </c>
      <c r="B107" s="2">
        <v>25</v>
      </c>
      <c r="C107" s="2">
        <v>7</v>
      </c>
      <c r="D107" s="2">
        <v>2021</v>
      </c>
      <c r="E107" s="1" t="s">
        <v>94</v>
      </c>
      <c r="F107" s="2">
        <v>81.53</v>
      </c>
      <c r="H107" s="1">
        <f>_xlfn.XLOOKUP('Data Source 1_customer readings'!A107,'Data Source 1_customer readings'!A107:A2505,'Data Source 1_customer readings'!J107:J2505)</f>
        <v>0</v>
      </c>
    </row>
    <row r="108" spans="1:8" x14ac:dyDescent="0.2">
      <c r="A108" s="2" t="s">
        <v>95</v>
      </c>
      <c r="B108" s="2">
        <v>24</v>
      </c>
      <c r="C108" s="2">
        <v>4</v>
      </c>
      <c r="D108" s="2">
        <v>2021</v>
      </c>
      <c r="E108" s="1" t="s">
        <v>94</v>
      </c>
      <c r="F108" s="2">
        <v>80.7</v>
      </c>
      <c r="H108" s="1">
        <f>_xlfn.XLOOKUP('Data Source 1_customer readings'!A108,'Data Source 1_customer readings'!A108:A2506,'Data Source 1_customer readings'!J108:J2506)</f>
        <v>0</v>
      </c>
    </row>
    <row r="109" spans="1:8" x14ac:dyDescent="0.2">
      <c r="A109" s="2" t="s">
        <v>96</v>
      </c>
      <c r="B109" s="2">
        <v>3</v>
      </c>
      <c r="C109" s="2">
        <v>11</v>
      </c>
      <c r="D109" s="2">
        <v>2021</v>
      </c>
      <c r="E109" s="1" t="s">
        <v>94</v>
      </c>
      <c r="F109" s="2">
        <v>80.099999999999994</v>
      </c>
      <c r="H109" s="1">
        <f>_xlfn.XLOOKUP('Data Source 1_customer readings'!A109,'Data Source 1_customer readings'!A109:A2507,'Data Source 1_customer readings'!J109:J2507)</f>
        <v>0</v>
      </c>
    </row>
    <row r="110" spans="1:8" x14ac:dyDescent="0.2">
      <c r="A110" s="2" t="s">
        <v>95</v>
      </c>
      <c r="B110" s="2">
        <v>24</v>
      </c>
      <c r="C110" s="2">
        <v>12</v>
      </c>
      <c r="D110" s="2">
        <v>2021</v>
      </c>
      <c r="E110" s="1" t="s">
        <v>94</v>
      </c>
      <c r="F110" s="2">
        <v>79.05</v>
      </c>
      <c r="H110" s="1">
        <f>_xlfn.XLOOKUP('Data Source 1_customer readings'!A110,'Data Source 1_customer readings'!A110:A2508,'Data Source 1_customer readings'!J110:J2508)</f>
        <v>0</v>
      </c>
    </row>
    <row r="111" spans="1:8" x14ac:dyDescent="0.2">
      <c r="A111" s="2" t="s">
        <v>0</v>
      </c>
      <c r="B111" s="2">
        <v>25</v>
      </c>
      <c r="C111" s="2">
        <v>3</v>
      </c>
      <c r="D111" s="2">
        <v>2021</v>
      </c>
      <c r="E111" s="1" t="s">
        <v>94</v>
      </c>
      <c r="F111" s="2">
        <v>78.12</v>
      </c>
      <c r="H111" s="1">
        <f>_xlfn.XLOOKUP('Data Source 1_customer readings'!A111,'Data Source 1_customer readings'!A111:A2509,'Data Source 1_customer readings'!J111:J2509)</f>
        <v>0</v>
      </c>
    </row>
    <row r="112" spans="1:8" x14ac:dyDescent="0.2">
      <c r="A112" s="2" t="s">
        <v>96</v>
      </c>
      <c r="B112" s="2">
        <v>3</v>
      </c>
      <c r="C112" s="2">
        <v>10</v>
      </c>
      <c r="D112" s="2">
        <v>2021</v>
      </c>
      <c r="E112" s="1" t="s">
        <v>94</v>
      </c>
      <c r="F112" s="2">
        <v>77.81</v>
      </c>
      <c r="H112" s="1">
        <f>_xlfn.XLOOKUP('Data Source 1_customer readings'!A112,'Data Source 1_customer readings'!A112:A2510,'Data Source 1_customer readings'!J112:J2510)</f>
        <v>0</v>
      </c>
    </row>
    <row r="113" spans="1:8" x14ac:dyDescent="0.2">
      <c r="A113" s="2" t="s">
        <v>0</v>
      </c>
      <c r="B113" s="2">
        <v>25</v>
      </c>
      <c r="C113" s="2">
        <v>12</v>
      </c>
      <c r="D113" s="2">
        <v>2021</v>
      </c>
      <c r="E113" s="1" t="s">
        <v>94</v>
      </c>
      <c r="F113" s="2">
        <v>77.81</v>
      </c>
      <c r="H113" s="1">
        <f>_xlfn.XLOOKUP('Data Source 1_customer readings'!A113,'Data Source 1_customer readings'!A113:A2511,'Data Source 1_customer readings'!J113:J2511)</f>
        <v>0</v>
      </c>
    </row>
    <row r="114" spans="1:8" x14ac:dyDescent="0.2">
      <c r="A114" s="2" t="s">
        <v>95</v>
      </c>
      <c r="B114" s="2">
        <v>24</v>
      </c>
      <c r="C114" s="2">
        <v>1</v>
      </c>
      <c r="D114" s="2">
        <v>2021</v>
      </c>
      <c r="E114" s="1" t="s">
        <v>94</v>
      </c>
      <c r="F114" s="2">
        <v>77.19</v>
      </c>
      <c r="H114" s="1">
        <f>_xlfn.XLOOKUP('Data Source 1_customer readings'!A114,'Data Source 1_customer readings'!A114:A2512,'Data Source 1_customer readings'!J114:J2512)</f>
        <v>0</v>
      </c>
    </row>
    <row r="115" spans="1:8" x14ac:dyDescent="0.2">
      <c r="A115" s="2" t="s">
        <v>96</v>
      </c>
      <c r="B115" s="2">
        <v>3</v>
      </c>
      <c r="C115" s="2">
        <v>1</v>
      </c>
      <c r="D115" s="2">
        <v>2021</v>
      </c>
      <c r="E115" s="1" t="s">
        <v>94</v>
      </c>
      <c r="F115" s="2">
        <v>76.88</v>
      </c>
      <c r="H115" s="1">
        <f>_xlfn.XLOOKUP('Data Source 1_customer readings'!A115,'Data Source 1_customer readings'!A115:A2513,'Data Source 1_customer readings'!J115:J2513)</f>
        <v>0</v>
      </c>
    </row>
    <row r="116" spans="1:8" x14ac:dyDescent="0.2">
      <c r="A116" s="2" t="s">
        <v>96</v>
      </c>
      <c r="B116" s="2">
        <v>3</v>
      </c>
      <c r="C116" s="2">
        <v>9</v>
      </c>
      <c r="D116" s="2">
        <v>2021</v>
      </c>
      <c r="E116" s="1" t="s">
        <v>94</v>
      </c>
      <c r="F116" s="2">
        <v>74.400000000000006</v>
      </c>
      <c r="H116" s="1" t="b">
        <f>_xlfn.XLOOKUP('Data Source 1_customer readings'!A116,'Data Source 1_customer readings'!A116:A2514,'Data Source 1_customer readings'!J116:J2514)</f>
        <v>1</v>
      </c>
    </row>
    <row r="117" spans="1:8" x14ac:dyDescent="0.2">
      <c r="A117" s="2" t="s">
        <v>0</v>
      </c>
      <c r="B117" s="2">
        <v>25</v>
      </c>
      <c r="C117" s="2">
        <v>6</v>
      </c>
      <c r="D117" s="2">
        <v>2021</v>
      </c>
      <c r="E117" s="1" t="s">
        <v>94</v>
      </c>
      <c r="F117" s="2">
        <v>73.8</v>
      </c>
      <c r="H117" s="1">
        <f>_xlfn.XLOOKUP('Data Source 1_customer readings'!A117,'Data Source 1_customer readings'!A117:A2515,'Data Source 1_customer readings'!J117:J2515)</f>
        <v>0</v>
      </c>
    </row>
    <row r="118" spans="1:8" x14ac:dyDescent="0.2">
      <c r="A118" s="2" t="s">
        <v>0</v>
      </c>
      <c r="B118" s="2">
        <v>25</v>
      </c>
      <c r="C118" s="2">
        <v>11</v>
      </c>
      <c r="D118" s="2">
        <v>2021</v>
      </c>
      <c r="E118" s="1" t="s">
        <v>94</v>
      </c>
      <c r="F118" s="2">
        <v>73.8</v>
      </c>
      <c r="H118" s="1">
        <f>_xlfn.XLOOKUP('Data Source 1_customer readings'!A118,'Data Source 1_customer readings'!A118:A2516,'Data Source 1_customer readings'!J118:J2516)</f>
        <v>0</v>
      </c>
    </row>
    <row r="119" spans="1:8" x14ac:dyDescent="0.2">
      <c r="A119" s="2" t="s">
        <v>95</v>
      </c>
      <c r="B119" s="2">
        <v>24</v>
      </c>
      <c r="C119" s="2">
        <v>11</v>
      </c>
      <c r="D119" s="2">
        <v>2021</v>
      </c>
      <c r="E119" s="1" t="s">
        <v>94</v>
      </c>
      <c r="F119" s="2">
        <v>73.5</v>
      </c>
      <c r="H119" s="1">
        <f>_xlfn.XLOOKUP('Data Source 1_customer readings'!A119,'Data Source 1_customer readings'!A119:A2517,'Data Source 1_customer readings'!J119:J2517)</f>
        <v>0</v>
      </c>
    </row>
    <row r="120" spans="1:8" x14ac:dyDescent="0.2">
      <c r="A120" s="2" t="s">
        <v>96</v>
      </c>
      <c r="B120" s="2">
        <v>3</v>
      </c>
      <c r="C120" s="2">
        <v>7</v>
      </c>
      <c r="D120" s="2">
        <v>2021</v>
      </c>
      <c r="E120" s="1" t="s">
        <v>94</v>
      </c>
      <c r="F120" s="2">
        <v>72.540000000000006</v>
      </c>
      <c r="H120" s="1">
        <f>_xlfn.XLOOKUP('Data Source 1_customer readings'!A120,'Data Source 1_customer readings'!A120:A2518,'Data Source 1_customer readings'!J120:J2518)</f>
        <v>0</v>
      </c>
    </row>
    <row r="121" spans="1:8" x14ac:dyDescent="0.2">
      <c r="A121" s="2" t="s">
        <v>95</v>
      </c>
      <c r="B121" s="2">
        <v>24</v>
      </c>
      <c r="C121" s="2">
        <v>10</v>
      </c>
      <c r="D121" s="2">
        <v>2021</v>
      </c>
      <c r="E121" s="1" t="s">
        <v>94</v>
      </c>
      <c r="F121" s="2">
        <v>71.92</v>
      </c>
      <c r="H121" s="1">
        <f>_xlfn.XLOOKUP('Data Source 1_customer readings'!A121,'Data Source 1_customer readings'!A121:A2519,'Data Source 1_customer readings'!J121:J2519)</f>
        <v>0</v>
      </c>
    </row>
    <row r="122" spans="1:8" x14ac:dyDescent="0.2">
      <c r="A122" s="2" t="s">
        <v>96</v>
      </c>
      <c r="B122" s="2">
        <v>3</v>
      </c>
      <c r="C122" s="2">
        <v>6</v>
      </c>
      <c r="D122" s="2">
        <v>2021</v>
      </c>
      <c r="E122" s="1" t="s">
        <v>94</v>
      </c>
      <c r="F122" s="2">
        <v>71.7</v>
      </c>
      <c r="H122" s="1">
        <f>_xlfn.XLOOKUP('Data Source 1_customer readings'!A122,'Data Source 1_customer readings'!A122:A2520,'Data Source 1_customer readings'!J122:J2520)</f>
        <v>0</v>
      </c>
    </row>
    <row r="123" spans="1:8" x14ac:dyDescent="0.2">
      <c r="A123" s="2" t="s">
        <v>96</v>
      </c>
      <c r="B123" s="2">
        <v>3</v>
      </c>
      <c r="C123" s="2">
        <v>4</v>
      </c>
      <c r="D123" s="2">
        <v>2021</v>
      </c>
      <c r="E123" s="1" t="s">
        <v>94</v>
      </c>
      <c r="F123" s="2">
        <v>71.099999999999994</v>
      </c>
      <c r="H123" s="1" t="b">
        <f>_xlfn.XLOOKUP('Data Source 1_customer readings'!A123,'Data Source 1_customer readings'!A123:A2521,'Data Source 1_customer readings'!J123:J2521)</f>
        <v>0</v>
      </c>
    </row>
    <row r="124" spans="1:8" x14ac:dyDescent="0.2">
      <c r="A124" s="2" t="s">
        <v>0</v>
      </c>
      <c r="B124" s="2">
        <v>25</v>
      </c>
      <c r="C124" s="2">
        <v>9</v>
      </c>
      <c r="D124" s="2">
        <v>2021</v>
      </c>
      <c r="E124" s="1" t="s">
        <v>94</v>
      </c>
      <c r="F124" s="2">
        <v>71.099999999999994</v>
      </c>
      <c r="H124" s="1">
        <f>_xlfn.XLOOKUP('Data Source 1_customer readings'!A124,'Data Source 1_customer readings'!A124:A2522,'Data Source 1_customer readings'!J124:J2522)</f>
        <v>0</v>
      </c>
    </row>
    <row r="125" spans="1:8" x14ac:dyDescent="0.2">
      <c r="A125" s="2" t="s">
        <v>95</v>
      </c>
      <c r="B125" s="2">
        <v>24</v>
      </c>
      <c r="C125" s="2">
        <v>7</v>
      </c>
      <c r="D125" s="2">
        <v>2021</v>
      </c>
      <c r="E125" s="1" t="s">
        <v>94</v>
      </c>
      <c r="F125" s="2">
        <v>70.680000000000007</v>
      </c>
      <c r="H125" s="1">
        <f>_xlfn.XLOOKUP('Data Source 1_customer readings'!A125,'Data Source 1_customer readings'!A125:A2523,'Data Source 1_customer readings'!J125:J2523)</f>
        <v>0</v>
      </c>
    </row>
    <row r="126" spans="1:8" x14ac:dyDescent="0.2">
      <c r="A126" s="2" t="s">
        <v>0</v>
      </c>
      <c r="B126" s="2">
        <v>25</v>
      </c>
      <c r="C126" s="2">
        <v>8</v>
      </c>
      <c r="D126" s="2">
        <v>2021</v>
      </c>
      <c r="E126" s="1" t="s">
        <v>94</v>
      </c>
      <c r="F126" s="2">
        <v>70.680000000000007</v>
      </c>
      <c r="H126" s="1">
        <f>_xlfn.XLOOKUP('Data Source 1_customer readings'!A126,'Data Source 1_customer readings'!A126:A2524,'Data Source 1_customer readings'!J126:J2524)</f>
        <v>0</v>
      </c>
    </row>
    <row r="127" spans="1:8" x14ac:dyDescent="0.2">
      <c r="A127" s="2" t="s">
        <v>95</v>
      </c>
      <c r="B127" s="2">
        <v>24</v>
      </c>
      <c r="C127" s="2">
        <v>6</v>
      </c>
      <c r="D127" s="2">
        <v>2021</v>
      </c>
      <c r="E127" s="1" t="s">
        <v>94</v>
      </c>
      <c r="F127" s="2">
        <v>70.5</v>
      </c>
      <c r="H127" s="1">
        <f>_xlfn.XLOOKUP('Data Source 1_customer readings'!A127,'Data Source 1_customer readings'!A127:A2525,'Data Source 1_customer readings'!J127:J2525)</f>
        <v>0</v>
      </c>
    </row>
    <row r="128" spans="1:8" x14ac:dyDescent="0.2">
      <c r="A128" s="2" t="s">
        <v>96</v>
      </c>
      <c r="B128" s="2">
        <v>3</v>
      </c>
      <c r="C128" s="2">
        <v>5</v>
      </c>
      <c r="D128" s="2">
        <v>2021</v>
      </c>
      <c r="E128" s="1" t="s">
        <v>94</v>
      </c>
      <c r="F128" s="2">
        <v>70.37</v>
      </c>
      <c r="H128" s="1">
        <f>_xlfn.XLOOKUP('Data Source 1_customer readings'!A128,'Data Source 1_customer readings'!A128:A2526,'Data Source 1_customer readings'!J128:J2526)</f>
        <v>0</v>
      </c>
    </row>
    <row r="129" spans="1:8" x14ac:dyDescent="0.2">
      <c r="A129" s="2" t="s">
        <v>0</v>
      </c>
      <c r="B129" s="2">
        <v>25</v>
      </c>
      <c r="C129" s="2">
        <v>1</v>
      </c>
      <c r="D129" s="2">
        <v>2021</v>
      </c>
      <c r="E129" s="1" t="s">
        <v>94</v>
      </c>
      <c r="F129" s="2">
        <v>70.06</v>
      </c>
      <c r="H129" s="1">
        <f>_xlfn.XLOOKUP('Data Source 1_customer readings'!A129,'Data Source 1_customer readings'!A129:A2527,'Data Source 1_customer readings'!J129:J2527)</f>
        <v>0</v>
      </c>
    </row>
    <row r="130" spans="1:8" x14ac:dyDescent="0.2">
      <c r="A130" s="2" t="s">
        <v>95</v>
      </c>
      <c r="B130" s="2">
        <v>24</v>
      </c>
      <c r="C130" s="2">
        <v>3</v>
      </c>
      <c r="D130" s="2">
        <v>2021</v>
      </c>
      <c r="E130" s="1" t="s">
        <v>94</v>
      </c>
      <c r="F130" s="2">
        <v>69.44</v>
      </c>
      <c r="H130" s="1">
        <f>_xlfn.XLOOKUP('Data Source 1_customer readings'!A130,'Data Source 1_customer readings'!A130:A2528,'Data Source 1_customer readings'!J130:J2528)</f>
        <v>0</v>
      </c>
    </row>
    <row r="131" spans="1:8" x14ac:dyDescent="0.2">
      <c r="A131" s="2" t="s">
        <v>96</v>
      </c>
      <c r="B131" s="2">
        <v>3</v>
      </c>
      <c r="C131" s="2">
        <v>8</v>
      </c>
      <c r="D131" s="2">
        <v>2021</v>
      </c>
      <c r="E131" s="1" t="s">
        <v>94</v>
      </c>
      <c r="F131" s="2">
        <v>68.819999999999993</v>
      </c>
      <c r="H131" s="1">
        <f>_xlfn.XLOOKUP('Data Source 1_customer readings'!A131,'Data Source 1_customer readings'!A131:A2529,'Data Source 1_customer readings'!J131:J2529)</f>
        <v>0</v>
      </c>
    </row>
    <row r="132" spans="1:8" x14ac:dyDescent="0.2">
      <c r="A132" s="2" t="s">
        <v>0</v>
      </c>
      <c r="B132" s="2">
        <v>25</v>
      </c>
      <c r="C132" s="2">
        <v>10</v>
      </c>
      <c r="D132" s="2">
        <v>2021</v>
      </c>
      <c r="E132" s="1" t="s">
        <v>94</v>
      </c>
      <c r="F132" s="2">
        <v>68.510000000000005</v>
      </c>
      <c r="H132" s="1">
        <f>_xlfn.XLOOKUP('Data Source 1_customer readings'!A132,'Data Source 1_customer readings'!A132:A2530,'Data Source 1_customer readings'!J132:J2530)</f>
        <v>0</v>
      </c>
    </row>
    <row r="133" spans="1:8" x14ac:dyDescent="0.2">
      <c r="A133" s="2" t="s">
        <v>95</v>
      </c>
      <c r="B133" s="2">
        <v>24</v>
      </c>
      <c r="C133" s="2">
        <v>2</v>
      </c>
      <c r="D133" s="2">
        <v>2021</v>
      </c>
      <c r="E133" s="1" t="s">
        <v>94</v>
      </c>
      <c r="F133" s="2">
        <v>66.92</v>
      </c>
      <c r="H133" s="1">
        <f>_xlfn.XLOOKUP('Data Source 1_customer readings'!A133,'Data Source 1_customer readings'!A133:A2531,'Data Source 1_customer readings'!J133:J2531)</f>
        <v>0</v>
      </c>
    </row>
    <row r="134" spans="1:8" x14ac:dyDescent="0.2">
      <c r="A134" s="2" t="s">
        <v>0</v>
      </c>
      <c r="B134" s="2">
        <v>25</v>
      </c>
      <c r="C134" s="2">
        <v>5</v>
      </c>
      <c r="D134" s="2">
        <v>2021</v>
      </c>
      <c r="E134" s="1" t="s">
        <v>94</v>
      </c>
      <c r="F134" s="2">
        <v>63.86</v>
      </c>
      <c r="H134" s="1">
        <f>_xlfn.XLOOKUP('Data Source 1_customer readings'!A134,'Data Source 1_customer readings'!A134:A2532,'Data Source 1_customer readings'!J134:J2532)</f>
        <v>0</v>
      </c>
    </row>
    <row r="135" spans="1:8" x14ac:dyDescent="0.2">
      <c r="A135" s="2" t="s">
        <v>95</v>
      </c>
      <c r="B135" s="2">
        <v>24</v>
      </c>
      <c r="C135" s="2">
        <v>8</v>
      </c>
      <c r="D135" s="2">
        <v>2021</v>
      </c>
      <c r="E135" s="1" t="s">
        <v>94</v>
      </c>
      <c r="F135" s="2">
        <v>62.93</v>
      </c>
      <c r="H135" s="1" t="b">
        <f>_xlfn.XLOOKUP('Data Source 1_customer readings'!A135,'Data Source 1_customer readings'!A135:A2533,'Data Source 1_customer readings'!J135:J2533)</f>
        <v>0</v>
      </c>
    </row>
    <row r="136" spans="1:8" x14ac:dyDescent="0.2">
      <c r="A136" s="2" t="s">
        <v>96</v>
      </c>
      <c r="B136" s="2">
        <v>3</v>
      </c>
      <c r="C136" s="2">
        <v>2</v>
      </c>
      <c r="D136" s="2">
        <v>2021</v>
      </c>
      <c r="E136" s="1" t="s">
        <v>94</v>
      </c>
      <c r="F136" s="2">
        <v>60.76</v>
      </c>
      <c r="H136" s="1">
        <f>_xlfn.XLOOKUP('Data Source 1_customer readings'!A136,'Data Source 1_customer readings'!A136:A2534,'Data Source 1_customer readings'!J136:J2534)</f>
        <v>0</v>
      </c>
    </row>
    <row r="137" spans="1:8" x14ac:dyDescent="0.2">
      <c r="A137" s="2" t="s">
        <v>0</v>
      </c>
      <c r="B137" s="2">
        <v>25</v>
      </c>
      <c r="C137" s="2">
        <v>4</v>
      </c>
      <c r="D137" s="2">
        <v>2021</v>
      </c>
      <c r="E137" s="1" t="s">
        <v>94</v>
      </c>
      <c r="F137" s="2">
        <v>60.6</v>
      </c>
      <c r="H137" s="1">
        <f>_xlfn.XLOOKUP('Data Source 1_customer readings'!A137,'Data Source 1_customer readings'!A137:A2535,'Data Source 1_customer readings'!J137:J2535)</f>
        <v>0</v>
      </c>
    </row>
    <row r="138" spans="1:8" x14ac:dyDescent="0.2">
      <c r="A138" s="2" t="s">
        <v>0</v>
      </c>
      <c r="B138" s="2">
        <v>25</v>
      </c>
      <c r="C138" s="2">
        <v>2</v>
      </c>
      <c r="D138" s="2">
        <v>2021</v>
      </c>
      <c r="E138" s="1" t="s">
        <v>94</v>
      </c>
      <c r="F138" s="2">
        <v>54.6</v>
      </c>
      <c r="H138" s="1">
        <f>_xlfn.XLOOKUP('Data Source 1_customer readings'!A138,'Data Source 1_customer readings'!A138:A2536,'Data Source 1_customer readings'!J138:J2536)</f>
        <v>0</v>
      </c>
    </row>
    <row r="139" spans="1:8" x14ac:dyDescent="0.2">
      <c r="A139" s="2" t="s">
        <v>90</v>
      </c>
      <c r="B139" s="2">
        <v>18</v>
      </c>
      <c r="C139" s="2">
        <v>1</v>
      </c>
      <c r="D139" s="2">
        <v>2021</v>
      </c>
      <c r="E139" s="2">
        <v>162.44</v>
      </c>
      <c r="F139" s="2">
        <v>105.09</v>
      </c>
      <c r="H139" s="1">
        <f>_xlfn.XLOOKUP('Data Source 1_customer readings'!A139,'Data Source 1_customer readings'!A139:A2537,'Data Source 1_customer readings'!J139:J2537)</f>
        <v>0</v>
      </c>
    </row>
    <row r="140" spans="1:8" x14ac:dyDescent="0.2">
      <c r="A140" s="2" t="s">
        <v>92</v>
      </c>
      <c r="B140" s="2">
        <v>7</v>
      </c>
      <c r="C140" s="2">
        <v>1</v>
      </c>
      <c r="D140" s="2">
        <v>2021</v>
      </c>
      <c r="E140" s="2">
        <v>160.88999999999999</v>
      </c>
      <c r="F140" s="2">
        <v>78.12</v>
      </c>
      <c r="H140" s="1">
        <f>_xlfn.XLOOKUP('Data Source 1_customer readings'!A140,'Data Source 1_customer readings'!A140:A2538,'Data Source 1_customer readings'!J140:J2538)</f>
        <v>0</v>
      </c>
    </row>
    <row r="141" spans="1:8" x14ac:dyDescent="0.2">
      <c r="A141" s="2" t="s">
        <v>93</v>
      </c>
      <c r="B141" s="2">
        <v>3</v>
      </c>
      <c r="C141" s="2">
        <v>1</v>
      </c>
      <c r="D141" s="2">
        <v>2021</v>
      </c>
      <c r="E141" s="2">
        <v>160.58000000000001</v>
      </c>
      <c r="F141" s="2">
        <v>90.21</v>
      </c>
      <c r="H141" s="1">
        <f>_xlfn.XLOOKUP('Data Source 1_customer readings'!A141,'Data Source 1_customer readings'!A141:A2539,'Data Source 1_customer readings'!J141:J2539)</f>
        <v>0</v>
      </c>
    </row>
    <row r="142" spans="1:8" x14ac:dyDescent="0.2">
      <c r="A142" s="2" t="s">
        <v>88</v>
      </c>
      <c r="B142" s="2">
        <v>23</v>
      </c>
      <c r="C142" s="2">
        <v>12</v>
      </c>
      <c r="D142" s="2">
        <v>2021</v>
      </c>
      <c r="E142" s="2">
        <v>159.96</v>
      </c>
      <c r="F142" s="2">
        <v>101.99</v>
      </c>
      <c r="H142" s="1">
        <f>_xlfn.XLOOKUP('Data Source 1_customer readings'!A142,'Data Source 1_customer readings'!A142:A2540,'Data Source 1_customer readings'!J142:J2540)</f>
        <v>0</v>
      </c>
    </row>
    <row r="143" spans="1:8" x14ac:dyDescent="0.2">
      <c r="A143" s="2" t="s">
        <v>83</v>
      </c>
      <c r="B143" s="2">
        <v>25</v>
      </c>
      <c r="C143" s="2">
        <v>12</v>
      </c>
      <c r="D143" s="2">
        <v>2021</v>
      </c>
      <c r="E143" s="2">
        <v>158.1</v>
      </c>
      <c r="F143" s="2">
        <v>115.63</v>
      </c>
      <c r="H143" s="1">
        <f>_xlfn.XLOOKUP('Data Source 1_customer readings'!A143,'Data Source 1_customer readings'!A143:A2541,'Data Source 1_customer readings'!J143:J2541)</f>
        <v>0</v>
      </c>
    </row>
    <row r="144" spans="1:8" x14ac:dyDescent="0.2">
      <c r="A144" s="2" t="s">
        <v>83</v>
      </c>
      <c r="B144" s="2">
        <v>25</v>
      </c>
      <c r="C144" s="2">
        <v>1</v>
      </c>
      <c r="D144" s="2">
        <v>2021</v>
      </c>
      <c r="E144" s="2">
        <v>157.16999999999999</v>
      </c>
      <c r="F144" s="2">
        <v>98.89</v>
      </c>
      <c r="H144" s="1">
        <f>_xlfn.XLOOKUP('Data Source 1_customer readings'!A144,'Data Source 1_customer readings'!A144:A2542,'Data Source 1_customer readings'!J144:J2542)</f>
        <v>0</v>
      </c>
    </row>
    <row r="145" spans="1:8" x14ac:dyDescent="0.2">
      <c r="A145" s="2" t="s">
        <v>71</v>
      </c>
      <c r="B145" s="2">
        <v>21</v>
      </c>
      <c r="C145" s="2">
        <v>12</v>
      </c>
      <c r="D145" s="2">
        <v>2021</v>
      </c>
      <c r="E145" s="2">
        <v>155.31</v>
      </c>
      <c r="F145" s="2">
        <v>122.45</v>
      </c>
      <c r="H145" s="1">
        <f>_xlfn.XLOOKUP('Data Source 1_customer readings'!A145,'Data Source 1_customer readings'!A145:A2543,'Data Source 1_customer readings'!J145:J2543)</f>
        <v>0</v>
      </c>
    </row>
    <row r="146" spans="1:8" x14ac:dyDescent="0.2">
      <c r="A146" s="2" t="s">
        <v>77</v>
      </c>
      <c r="B146" s="2">
        <v>16</v>
      </c>
      <c r="C146" s="2">
        <v>11</v>
      </c>
      <c r="D146" s="2">
        <v>2021</v>
      </c>
      <c r="E146" s="2">
        <v>154.80000000000001</v>
      </c>
      <c r="F146" s="2">
        <v>111</v>
      </c>
      <c r="H146" s="1">
        <f>_xlfn.XLOOKUP('Data Source 1_customer readings'!A146,'Data Source 1_customer readings'!A146:A2544,'Data Source 1_customer readings'!J146:J2544)</f>
        <v>0</v>
      </c>
    </row>
    <row r="147" spans="1:8" x14ac:dyDescent="0.2">
      <c r="A147" s="2" t="s">
        <v>91</v>
      </c>
      <c r="B147" s="2">
        <v>5</v>
      </c>
      <c r="C147" s="2">
        <v>12</v>
      </c>
      <c r="D147" s="2">
        <v>2021</v>
      </c>
      <c r="E147" s="2">
        <v>154.07</v>
      </c>
      <c r="F147" s="2">
        <v>81.53</v>
      </c>
      <c r="H147" s="1">
        <f>_xlfn.XLOOKUP('Data Source 1_customer readings'!A147,'Data Source 1_customer readings'!A147:A2545,'Data Source 1_customer readings'!J147:J2545)</f>
        <v>0</v>
      </c>
    </row>
    <row r="148" spans="1:8" x14ac:dyDescent="0.2">
      <c r="A148" s="2" t="s">
        <v>72</v>
      </c>
      <c r="B148" s="2">
        <v>22</v>
      </c>
      <c r="C148" s="2">
        <v>11</v>
      </c>
      <c r="D148" s="2">
        <v>2021</v>
      </c>
      <c r="E148" s="2">
        <v>152.1</v>
      </c>
      <c r="F148" s="2">
        <v>104.7</v>
      </c>
      <c r="H148" s="1" t="b">
        <f>_xlfn.XLOOKUP('Data Source 1_customer readings'!A148,'Data Source 1_customer readings'!A148:A2546,'Data Source 1_customer readings'!J148:J2546)</f>
        <v>0</v>
      </c>
    </row>
    <row r="149" spans="1:8" x14ac:dyDescent="0.2">
      <c r="A149" s="2" t="s">
        <v>72</v>
      </c>
      <c r="B149" s="2">
        <v>22</v>
      </c>
      <c r="C149" s="2">
        <v>1</v>
      </c>
      <c r="D149" s="2">
        <v>2021</v>
      </c>
      <c r="E149" s="2">
        <v>151.59</v>
      </c>
      <c r="F149" s="2">
        <v>114.7</v>
      </c>
      <c r="H149" s="1">
        <f>_xlfn.XLOOKUP('Data Source 1_customer readings'!A149,'Data Source 1_customer readings'!A149:A2547,'Data Source 1_customer readings'!J149:J2547)</f>
        <v>0</v>
      </c>
    </row>
    <row r="150" spans="1:8" x14ac:dyDescent="0.2">
      <c r="A150" s="2" t="s">
        <v>87</v>
      </c>
      <c r="B150" s="2">
        <v>1</v>
      </c>
      <c r="C150" s="2">
        <v>1</v>
      </c>
      <c r="D150" s="2">
        <v>2021</v>
      </c>
      <c r="E150" s="2">
        <v>150.97</v>
      </c>
      <c r="F150" s="2">
        <v>86.8</v>
      </c>
      <c r="H150" s="1">
        <f>_xlfn.XLOOKUP('Data Source 1_customer readings'!A150,'Data Source 1_customer readings'!A150:A2548,'Data Source 1_customer readings'!J150:J2548)</f>
        <v>0</v>
      </c>
    </row>
    <row r="151" spans="1:8" x14ac:dyDescent="0.2">
      <c r="A151" s="2" t="s">
        <v>72</v>
      </c>
      <c r="B151" s="2">
        <v>22</v>
      </c>
      <c r="C151" s="2">
        <v>12</v>
      </c>
      <c r="D151" s="2">
        <v>2021</v>
      </c>
      <c r="E151" s="2">
        <v>149.11000000000001</v>
      </c>
      <c r="F151" s="2">
        <v>122.14</v>
      </c>
      <c r="H151" s="1">
        <f>_xlfn.XLOOKUP('Data Source 1_customer readings'!A151,'Data Source 1_customer readings'!A151:A2549,'Data Source 1_customer readings'!J151:J2549)</f>
        <v>0</v>
      </c>
    </row>
    <row r="152" spans="1:8" x14ac:dyDescent="0.2">
      <c r="A152" s="2" t="s">
        <v>66</v>
      </c>
      <c r="B152" s="2">
        <v>23</v>
      </c>
      <c r="C152" s="2">
        <v>1</v>
      </c>
      <c r="D152" s="2">
        <v>2021</v>
      </c>
      <c r="E152" s="2">
        <v>149.11000000000001</v>
      </c>
      <c r="F152" s="2">
        <v>81.22</v>
      </c>
      <c r="H152" s="1" t="b">
        <f>_xlfn.XLOOKUP('Data Source 1_customer readings'!A152,'Data Source 1_customer readings'!A152:A2550,'Data Source 1_customer readings'!J152:J2550)</f>
        <v>1</v>
      </c>
    </row>
    <row r="153" spans="1:8" x14ac:dyDescent="0.2">
      <c r="A153" s="2" t="s">
        <v>93</v>
      </c>
      <c r="B153" s="2">
        <v>3</v>
      </c>
      <c r="C153" s="2">
        <v>12</v>
      </c>
      <c r="D153" s="2">
        <v>2021</v>
      </c>
      <c r="E153" s="2">
        <v>147.56</v>
      </c>
      <c r="F153" s="2">
        <v>78.430000000000007</v>
      </c>
      <c r="H153" s="1">
        <f>_xlfn.XLOOKUP('Data Source 1_customer readings'!A153,'Data Source 1_customer readings'!A153:A2551,'Data Source 1_customer readings'!J153:J2551)</f>
        <v>0</v>
      </c>
    </row>
    <row r="154" spans="1:8" x14ac:dyDescent="0.2">
      <c r="A154" s="2" t="s">
        <v>86</v>
      </c>
      <c r="B154" s="2">
        <v>6</v>
      </c>
      <c r="C154" s="2">
        <v>12</v>
      </c>
      <c r="D154" s="2">
        <v>2021</v>
      </c>
      <c r="E154" s="2">
        <v>146.94</v>
      </c>
      <c r="F154" s="2">
        <v>91.76</v>
      </c>
      <c r="H154" s="1">
        <f>_xlfn.XLOOKUP('Data Source 1_customer readings'!A154,'Data Source 1_customer readings'!A154:A2552,'Data Source 1_customer readings'!J154:J2552)</f>
        <v>0</v>
      </c>
    </row>
    <row r="155" spans="1:8" x14ac:dyDescent="0.2">
      <c r="A155" s="2" t="s">
        <v>70</v>
      </c>
      <c r="B155" s="2">
        <v>16</v>
      </c>
      <c r="C155" s="2">
        <v>1</v>
      </c>
      <c r="D155" s="2">
        <v>2021</v>
      </c>
      <c r="E155" s="2">
        <v>146.32</v>
      </c>
      <c r="F155" s="2">
        <v>109.43</v>
      </c>
      <c r="H155" s="1">
        <f>_xlfn.XLOOKUP('Data Source 1_customer readings'!A155,'Data Source 1_customer readings'!A155:A2553,'Data Source 1_customer readings'!J155:J2553)</f>
        <v>0</v>
      </c>
    </row>
    <row r="156" spans="1:8" x14ac:dyDescent="0.2">
      <c r="A156" s="2" t="s">
        <v>77</v>
      </c>
      <c r="B156" s="2">
        <v>16</v>
      </c>
      <c r="C156" s="2">
        <v>1</v>
      </c>
      <c r="D156" s="2">
        <v>2021</v>
      </c>
      <c r="E156" s="2">
        <v>144.77000000000001</v>
      </c>
      <c r="F156" s="2">
        <v>95.79</v>
      </c>
      <c r="H156" s="1">
        <f>_xlfn.XLOOKUP('Data Source 1_customer readings'!A156,'Data Source 1_customer readings'!A156:A2554,'Data Source 1_customer readings'!J156:J2554)</f>
        <v>0</v>
      </c>
    </row>
    <row r="157" spans="1:8" x14ac:dyDescent="0.2">
      <c r="A157" s="2" t="s">
        <v>90</v>
      </c>
      <c r="B157" s="2">
        <v>18</v>
      </c>
      <c r="C157" s="2">
        <v>12</v>
      </c>
      <c r="D157" s="2">
        <v>2021</v>
      </c>
      <c r="E157" s="2">
        <v>144.46</v>
      </c>
      <c r="F157" s="2">
        <v>88.04</v>
      </c>
      <c r="H157" s="1">
        <f>_xlfn.XLOOKUP('Data Source 1_customer readings'!A157,'Data Source 1_customer readings'!A157:A2555,'Data Source 1_customer readings'!J157:J2555)</f>
        <v>0</v>
      </c>
    </row>
    <row r="158" spans="1:8" x14ac:dyDescent="0.2">
      <c r="A158" s="2" t="s">
        <v>84</v>
      </c>
      <c r="B158" s="2">
        <v>20</v>
      </c>
      <c r="C158" s="2">
        <v>11</v>
      </c>
      <c r="D158" s="2">
        <v>2021</v>
      </c>
      <c r="E158" s="2">
        <v>144</v>
      </c>
      <c r="F158" s="2">
        <v>93</v>
      </c>
      <c r="H158" s="1">
        <f>_xlfn.XLOOKUP('Data Source 1_customer readings'!A158,'Data Source 1_customer readings'!A158:A2556,'Data Source 1_customer readings'!J158:J2556)</f>
        <v>0</v>
      </c>
    </row>
    <row r="159" spans="1:8" x14ac:dyDescent="0.2">
      <c r="A159" s="2" t="s">
        <v>91</v>
      </c>
      <c r="B159" s="2">
        <v>5</v>
      </c>
      <c r="C159" s="2">
        <v>11</v>
      </c>
      <c r="D159" s="2">
        <v>2021</v>
      </c>
      <c r="E159" s="2">
        <v>142.5</v>
      </c>
      <c r="F159" s="2">
        <v>72.3</v>
      </c>
      <c r="H159" s="1">
        <f>_xlfn.XLOOKUP('Data Source 1_customer readings'!A159,'Data Source 1_customer readings'!A159:A2557,'Data Source 1_customer readings'!J159:J2557)</f>
        <v>0</v>
      </c>
    </row>
    <row r="160" spans="1:8" x14ac:dyDescent="0.2">
      <c r="A160" s="2" t="s">
        <v>84</v>
      </c>
      <c r="B160" s="2">
        <v>20</v>
      </c>
      <c r="C160" s="2">
        <v>1</v>
      </c>
      <c r="D160" s="2">
        <v>2021</v>
      </c>
      <c r="E160" s="2">
        <v>141.97999999999999</v>
      </c>
      <c r="F160" s="2">
        <v>109.43</v>
      </c>
      <c r="H160" s="1">
        <f>_xlfn.XLOOKUP('Data Source 1_customer readings'!A160,'Data Source 1_customer readings'!A160:A2558,'Data Source 1_customer readings'!J160:J2558)</f>
        <v>0</v>
      </c>
    </row>
    <row r="161" spans="1:8" x14ac:dyDescent="0.2">
      <c r="A161" s="2" t="s">
        <v>88</v>
      </c>
      <c r="B161" s="2">
        <v>23</v>
      </c>
      <c r="C161" s="2">
        <v>1</v>
      </c>
      <c r="D161" s="2">
        <v>2021</v>
      </c>
      <c r="E161" s="2">
        <v>141.97999999999999</v>
      </c>
      <c r="F161" s="2">
        <v>88.04</v>
      </c>
      <c r="H161" s="1">
        <f>_xlfn.XLOOKUP('Data Source 1_customer readings'!A161,'Data Source 1_customer readings'!A161:A2559,'Data Source 1_customer readings'!J161:J2559)</f>
        <v>0</v>
      </c>
    </row>
    <row r="162" spans="1:8" x14ac:dyDescent="0.2">
      <c r="A162" s="2" t="s">
        <v>57</v>
      </c>
      <c r="B162" s="2">
        <v>17</v>
      </c>
      <c r="C162" s="2">
        <v>1</v>
      </c>
      <c r="D162" s="2">
        <v>2021</v>
      </c>
      <c r="E162" s="2">
        <v>141.66999999999999</v>
      </c>
      <c r="F162" s="2">
        <v>79.36</v>
      </c>
      <c r="H162" s="1" t="b">
        <f>_xlfn.XLOOKUP('Data Source 1_customer readings'!A162,'Data Source 1_customer readings'!A162:A2560,'Data Source 1_customer readings'!J162:J2560)</f>
        <v>0</v>
      </c>
    </row>
    <row r="163" spans="1:8" x14ac:dyDescent="0.2">
      <c r="A163" s="2" t="s">
        <v>57</v>
      </c>
      <c r="B163" s="2">
        <v>17</v>
      </c>
      <c r="C163" s="2">
        <v>12</v>
      </c>
      <c r="D163" s="2">
        <v>2021</v>
      </c>
      <c r="E163" s="2">
        <v>140.74</v>
      </c>
      <c r="F163" s="2">
        <v>88.97</v>
      </c>
      <c r="H163" s="1">
        <f>_xlfn.XLOOKUP('Data Source 1_customer readings'!A163,'Data Source 1_customer readings'!A163:A2561,'Data Source 1_customer readings'!J163:J2561)</f>
        <v>0</v>
      </c>
    </row>
    <row r="164" spans="1:8" x14ac:dyDescent="0.2">
      <c r="A164" s="2" t="s">
        <v>68</v>
      </c>
      <c r="B164" s="2">
        <v>11</v>
      </c>
      <c r="C164" s="2">
        <v>1</v>
      </c>
      <c r="D164" s="2">
        <v>2021</v>
      </c>
      <c r="E164" s="2">
        <v>140.43</v>
      </c>
      <c r="F164" s="2">
        <v>100.75</v>
      </c>
      <c r="H164" s="1">
        <f>_xlfn.XLOOKUP('Data Source 1_customer readings'!A164,'Data Source 1_customer readings'!A164:A2562,'Data Source 1_customer readings'!J164:J2562)</f>
        <v>0</v>
      </c>
    </row>
    <row r="165" spans="1:8" x14ac:dyDescent="0.2">
      <c r="A165" s="2" t="s">
        <v>89</v>
      </c>
      <c r="B165" s="2">
        <v>2</v>
      </c>
      <c r="C165" s="2">
        <v>1</v>
      </c>
      <c r="D165" s="2">
        <v>2021</v>
      </c>
      <c r="E165" s="2">
        <v>139.5</v>
      </c>
      <c r="F165" s="2">
        <v>65.72</v>
      </c>
      <c r="H165" s="1">
        <f>_xlfn.XLOOKUP('Data Source 1_customer readings'!A165,'Data Source 1_customer readings'!A165:A2563,'Data Source 1_customer readings'!J165:J2563)</f>
        <v>0</v>
      </c>
    </row>
    <row r="166" spans="1:8" x14ac:dyDescent="0.2">
      <c r="A166" s="2" t="s">
        <v>56</v>
      </c>
      <c r="B166" s="2">
        <v>14</v>
      </c>
      <c r="C166" s="2">
        <v>1</v>
      </c>
      <c r="D166" s="2">
        <v>2021</v>
      </c>
      <c r="E166" s="2">
        <v>138.88</v>
      </c>
      <c r="F166" s="2">
        <v>85.56</v>
      </c>
      <c r="H166" s="1">
        <f>_xlfn.XLOOKUP('Data Source 1_customer readings'!A166,'Data Source 1_customer readings'!A166:A2564,'Data Source 1_customer readings'!J166:J2564)</f>
        <v>0</v>
      </c>
    </row>
    <row r="167" spans="1:8" x14ac:dyDescent="0.2">
      <c r="A167" s="2" t="s">
        <v>91</v>
      </c>
      <c r="B167" s="2">
        <v>5</v>
      </c>
      <c r="C167" s="2">
        <v>2</v>
      </c>
      <c r="D167" s="2">
        <v>2021</v>
      </c>
      <c r="E167" s="2">
        <v>138.6</v>
      </c>
      <c r="F167" s="2">
        <v>79.239999999999995</v>
      </c>
      <c r="H167" s="1" t="b">
        <f>_xlfn.XLOOKUP('Data Source 1_customer readings'!A167,'Data Source 1_customer readings'!A167:A2565,'Data Source 1_customer readings'!J167:J2565)</f>
        <v>0</v>
      </c>
    </row>
    <row r="168" spans="1:8" x14ac:dyDescent="0.2">
      <c r="A168" s="2" t="s">
        <v>83</v>
      </c>
      <c r="B168" s="2">
        <v>25</v>
      </c>
      <c r="C168" s="2">
        <v>11</v>
      </c>
      <c r="D168" s="2">
        <v>2021</v>
      </c>
      <c r="E168" s="2">
        <v>137.69999999999999</v>
      </c>
      <c r="F168" s="2">
        <v>102.9</v>
      </c>
      <c r="H168" s="1">
        <f>_xlfn.XLOOKUP('Data Source 1_customer readings'!A168,'Data Source 1_customer readings'!A168:A2566,'Data Source 1_customer readings'!J168:J2566)</f>
        <v>0</v>
      </c>
    </row>
    <row r="169" spans="1:8" x14ac:dyDescent="0.2">
      <c r="A169" s="2" t="s">
        <v>55</v>
      </c>
      <c r="B169" s="2">
        <v>18</v>
      </c>
      <c r="C169" s="2">
        <v>12</v>
      </c>
      <c r="D169" s="2">
        <v>2021</v>
      </c>
      <c r="E169" s="2">
        <v>137.63999999999999</v>
      </c>
      <c r="F169" s="2">
        <v>72.23</v>
      </c>
      <c r="H169" s="1">
        <f>_xlfn.XLOOKUP('Data Source 1_customer readings'!A169,'Data Source 1_customer readings'!A169:A2567,'Data Source 1_customer readings'!J169:J2567)</f>
        <v>0</v>
      </c>
    </row>
    <row r="170" spans="1:8" x14ac:dyDescent="0.2">
      <c r="A170" s="2" t="s">
        <v>93</v>
      </c>
      <c r="B170" s="2">
        <v>3</v>
      </c>
      <c r="C170" s="2">
        <v>2</v>
      </c>
      <c r="D170" s="2">
        <v>2021</v>
      </c>
      <c r="E170" s="2">
        <v>137.47999999999999</v>
      </c>
      <c r="F170" s="2">
        <v>81.48</v>
      </c>
      <c r="H170" s="1">
        <f>_xlfn.XLOOKUP('Data Source 1_customer readings'!A170,'Data Source 1_customer readings'!A170:A2568,'Data Source 1_customer readings'!J170:J2568)</f>
        <v>0</v>
      </c>
    </row>
    <row r="171" spans="1:8" x14ac:dyDescent="0.2">
      <c r="A171" s="2" t="s">
        <v>60</v>
      </c>
      <c r="B171" s="2">
        <v>20</v>
      </c>
      <c r="C171" s="2">
        <v>12</v>
      </c>
      <c r="D171" s="2">
        <v>2021</v>
      </c>
      <c r="E171" s="2">
        <v>137.02000000000001</v>
      </c>
      <c r="F171" s="2">
        <v>82.77</v>
      </c>
      <c r="H171" s="1">
        <f>_xlfn.XLOOKUP('Data Source 1_customer readings'!A171,'Data Source 1_customer readings'!A171:A2569,'Data Source 1_customer readings'!J171:J2569)</f>
        <v>0</v>
      </c>
    </row>
    <row r="172" spans="1:8" x14ac:dyDescent="0.2">
      <c r="A172" s="2" t="s">
        <v>85</v>
      </c>
      <c r="B172" s="2">
        <v>3</v>
      </c>
      <c r="C172" s="2">
        <v>12</v>
      </c>
      <c r="D172" s="2">
        <v>2021</v>
      </c>
      <c r="E172" s="2">
        <v>137.02000000000001</v>
      </c>
      <c r="F172" s="2">
        <v>74.709999999999994</v>
      </c>
      <c r="H172" s="1">
        <f>_xlfn.XLOOKUP('Data Source 1_customer readings'!A172,'Data Source 1_customer readings'!A172:A2570,'Data Source 1_customer readings'!J172:J2570)</f>
        <v>0</v>
      </c>
    </row>
    <row r="173" spans="1:8" x14ac:dyDescent="0.2">
      <c r="A173" s="2" t="s">
        <v>93</v>
      </c>
      <c r="B173" s="2">
        <v>3</v>
      </c>
      <c r="C173" s="2">
        <v>11</v>
      </c>
      <c r="D173" s="2">
        <v>2021</v>
      </c>
      <c r="E173" s="2">
        <v>136.5</v>
      </c>
      <c r="F173" s="2">
        <v>71.099999999999994</v>
      </c>
      <c r="H173" s="1">
        <f>_xlfn.XLOOKUP('Data Source 1_customer readings'!A173,'Data Source 1_customer readings'!A173:A2571,'Data Source 1_customer readings'!J173:J2571)</f>
        <v>0</v>
      </c>
    </row>
    <row r="174" spans="1:8" x14ac:dyDescent="0.2">
      <c r="A174" s="2" t="s">
        <v>65</v>
      </c>
      <c r="B174" s="2">
        <v>11</v>
      </c>
      <c r="C174" s="2">
        <v>1</v>
      </c>
      <c r="D174" s="2">
        <v>2021</v>
      </c>
      <c r="E174" s="2">
        <v>136.4</v>
      </c>
      <c r="F174" s="2">
        <v>107.88</v>
      </c>
      <c r="H174" s="1">
        <f>_xlfn.XLOOKUP('Data Source 1_customer readings'!A174,'Data Source 1_customer readings'!A174:A2572,'Data Source 1_customer readings'!J174:J2572)</f>
        <v>0</v>
      </c>
    </row>
    <row r="175" spans="1:8" x14ac:dyDescent="0.2">
      <c r="A175" s="2" t="s">
        <v>59</v>
      </c>
      <c r="B175" s="2">
        <v>11</v>
      </c>
      <c r="C175" s="2">
        <v>12</v>
      </c>
      <c r="D175" s="2">
        <v>2021</v>
      </c>
      <c r="E175" s="2">
        <v>135.78</v>
      </c>
      <c r="F175" s="2">
        <v>80.91</v>
      </c>
      <c r="H175" s="1">
        <f>_xlfn.XLOOKUP('Data Source 1_customer readings'!A175,'Data Source 1_customer readings'!A175:A2573,'Data Source 1_customer readings'!J175:J2573)</f>
        <v>0</v>
      </c>
    </row>
    <row r="176" spans="1:8" x14ac:dyDescent="0.2">
      <c r="A176" s="2" t="s">
        <v>48</v>
      </c>
      <c r="B176" s="2">
        <v>24</v>
      </c>
      <c r="C176" s="2">
        <v>12</v>
      </c>
      <c r="D176" s="2">
        <v>2021</v>
      </c>
      <c r="E176" s="2">
        <v>135.16</v>
      </c>
      <c r="F176" s="2">
        <v>63.24</v>
      </c>
      <c r="H176" s="1">
        <f>_xlfn.XLOOKUP('Data Source 1_customer readings'!A176,'Data Source 1_customer readings'!A176:A2574,'Data Source 1_customer readings'!J176:J2574)</f>
        <v>0</v>
      </c>
    </row>
    <row r="177" spans="1:8" x14ac:dyDescent="0.2">
      <c r="A177" s="2" t="s">
        <v>79</v>
      </c>
      <c r="B177" s="2">
        <v>3</v>
      </c>
      <c r="C177" s="2">
        <v>1</v>
      </c>
      <c r="D177" s="2">
        <v>2021</v>
      </c>
      <c r="E177" s="2">
        <v>134.85</v>
      </c>
      <c r="F177" s="2">
        <v>108.19</v>
      </c>
      <c r="H177" s="1">
        <f>_xlfn.XLOOKUP('Data Source 1_customer readings'!A177,'Data Source 1_customer readings'!A177:A2575,'Data Source 1_customer readings'!J177:J2575)</f>
        <v>0</v>
      </c>
    </row>
    <row r="178" spans="1:8" x14ac:dyDescent="0.2">
      <c r="A178" s="2" t="s">
        <v>82</v>
      </c>
      <c r="B178" s="2">
        <v>8</v>
      </c>
      <c r="C178" s="2">
        <v>1</v>
      </c>
      <c r="D178" s="2">
        <v>2021</v>
      </c>
      <c r="E178" s="2">
        <v>134.85</v>
      </c>
      <c r="F178" s="2">
        <v>75.95</v>
      </c>
      <c r="H178" s="1">
        <f>_xlfn.XLOOKUP('Data Source 1_customer readings'!A178,'Data Source 1_customer readings'!A178:A2576,'Data Source 1_customer readings'!J178:J2576)</f>
        <v>0</v>
      </c>
    </row>
    <row r="179" spans="1:8" x14ac:dyDescent="0.2">
      <c r="A179" s="2" t="s">
        <v>65</v>
      </c>
      <c r="B179" s="2">
        <v>11</v>
      </c>
      <c r="C179" s="2">
        <v>11</v>
      </c>
      <c r="D179" s="2">
        <v>2021</v>
      </c>
      <c r="E179" s="2">
        <v>134.4</v>
      </c>
      <c r="F179" s="2">
        <v>86.4</v>
      </c>
      <c r="H179" s="1">
        <f>_xlfn.XLOOKUP('Data Source 1_customer readings'!A179,'Data Source 1_customer readings'!A179:A2577,'Data Source 1_customer readings'!J179:J2577)</f>
        <v>0</v>
      </c>
    </row>
    <row r="180" spans="1:8" x14ac:dyDescent="0.2">
      <c r="A180" s="2" t="s">
        <v>61</v>
      </c>
      <c r="B180" s="2">
        <v>23</v>
      </c>
      <c r="C180" s="2">
        <v>1</v>
      </c>
      <c r="D180" s="2">
        <v>2021</v>
      </c>
      <c r="E180" s="2">
        <v>134.22999999999999</v>
      </c>
      <c r="F180" s="2">
        <v>97.03</v>
      </c>
      <c r="H180" s="1">
        <f>_xlfn.XLOOKUP('Data Source 1_customer readings'!A180,'Data Source 1_customer readings'!A180:A2578,'Data Source 1_customer readings'!J180:J2578)</f>
        <v>0</v>
      </c>
    </row>
    <row r="181" spans="1:8" x14ac:dyDescent="0.2">
      <c r="A181" s="2" t="s">
        <v>71</v>
      </c>
      <c r="B181" s="2">
        <v>21</v>
      </c>
      <c r="C181" s="2">
        <v>1</v>
      </c>
      <c r="D181" s="2">
        <v>2021</v>
      </c>
      <c r="E181" s="2">
        <v>133.91999999999999</v>
      </c>
      <c r="F181" s="2">
        <v>109.12</v>
      </c>
      <c r="H181" s="1">
        <f>_xlfn.XLOOKUP('Data Source 1_customer readings'!A181,'Data Source 1_customer readings'!A181:A2579,'Data Source 1_customer readings'!J181:J2579)</f>
        <v>0</v>
      </c>
    </row>
    <row r="182" spans="1:8" x14ac:dyDescent="0.2">
      <c r="A182" s="2" t="s">
        <v>89</v>
      </c>
      <c r="B182" s="2">
        <v>2</v>
      </c>
      <c r="C182" s="2">
        <v>12</v>
      </c>
      <c r="D182" s="2">
        <v>2021</v>
      </c>
      <c r="E182" s="2">
        <v>133.91999999999999</v>
      </c>
      <c r="F182" s="2">
        <v>78.739999999999995</v>
      </c>
      <c r="H182" s="1">
        <f>_xlfn.XLOOKUP('Data Source 1_customer readings'!A182,'Data Source 1_customer readings'!A182:A2580,'Data Source 1_customer readings'!J182:J2580)</f>
        <v>0</v>
      </c>
    </row>
    <row r="183" spans="1:8" x14ac:dyDescent="0.2">
      <c r="A183" s="2" t="s">
        <v>83</v>
      </c>
      <c r="B183" s="2">
        <v>25</v>
      </c>
      <c r="C183" s="2">
        <v>2</v>
      </c>
      <c r="D183" s="2">
        <v>2021</v>
      </c>
      <c r="E183" s="2">
        <v>133.84</v>
      </c>
      <c r="F183" s="2">
        <v>100.8</v>
      </c>
      <c r="H183" s="1">
        <f>_xlfn.XLOOKUP('Data Source 1_customer readings'!A183,'Data Source 1_customer readings'!A183:A2581,'Data Source 1_customer readings'!J183:J2581)</f>
        <v>0</v>
      </c>
    </row>
    <row r="184" spans="1:8" x14ac:dyDescent="0.2">
      <c r="A184" s="2" t="s">
        <v>90</v>
      </c>
      <c r="B184" s="2">
        <v>18</v>
      </c>
      <c r="C184" s="2">
        <v>11</v>
      </c>
      <c r="D184" s="2">
        <v>2021</v>
      </c>
      <c r="E184" s="2">
        <v>133.80000000000001</v>
      </c>
      <c r="F184" s="2">
        <v>96.3</v>
      </c>
      <c r="H184" s="1">
        <f>_xlfn.XLOOKUP('Data Source 1_customer readings'!A184,'Data Source 1_customer readings'!A184:A2582,'Data Source 1_customer readings'!J184:J2582)</f>
        <v>0</v>
      </c>
    </row>
    <row r="185" spans="1:8" x14ac:dyDescent="0.2">
      <c r="A185" s="2" t="s">
        <v>54</v>
      </c>
      <c r="B185" s="2">
        <v>5</v>
      </c>
      <c r="C185" s="2">
        <v>1</v>
      </c>
      <c r="D185" s="2">
        <v>2021</v>
      </c>
      <c r="E185" s="2">
        <v>133.61000000000001</v>
      </c>
      <c r="F185" s="2">
        <v>111.91</v>
      </c>
      <c r="H185" s="1">
        <f>_xlfn.XLOOKUP('Data Source 1_customer readings'!A185,'Data Source 1_customer readings'!A185:A2583,'Data Source 1_customer readings'!J185:J2583)</f>
        <v>0</v>
      </c>
    </row>
    <row r="186" spans="1:8" x14ac:dyDescent="0.2">
      <c r="A186" s="2" t="s">
        <v>44</v>
      </c>
      <c r="B186" s="2">
        <v>1</v>
      </c>
      <c r="C186" s="2">
        <v>1</v>
      </c>
      <c r="D186" s="2">
        <v>2021</v>
      </c>
      <c r="E186" s="2">
        <v>133.61000000000001</v>
      </c>
      <c r="F186" s="2">
        <v>108.5</v>
      </c>
      <c r="H186" s="1">
        <f>_xlfn.XLOOKUP('Data Source 1_customer readings'!A186,'Data Source 1_customer readings'!A186:A2584,'Data Source 1_customer readings'!J186:J2584)</f>
        <v>0</v>
      </c>
    </row>
    <row r="187" spans="1:8" x14ac:dyDescent="0.2">
      <c r="A187" s="2" t="s">
        <v>86</v>
      </c>
      <c r="B187" s="2">
        <v>6</v>
      </c>
      <c r="C187" s="2">
        <v>1</v>
      </c>
      <c r="D187" s="2">
        <v>2021</v>
      </c>
      <c r="E187" s="2">
        <v>133.61000000000001</v>
      </c>
      <c r="F187" s="2">
        <v>104.78</v>
      </c>
      <c r="H187" s="1">
        <f>_xlfn.XLOOKUP('Data Source 1_customer readings'!A187,'Data Source 1_customer readings'!A187:A2585,'Data Source 1_customer readings'!J187:J2585)</f>
        <v>0</v>
      </c>
    </row>
    <row r="188" spans="1:8" x14ac:dyDescent="0.2">
      <c r="A188" s="2" t="s">
        <v>88</v>
      </c>
      <c r="B188" s="2">
        <v>23</v>
      </c>
      <c r="C188" s="2">
        <v>2</v>
      </c>
      <c r="D188" s="2">
        <v>2021</v>
      </c>
      <c r="E188" s="2">
        <v>133.28</v>
      </c>
      <c r="F188" s="2">
        <v>85.68</v>
      </c>
      <c r="H188" s="1">
        <f>_xlfn.XLOOKUP('Data Source 1_customer readings'!A188,'Data Source 1_customer readings'!A188:A2586,'Data Source 1_customer readings'!J188:J2586)</f>
        <v>0</v>
      </c>
    </row>
    <row r="189" spans="1:8" x14ac:dyDescent="0.2">
      <c r="A189" s="2" t="s">
        <v>55</v>
      </c>
      <c r="B189" s="2">
        <v>18</v>
      </c>
      <c r="C189" s="2">
        <v>11</v>
      </c>
      <c r="D189" s="2">
        <v>2021</v>
      </c>
      <c r="E189" s="2">
        <v>133.19999999999999</v>
      </c>
      <c r="F189" s="2">
        <v>75.3</v>
      </c>
      <c r="H189" s="1" t="b">
        <f>_xlfn.XLOOKUP('Data Source 1_customer readings'!A189,'Data Source 1_customer readings'!A189:A2587,'Data Source 1_customer readings'!J189:J2587)</f>
        <v>0</v>
      </c>
    </row>
    <row r="190" spans="1:8" x14ac:dyDescent="0.2">
      <c r="A190" s="2" t="s">
        <v>71</v>
      </c>
      <c r="B190" s="2">
        <v>21</v>
      </c>
      <c r="C190" s="2">
        <v>2</v>
      </c>
      <c r="D190" s="2">
        <v>2021</v>
      </c>
      <c r="E190" s="2">
        <v>133</v>
      </c>
      <c r="F190" s="2">
        <v>93.24</v>
      </c>
      <c r="H190" s="1">
        <f>_xlfn.XLOOKUP('Data Source 1_customer readings'!A190,'Data Source 1_customer readings'!A190:A2588,'Data Source 1_customer readings'!J190:J2588)</f>
        <v>0</v>
      </c>
    </row>
    <row r="191" spans="1:8" x14ac:dyDescent="0.2">
      <c r="A191" s="2" t="s">
        <v>90</v>
      </c>
      <c r="B191" s="2">
        <v>18</v>
      </c>
      <c r="C191" s="2">
        <v>2</v>
      </c>
      <c r="D191" s="2">
        <v>2021</v>
      </c>
      <c r="E191" s="2">
        <v>132.72</v>
      </c>
      <c r="F191" s="2">
        <v>98.28</v>
      </c>
      <c r="H191" s="1">
        <f>_xlfn.XLOOKUP('Data Source 1_customer readings'!A191,'Data Source 1_customer readings'!A191:A2589,'Data Source 1_customer readings'!J191:J2589)</f>
        <v>0</v>
      </c>
    </row>
    <row r="192" spans="1:8" x14ac:dyDescent="0.2">
      <c r="A192" s="2" t="s">
        <v>91</v>
      </c>
      <c r="B192" s="2">
        <v>5</v>
      </c>
      <c r="C192" s="2">
        <v>1</v>
      </c>
      <c r="D192" s="2">
        <v>2021</v>
      </c>
      <c r="E192" s="2">
        <v>132.68</v>
      </c>
      <c r="F192" s="2">
        <v>80.91</v>
      </c>
      <c r="H192" s="1">
        <f>_xlfn.XLOOKUP('Data Source 1_customer readings'!A192,'Data Source 1_customer readings'!A192:A2590,'Data Source 1_customer readings'!J192:J2590)</f>
        <v>0</v>
      </c>
    </row>
    <row r="193" spans="1:8" x14ac:dyDescent="0.2">
      <c r="A193" s="2" t="s">
        <v>85</v>
      </c>
      <c r="B193" s="2">
        <v>3</v>
      </c>
      <c r="C193" s="2">
        <v>11</v>
      </c>
      <c r="D193" s="2">
        <v>2021</v>
      </c>
      <c r="E193" s="2">
        <v>132.6</v>
      </c>
      <c r="F193" s="2">
        <v>83.4</v>
      </c>
      <c r="H193" s="1">
        <f>_xlfn.XLOOKUP('Data Source 1_customer readings'!A193,'Data Source 1_customer readings'!A193:A2591,'Data Source 1_customer readings'!J193:J2591)</f>
        <v>0</v>
      </c>
    </row>
    <row r="194" spans="1:8" x14ac:dyDescent="0.2">
      <c r="A194" s="2" t="s">
        <v>68</v>
      </c>
      <c r="B194" s="2">
        <v>11</v>
      </c>
      <c r="C194" s="2">
        <v>11</v>
      </c>
      <c r="D194" s="2">
        <v>2021</v>
      </c>
      <c r="E194" s="2">
        <v>131.4</v>
      </c>
      <c r="F194" s="2">
        <v>85.8</v>
      </c>
      <c r="H194" s="1">
        <f>_xlfn.XLOOKUP('Data Source 1_customer readings'!A194,'Data Source 1_customer readings'!A194:A2592,'Data Source 1_customer readings'!J194:J2592)</f>
        <v>0</v>
      </c>
    </row>
    <row r="195" spans="1:8" x14ac:dyDescent="0.2">
      <c r="A195" s="2" t="s">
        <v>70</v>
      </c>
      <c r="B195" s="2">
        <v>16</v>
      </c>
      <c r="C195" s="2">
        <v>11</v>
      </c>
      <c r="D195" s="2">
        <v>2021</v>
      </c>
      <c r="E195" s="2">
        <v>131.4</v>
      </c>
      <c r="F195" s="2">
        <v>85.5</v>
      </c>
      <c r="H195" s="1" t="b">
        <f>_xlfn.XLOOKUP('Data Source 1_customer readings'!A195,'Data Source 1_customer readings'!A195:A2593,'Data Source 1_customer readings'!J195:J2593)</f>
        <v>1</v>
      </c>
    </row>
    <row r="196" spans="1:8" x14ac:dyDescent="0.2">
      <c r="A196" s="2" t="s">
        <v>79</v>
      </c>
      <c r="B196" s="2">
        <v>3</v>
      </c>
      <c r="C196" s="2">
        <v>12</v>
      </c>
      <c r="D196" s="2">
        <v>2021</v>
      </c>
      <c r="E196" s="2">
        <v>130.82</v>
      </c>
      <c r="F196" s="2">
        <v>119.66</v>
      </c>
      <c r="H196" s="1">
        <f>_xlfn.XLOOKUP('Data Source 1_customer readings'!A196,'Data Source 1_customer readings'!A196:A2594,'Data Source 1_customer readings'!J196:J2594)</f>
        <v>0</v>
      </c>
    </row>
    <row r="197" spans="1:8" x14ac:dyDescent="0.2">
      <c r="A197" s="2" t="s">
        <v>81</v>
      </c>
      <c r="B197" s="2">
        <v>19</v>
      </c>
      <c r="C197" s="2">
        <v>12</v>
      </c>
      <c r="D197" s="2">
        <v>2021</v>
      </c>
      <c r="E197" s="2">
        <v>130.51</v>
      </c>
      <c r="F197" s="2">
        <v>94.24</v>
      </c>
      <c r="H197" s="1">
        <f>_xlfn.XLOOKUP('Data Source 1_customer readings'!A197,'Data Source 1_customer readings'!A197:A2595,'Data Source 1_customer readings'!J197:J2595)</f>
        <v>0</v>
      </c>
    </row>
    <row r="198" spans="1:8" x14ac:dyDescent="0.2">
      <c r="A198" s="2" t="s">
        <v>54</v>
      </c>
      <c r="B198" s="2">
        <v>5</v>
      </c>
      <c r="C198" s="2">
        <v>12</v>
      </c>
      <c r="D198" s="2">
        <v>2021</v>
      </c>
      <c r="E198" s="2">
        <v>130.19999999999999</v>
      </c>
      <c r="F198" s="2">
        <v>93.93</v>
      </c>
      <c r="H198" s="1">
        <f>_xlfn.XLOOKUP('Data Source 1_customer readings'!A198,'Data Source 1_customer readings'!A198:A2596,'Data Source 1_customer readings'!J198:J2596)</f>
        <v>0</v>
      </c>
    </row>
    <row r="199" spans="1:8" x14ac:dyDescent="0.2">
      <c r="A199" s="2" t="s">
        <v>92</v>
      </c>
      <c r="B199" s="2">
        <v>7</v>
      </c>
      <c r="C199" s="2">
        <v>11</v>
      </c>
      <c r="D199" s="2">
        <v>2021</v>
      </c>
      <c r="E199" s="2">
        <v>129.9</v>
      </c>
      <c r="F199" s="2">
        <v>88.8</v>
      </c>
      <c r="H199" s="1">
        <f>_xlfn.XLOOKUP('Data Source 1_customer readings'!A199,'Data Source 1_customer readings'!A199:A2597,'Data Source 1_customer readings'!J199:J2597)</f>
        <v>0</v>
      </c>
    </row>
    <row r="200" spans="1:8" x14ac:dyDescent="0.2">
      <c r="A200" s="2" t="s">
        <v>87</v>
      </c>
      <c r="B200" s="2">
        <v>1</v>
      </c>
      <c r="C200" s="2">
        <v>2</v>
      </c>
      <c r="D200" s="2">
        <v>2021</v>
      </c>
      <c r="E200" s="2">
        <v>129.63999999999999</v>
      </c>
      <c r="F200" s="2">
        <v>84.84</v>
      </c>
      <c r="H200" s="1">
        <f>_xlfn.XLOOKUP('Data Source 1_customer readings'!A200,'Data Source 1_customer readings'!A200:A2598,'Data Source 1_customer readings'!J200:J2598)</f>
        <v>0</v>
      </c>
    </row>
    <row r="201" spans="1:8" x14ac:dyDescent="0.2">
      <c r="A201" s="2" t="s">
        <v>76</v>
      </c>
      <c r="B201" s="2">
        <v>9</v>
      </c>
      <c r="C201" s="2">
        <v>1</v>
      </c>
      <c r="D201" s="2">
        <v>2021</v>
      </c>
      <c r="E201" s="2">
        <v>129.58000000000001</v>
      </c>
      <c r="F201" s="2">
        <v>95.79</v>
      </c>
      <c r="H201" s="1">
        <f>_xlfn.XLOOKUP('Data Source 1_customer readings'!A201,'Data Source 1_customer readings'!A201:A2599,'Data Source 1_customer readings'!J201:J2599)</f>
        <v>0</v>
      </c>
    </row>
    <row r="202" spans="1:8" x14ac:dyDescent="0.2">
      <c r="A202" s="2" t="s">
        <v>87</v>
      </c>
      <c r="B202" s="2">
        <v>1</v>
      </c>
      <c r="C202" s="2">
        <v>11</v>
      </c>
      <c r="D202" s="2">
        <v>2021</v>
      </c>
      <c r="E202" s="2">
        <v>129</v>
      </c>
      <c r="F202" s="2">
        <v>79.5</v>
      </c>
      <c r="H202" s="1">
        <f>_xlfn.XLOOKUP('Data Source 1_customer readings'!A202,'Data Source 1_customer readings'!A202:A2600,'Data Source 1_customer readings'!J202:J2600)</f>
        <v>0</v>
      </c>
    </row>
    <row r="203" spans="1:8" x14ac:dyDescent="0.2">
      <c r="A203" s="2" t="s">
        <v>87</v>
      </c>
      <c r="B203" s="2">
        <v>1</v>
      </c>
      <c r="C203" s="2">
        <v>12</v>
      </c>
      <c r="D203" s="2">
        <v>2021</v>
      </c>
      <c r="E203" s="2">
        <v>128.96</v>
      </c>
      <c r="F203" s="2">
        <v>86.49</v>
      </c>
      <c r="H203" s="1">
        <f>_xlfn.XLOOKUP('Data Source 1_customer readings'!A203,'Data Source 1_customer readings'!A203:A2601,'Data Source 1_customer readings'!J203:J2601)</f>
        <v>0</v>
      </c>
    </row>
    <row r="204" spans="1:8" x14ac:dyDescent="0.2">
      <c r="A204" s="2" t="s">
        <v>63</v>
      </c>
      <c r="B204" s="2">
        <v>25</v>
      </c>
      <c r="C204" s="2">
        <v>12</v>
      </c>
      <c r="D204" s="2">
        <v>2021</v>
      </c>
      <c r="E204" s="2">
        <v>128.65</v>
      </c>
      <c r="F204" s="2">
        <v>88.35</v>
      </c>
      <c r="H204" s="1">
        <f>_xlfn.XLOOKUP('Data Source 1_customer readings'!A204,'Data Source 1_customer readings'!A204:A2602,'Data Source 1_customer readings'!J204:J2602)</f>
        <v>0</v>
      </c>
    </row>
    <row r="205" spans="1:8" x14ac:dyDescent="0.2">
      <c r="A205" s="2" t="s">
        <v>66</v>
      </c>
      <c r="B205" s="2">
        <v>23</v>
      </c>
      <c r="C205" s="2">
        <v>12</v>
      </c>
      <c r="D205" s="2">
        <v>2021</v>
      </c>
      <c r="E205" s="2">
        <v>128.65</v>
      </c>
      <c r="F205" s="2">
        <v>87.42</v>
      </c>
      <c r="H205" s="1">
        <f>_xlfn.XLOOKUP('Data Source 1_customer readings'!A205,'Data Source 1_customer readings'!A205:A2603,'Data Source 1_customer readings'!J205:J2603)</f>
        <v>0</v>
      </c>
    </row>
    <row r="206" spans="1:8" x14ac:dyDescent="0.2">
      <c r="A206" s="2" t="s">
        <v>56</v>
      </c>
      <c r="B206" s="2">
        <v>14</v>
      </c>
      <c r="C206" s="2">
        <v>12</v>
      </c>
      <c r="D206" s="2">
        <v>2021</v>
      </c>
      <c r="E206" s="2">
        <v>128.34</v>
      </c>
      <c r="F206" s="2">
        <v>100.75</v>
      </c>
      <c r="H206" s="1">
        <f>_xlfn.XLOOKUP('Data Source 1_customer readings'!A206,'Data Source 1_customer readings'!A206:A2604,'Data Source 1_customer readings'!J206:J2604)</f>
        <v>0</v>
      </c>
    </row>
    <row r="207" spans="1:8" x14ac:dyDescent="0.2">
      <c r="A207" s="2" t="s">
        <v>55</v>
      </c>
      <c r="B207" s="2">
        <v>18</v>
      </c>
      <c r="C207" s="2">
        <v>1</v>
      </c>
      <c r="D207" s="2">
        <v>2021</v>
      </c>
      <c r="E207" s="2">
        <v>128.34</v>
      </c>
      <c r="F207" s="2">
        <v>78.12</v>
      </c>
      <c r="H207" s="1">
        <f>_xlfn.XLOOKUP('Data Source 1_customer readings'!A207,'Data Source 1_customer readings'!A207:A2605,'Data Source 1_customer readings'!J207:J2605)</f>
        <v>0</v>
      </c>
    </row>
    <row r="208" spans="1:8" x14ac:dyDescent="0.2">
      <c r="A208" s="2" t="s">
        <v>77</v>
      </c>
      <c r="B208" s="2">
        <v>16</v>
      </c>
      <c r="C208" s="2">
        <v>12</v>
      </c>
      <c r="D208" s="2">
        <v>2021</v>
      </c>
      <c r="E208" s="2">
        <v>128.03</v>
      </c>
      <c r="F208" s="2">
        <v>123.69</v>
      </c>
      <c r="H208" s="1" t="b">
        <f>_xlfn.XLOOKUP('Data Source 1_customer readings'!A208,'Data Source 1_customer readings'!A208:A2606,'Data Source 1_customer readings'!J208:J2606)</f>
        <v>0</v>
      </c>
    </row>
    <row r="209" spans="1:8" x14ac:dyDescent="0.2">
      <c r="A209" s="2" t="s">
        <v>74</v>
      </c>
      <c r="B209" s="2">
        <v>5</v>
      </c>
      <c r="C209" s="2">
        <v>12</v>
      </c>
      <c r="D209" s="2">
        <v>2021</v>
      </c>
      <c r="E209" s="2">
        <v>128.03</v>
      </c>
      <c r="F209" s="2">
        <v>83.39</v>
      </c>
      <c r="H209" s="1">
        <f>_xlfn.XLOOKUP('Data Source 1_customer readings'!A209,'Data Source 1_customer readings'!A209:A2607,'Data Source 1_customer readings'!J209:J2607)</f>
        <v>0</v>
      </c>
    </row>
    <row r="210" spans="1:8" x14ac:dyDescent="0.2">
      <c r="A210" s="2" t="s">
        <v>92</v>
      </c>
      <c r="B210" s="2">
        <v>7</v>
      </c>
      <c r="C210" s="2">
        <v>12</v>
      </c>
      <c r="D210" s="2">
        <v>2021</v>
      </c>
      <c r="E210" s="2">
        <v>128.03</v>
      </c>
      <c r="F210" s="2">
        <v>78.12</v>
      </c>
      <c r="H210" s="1">
        <f>_xlfn.XLOOKUP('Data Source 1_customer readings'!A210,'Data Source 1_customer readings'!A210:A2608,'Data Source 1_customer readings'!J210:J2608)</f>
        <v>0</v>
      </c>
    </row>
    <row r="211" spans="1:8" x14ac:dyDescent="0.2">
      <c r="A211" s="2" t="s">
        <v>65</v>
      </c>
      <c r="B211" s="2">
        <v>11</v>
      </c>
      <c r="C211" s="2">
        <v>2</v>
      </c>
      <c r="D211" s="2">
        <v>2021</v>
      </c>
      <c r="E211" s="2">
        <v>127.96</v>
      </c>
      <c r="F211" s="2">
        <v>98.28</v>
      </c>
      <c r="H211" s="1">
        <f>_xlfn.XLOOKUP('Data Source 1_customer readings'!A211,'Data Source 1_customer readings'!A211:A2609,'Data Source 1_customer readings'!J211:J2609)</f>
        <v>0</v>
      </c>
    </row>
    <row r="212" spans="1:8" x14ac:dyDescent="0.2">
      <c r="A212" s="2" t="s">
        <v>70</v>
      </c>
      <c r="B212" s="2">
        <v>16</v>
      </c>
      <c r="C212" s="2">
        <v>12</v>
      </c>
      <c r="D212" s="2">
        <v>2021</v>
      </c>
      <c r="E212" s="2">
        <v>127.72</v>
      </c>
      <c r="F212" s="2">
        <v>109.43</v>
      </c>
      <c r="H212" s="1">
        <f>_xlfn.XLOOKUP('Data Source 1_customer readings'!A212,'Data Source 1_customer readings'!A212:A2610,'Data Source 1_customer readings'!J212:J2610)</f>
        <v>0</v>
      </c>
    </row>
    <row r="213" spans="1:8" x14ac:dyDescent="0.2">
      <c r="A213" s="2" t="s">
        <v>59</v>
      </c>
      <c r="B213" s="2">
        <v>11</v>
      </c>
      <c r="C213" s="2">
        <v>11</v>
      </c>
      <c r="D213" s="2">
        <v>2021</v>
      </c>
      <c r="E213" s="2">
        <v>127.5</v>
      </c>
      <c r="F213" s="2">
        <v>95.7</v>
      </c>
      <c r="H213" s="1">
        <f>_xlfn.XLOOKUP('Data Source 1_customer readings'!A213,'Data Source 1_customer readings'!A213:A2611,'Data Source 1_customer readings'!J213:J2611)</f>
        <v>0</v>
      </c>
    </row>
    <row r="214" spans="1:8" x14ac:dyDescent="0.2">
      <c r="A214" s="2" t="s">
        <v>52</v>
      </c>
      <c r="B214" s="2">
        <v>1</v>
      </c>
      <c r="C214" s="2">
        <v>12</v>
      </c>
      <c r="D214" s="2">
        <v>2021</v>
      </c>
      <c r="E214" s="2">
        <v>127.1</v>
      </c>
      <c r="F214" s="2">
        <v>107.26</v>
      </c>
      <c r="H214" s="1">
        <f>_xlfn.XLOOKUP('Data Source 1_customer readings'!A214,'Data Source 1_customer readings'!A214:A2612,'Data Source 1_customer readings'!J214:J2612)</f>
        <v>0</v>
      </c>
    </row>
    <row r="215" spans="1:8" x14ac:dyDescent="0.2">
      <c r="A215" s="2" t="s">
        <v>67</v>
      </c>
      <c r="B215" s="2">
        <v>13</v>
      </c>
      <c r="C215" s="2">
        <v>11</v>
      </c>
      <c r="D215" s="2">
        <v>2021</v>
      </c>
      <c r="E215" s="2">
        <v>126.9</v>
      </c>
      <c r="F215" s="2">
        <v>97.8</v>
      </c>
      <c r="H215" s="1">
        <f>_xlfn.XLOOKUP('Data Source 1_customer readings'!A215,'Data Source 1_customer readings'!A215:A2613,'Data Source 1_customer readings'!J215:J2613)</f>
        <v>0</v>
      </c>
    </row>
    <row r="216" spans="1:8" x14ac:dyDescent="0.2">
      <c r="A216" s="2" t="s">
        <v>86</v>
      </c>
      <c r="B216" s="2">
        <v>6</v>
      </c>
      <c r="C216" s="2">
        <v>11</v>
      </c>
      <c r="D216" s="2">
        <v>2021</v>
      </c>
      <c r="E216" s="2">
        <v>126.6</v>
      </c>
      <c r="F216" s="2">
        <v>100.8</v>
      </c>
      <c r="H216" s="1">
        <f>_xlfn.XLOOKUP('Data Source 1_customer readings'!A216,'Data Source 1_customer readings'!A216:A2614,'Data Source 1_customer readings'!J216:J2614)</f>
        <v>0</v>
      </c>
    </row>
    <row r="217" spans="1:8" x14ac:dyDescent="0.2">
      <c r="A217" s="2" t="s">
        <v>78</v>
      </c>
      <c r="B217" s="2">
        <v>18</v>
      </c>
      <c r="C217" s="2">
        <v>12</v>
      </c>
      <c r="D217" s="2">
        <v>2021</v>
      </c>
      <c r="E217" s="2">
        <v>126.48</v>
      </c>
      <c r="F217" s="2">
        <v>102.61</v>
      </c>
      <c r="H217" s="1">
        <f>_xlfn.XLOOKUP('Data Source 1_customer readings'!A217,'Data Source 1_customer readings'!A217:A2615,'Data Source 1_customer readings'!J217:J2615)</f>
        <v>0</v>
      </c>
    </row>
    <row r="218" spans="1:8" x14ac:dyDescent="0.2">
      <c r="A218" s="2" t="s">
        <v>84</v>
      </c>
      <c r="B218" s="2">
        <v>20</v>
      </c>
      <c r="C218" s="2">
        <v>12</v>
      </c>
      <c r="D218" s="2">
        <v>2021</v>
      </c>
      <c r="E218" s="2">
        <v>126.17</v>
      </c>
      <c r="F218" s="2">
        <v>104.16</v>
      </c>
      <c r="H218" s="1">
        <f>_xlfn.XLOOKUP('Data Source 1_customer readings'!A218,'Data Source 1_customer readings'!A218:A2616,'Data Source 1_customer readings'!J218:J2616)</f>
        <v>0</v>
      </c>
    </row>
    <row r="219" spans="1:8" x14ac:dyDescent="0.2">
      <c r="A219" s="2" t="s">
        <v>75</v>
      </c>
      <c r="B219" s="2">
        <v>2</v>
      </c>
      <c r="C219" s="2">
        <v>12</v>
      </c>
      <c r="D219" s="2">
        <v>2021</v>
      </c>
      <c r="E219" s="2">
        <v>126.17</v>
      </c>
      <c r="F219" s="2">
        <v>76.260000000000005</v>
      </c>
      <c r="H219" s="1">
        <f>_xlfn.XLOOKUP('Data Source 1_customer readings'!A219,'Data Source 1_customer readings'!A219:A2617,'Data Source 1_customer readings'!J219:J2617)</f>
        <v>0</v>
      </c>
    </row>
    <row r="220" spans="1:8" x14ac:dyDescent="0.2">
      <c r="A220" s="2" t="s">
        <v>85</v>
      </c>
      <c r="B220" s="2">
        <v>3</v>
      </c>
      <c r="C220" s="2">
        <v>1</v>
      </c>
      <c r="D220" s="2">
        <v>2021</v>
      </c>
      <c r="E220" s="2">
        <v>125.86</v>
      </c>
      <c r="F220" s="2">
        <v>88.35</v>
      </c>
      <c r="H220" s="1">
        <f>_xlfn.XLOOKUP('Data Source 1_customer readings'!A220,'Data Source 1_customer readings'!A220:A2618,'Data Source 1_customer readings'!J220:J2618)</f>
        <v>0</v>
      </c>
    </row>
    <row r="221" spans="1:8" x14ac:dyDescent="0.2">
      <c r="A221" s="2" t="s">
        <v>74</v>
      </c>
      <c r="B221" s="2">
        <v>5</v>
      </c>
      <c r="C221" s="2">
        <v>1</v>
      </c>
      <c r="D221" s="2">
        <v>2021</v>
      </c>
      <c r="E221" s="2">
        <v>125.55</v>
      </c>
      <c r="F221" s="2">
        <v>95.48</v>
      </c>
      <c r="H221" s="1">
        <f>_xlfn.XLOOKUP('Data Source 1_customer readings'!A221,'Data Source 1_customer readings'!A221:A2619,'Data Source 1_customer readings'!J221:J2619)</f>
        <v>0</v>
      </c>
    </row>
    <row r="222" spans="1:8" x14ac:dyDescent="0.2">
      <c r="A222" s="2" t="s">
        <v>78</v>
      </c>
      <c r="B222" s="2">
        <v>18</v>
      </c>
      <c r="C222" s="2">
        <v>1</v>
      </c>
      <c r="D222" s="2">
        <v>2021</v>
      </c>
      <c r="E222" s="2">
        <v>125.55</v>
      </c>
      <c r="F222" s="2">
        <v>88.04</v>
      </c>
      <c r="H222" s="1">
        <f>_xlfn.XLOOKUP('Data Source 1_customer readings'!A222,'Data Source 1_customer readings'!A222:A2620,'Data Source 1_customer readings'!J222:J2620)</f>
        <v>0</v>
      </c>
    </row>
    <row r="223" spans="1:8" x14ac:dyDescent="0.2">
      <c r="A223" s="2" t="s">
        <v>69</v>
      </c>
      <c r="B223" s="2">
        <v>12</v>
      </c>
      <c r="C223" s="2">
        <v>11</v>
      </c>
      <c r="D223" s="2">
        <v>2021</v>
      </c>
      <c r="E223" s="2">
        <v>125.4</v>
      </c>
      <c r="F223" s="2">
        <v>95.1</v>
      </c>
      <c r="H223" s="1">
        <f>_xlfn.XLOOKUP('Data Source 1_customer readings'!A223,'Data Source 1_customer readings'!A223:A2621,'Data Source 1_customer readings'!J223:J2621)</f>
        <v>0</v>
      </c>
    </row>
    <row r="224" spans="1:8" x14ac:dyDescent="0.2">
      <c r="A224" s="2" t="s">
        <v>66</v>
      </c>
      <c r="B224" s="2">
        <v>23</v>
      </c>
      <c r="C224" s="2">
        <v>11</v>
      </c>
      <c r="D224" s="2">
        <v>2021</v>
      </c>
      <c r="E224" s="2">
        <v>125.4</v>
      </c>
      <c r="F224" s="2">
        <v>86.4</v>
      </c>
      <c r="H224" s="1">
        <f>_xlfn.XLOOKUP('Data Source 1_customer readings'!A224,'Data Source 1_customer readings'!A224:A2622,'Data Source 1_customer readings'!J224:J2622)</f>
        <v>0</v>
      </c>
    </row>
    <row r="225" spans="1:8" x14ac:dyDescent="0.2">
      <c r="A225" s="2" t="s">
        <v>82</v>
      </c>
      <c r="B225" s="2">
        <v>8</v>
      </c>
      <c r="C225" s="2">
        <v>2</v>
      </c>
      <c r="D225" s="2">
        <v>2021</v>
      </c>
      <c r="E225" s="2">
        <v>125.16</v>
      </c>
      <c r="F225" s="2">
        <v>63.28</v>
      </c>
      <c r="H225" s="1">
        <f>_xlfn.XLOOKUP('Data Source 1_customer readings'!A225,'Data Source 1_customer readings'!A225:A2623,'Data Source 1_customer readings'!J225:J2623)</f>
        <v>0</v>
      </c>
    </row>
    <row r="226" spans="1:8" x14ac:dyDescent="0.2">
      <c r="A226" s="2" t="s">
        <v>78</v>
      </c>
      <c r="B226" s="2">
        <v>18</v>
      </c>
      <c r="C226" s="2">
        <v>11</v>
      </c>
      <c r="D226" s="2">
        <v>2021</v>
      </c>
      <c r="E226" s="2">
        <v>125.1</v>
      </c>
      <c r="F226" s="2">
        <v>91.8</v>
      </c>
      <c r="H226" s="1">
        <f>_xlfn.XLOOKUP('Data Source 1_customer readings'!A226,'Data Source 1_customer readings'!A226:A2624,'Data Source 1_customer readings'!J226:J2624)</f>
        <v>0</v>
      </c>
    </row>
    <row r="227" spans="1:8" x14ac:dyDescent="0.2">
      <c r="A227" s="2" t="s">
        <v>73</v>
      </c>
      <c r="B227" s="2">
        <v>5</v>
      </c>
      <c r="C227" s="2">
        <v>11</v>
      </c>
      <c r="D227" s="2">
        <v>2021</v>
      </c>
      <c r="E227" s="2">
        <v>124.5</v>
      </c>
      <c r="F227" s="2">
        <v>96.9</v>
      </c>
      <c r="H227" s="1">
        <f>_xlfn.XLOOKUP('Data Source 1_customer readings'!A227,'Data Source 1_customer readings'!A227:A2625,'Data Source 1_customer readings'!J227:J2625)</f>
        <v>0</v>
      </c>
    </row>
    <row r="228" spans="1:8" x14ac:dyDescent="0.2">
      <c r="A228" s="2" t="s">
        <v>89</v>
      </c>
      <c r="B228" s="2">
        <v>2</v>
      </c>
      <c r="C228" s="2">
        <v>11</v>
      </c>
      <c r="D228" s="2">
        <v>2021</v>
      </c>
      <c r="E228" s="2">
        <v>124.2</v>
      </c>
      <c r="F228" s="2">
        <v>84.3</v>
      </c>
      <c r="H228" s="1" t="b">
        <f>_xlfn.XLOOKUP('Data Source 1_customer readings'!A228,'Data Source 1_customer readings'!A228:A2626,'Data Source 1_customer readings'!J228:J2626)</f>
        <v>0</v>
      </c>
    </row>
    <row r="229" spans="1:8" x14ac:dyDescent="0.2">
      <c r="A229" s="2" t="s">
        <v>69</v>
      </c>
      <c r="B229" s="2">
        <v>12</v>
      </c>
      <c r="C229" s="2">
        <v>2</v>
      </c>
      <c r="D229" s="2">
        <v>2021</v>
      </c>
      <c r="E229" s="2">
        <v>122.92</v>
      </c>
      <c r="F229" s="2">
        <v>79.239999999999995</v>
      </c>
      <c r="H229" s="1" t="b">
        <f>_xlfn.XLOOKUP('Data Source 1_customer readings'!A229,'Data Source 1_customer readings'!A229:A2627,'Data Source 1_customer readings'!J229:J2627)</f>
        <v>0</v>
      </c>
    </row>
    <row r="230" spans="1:8" x14ac:dyDescent="0.2">
      <c r="A230" s="2" t="s">
        <v>44</v>
      </c>
      <c r="B230" s="2">
        <v>1</v>
      </c>
      <c r="C230" s="2">
        <v>2</v>
      </c>
      <c r="D230" s="2">
        <v>2021</v>
      </c>
      <c r="E230" s="2">
        <v>122.64</v>
      </c>
      <c r="F230" s="2">
        <v>90.44</v>
      </c>
      <c r="H230" s="1" t="b">
        <f>_xlfn.XLOOKUP('Data Source 1_customer readings'!A230,'Data Source 1_customer readings'!A230:A2628,'Data Source 1_customer readings'!J230:J2628)</f>
        <v>0</v>
      </c>
    </row>
    <row r="231" spans="1:8" x14ac:dyDescent="0.2">
      <c r="A231" s="2" t="s">
        <v>61</v>
      </c>
      <c r="B231" s="2">
        <v>23</v>
      </c>
      <c r="C231" s="2">
        <v>12</v>
      </c>
      <c r="D231" s="2">
        <v>2021</v>
      </c>
      <c r="E231" s="2">
        <v>122.14</v>
      </c>
      <c r="F231" s="2">
        <v>89.9</v>
      </c>
      <c r="H231" s="1">
        <f>_xlfn.XLOOKUP('Data Source 1_customer readings'!A231,'Data Source 1_customer readings'!A231:A2629,'Data Source 1_customer readings'!J231:J2629)</f>
        <v>0</v>
      </c>
    </row>
    <row r="232" spans="1:8" x14ac:dyDescent="0.2">
      <c r="A232" s="2" t="s">
        <v>88</v>
      </c>
      <c r="B232" s="2">
        <v>23</v>
      </c>
      <c r="C232" s="2">
        <v>11</v>
      </c>
      <c r="D232" s="2">
        <v>2021</v>
      </c>
      <c r="E232" s="2">
        <v>121.2</v>
      </c>
      <c r="F232" s="2">
        <v>97.2</v>
      </c>
      <c r="H232" s="1" t="b">
        <f>_xlfn.XLOOKUP('Data Source 1_customer readings'!A232,'Data Source 1_customer readings'!A232:A2630,'Data Source 1_customer readings'!J232:J2630)</f>
        <v>0</v>
      </c>
    </row>
    <row r="233" spans="1:8" x14ac:dyDescent="0.2">
      <c r="A233" s="2" t="s">
        <v>79</v>
      </c>
      <c r="B233" s="2">
        <v>3</v>
      </c>
      <c r="C233" s="2">
        <v>11</v>
      </c>
      <c r="D233" s="2">
        <v>2021</v>
      </c>
      <c r="E233" s="2">
        <v>120.9</v>
      </c>
      <c r="F233" s="2">
        <v>111.6</v>
      </c>
      <c r="H233" s="1" t="b">
        <f>_xlfn.XLOOKUP('Data Source 1_customer readings'!A233,'Data Source 1_customer readings'!A233:A2631,'Data Source 1_customer readings'!J233:J2631)</f>
        <v>0</v>
      </c>
    </row>
    <row r="234" spans="1:8" x14ac:dyDescent="0.2">
      <c r="A234" s="2" t="s">
        <v>76</v>
      </c>
      <c r="B234" s="2">
        <v>9</v>
      </c>
      <c r="C234" s="2">
        <v>11</v>
      </c>
      <c r="D234" s="2">
        <v>2021</v>
      </c>
      <c r="E234" s="2">
        <v>120.9</v>
      </c>
      <c r="F234" s="2">
        <v>96.3</v>
      </c>
      <c r="H234" s="1">
        <f>_xlfn.XLOOKUP('Data Source 1_customer readings'!A234,'Data Source 1_customer readings'!A234:A2632,'Data Source 1_customer readings'!J234:J2632)</f>
        <v>0</v>
      </c>
    </row>
    <row r="235" spans="1:8" x14ac:dyDescent="0.2">
      <c r="A235" s="2" t="s">
        <v>43</v>
      </c>
      <c r="B235" s="2">
        <v>15</v>
      </c>
      <c r="C235" s="2">
        <v>11</v>
      </c>
      <c r="D235" s="2">
        <v>2021</v>
      </c>
      <c r="E235" s="2">
        <v>120.9</v>
      </c>
      <c r="F235" s="2">
        <v>85.5</v>
      </c>
      <c r="H235" s="1">
        <f>_xlfn.XLOOKUP('Data Source 1_customer readings'!A235,'Data Source 1_customer readings'!A235:A2633,'Data Source 1_customer readings'!J235:J2633)</f>
        <v>0</v>
      </c>
    </row>
    <row r="236" spans="1:8" x14ac:dyDescent="0.2">
      <c r="A236" s="2" t="s">
        <v>81</v>
      </c>
      <c r="B236" s="2">
        <v>19</v>
      </c>
      <c r="C236" s="2">
        <v>11</v>
      </c>
      <c r="D236" s="2">
        <v>2021</v>
      </c>
      <c r="E236" s="2">
        <v>120.6</v>
      </c>
      <c r="F236" s="2">
        <v>75</v>
      </c>
      <c r="H236" s="1">
        <f>_xlfn.XLOOKUP('Data Source 1_customer readings'!A236,'Data Source 1_customer readings'!A236:A2634,'Data Source 1_customer readings'!J236:J2634)</f>
        <v>0</v>
      </c>
    </row>
    <row r="237" spans="1:8" x14ac:dyDescent="0.2">
      <c r="A237" s="2" t="s">
        <v>73</v>
      </c>
      <c r="B237" s="2">
        <v>5</v>
      </c>
      <c r="C237" s="2">
        <v>1</v>
      </c>
      <c r="D237" s="2">
        <v>2021</v>
      </c>
      <c r="E237" s="2">
        <v>120.59</v>
      </c>
      <c r="F237" s="2">
        <v>86.49</v>
      </c>
      <c r="H237" s="1">
        <f>_xlfn.XLOOKUP('Data Source 1_customer readings'!A237,'Data Source 1_customer readings'!A237:A2635,'Data Source 1_customer readings'!J237:J2635)</f>
        <v>0</v>
      </c>
    </row>
    <row r="238" spans="1:8" x14ac:dyDescent="0.2">
      <c r="A238" s="2" t="s">
        <v>70</v>
      </c>
      <c r="B238" s="2">
        <v>16</v>
      </c>
      <c r="C238" s="2">
        <v>2</v>
      </c>
      <c r="D238" s="2">
        <v>2021</v>
      </c>
      <c r="E238" s="2">
        <v>120.4</v>
      </c>
      <c r="F238" s="2">
        <v>76.16</v>
      </c>
      <c r="H238" s="1">
        <f>_xlfn.XLOOKUP('Data Source 1_customer readings'!A238,'Data Source 1_customer readings'!A238:A2636,'Data Source 1_customer readings'!J238:J2636)</f>
        <v>0</v>
      </c>
    </row>
    <row r="239" spans="1:8" x14ac:dyDescent="0.2">
      <c r="A239" s="2" t="s">
        <v>75</v>
      </c>
      <c r="B239" s="2">
        <v>2</v>
      </c>
      <c r="C239" s="2">
        <v>11</v>
      </c>
      <c r="D239" s="2">
        <v>2021</v>
      </c>
      <c r="E239" s="2">
        <v>120.3</v>
      </c>
      <c r="F239" s="2">
        <v>90.9</v>
      </c>
      <c r="H239" s="1">
        <f>_xlfn.XLOOKUP('Data Source 1_customer readings'!A239,'Data Source 1_customer readings'!A239:A2637,'Data Source 1_customer readings'!J239:J2637)</f>
        <v>0</v>
      </c>
    </row>
    <row r="240" spans="1:8" x14ac:dyDescent="0.2">
      <c r="A240" s="2" t="s">
        <v>92</v>
      </c>
      <c r="B240" s="2">
        <v>7</v>
      </c>
      <c r="C240" s="2">
        <v>2</v>
      </c>
      <c r="D240" s="2">
        <v>2021</v>
      </c>
      <c r="E240" s="2">
        <v>120.12</v>
      </c>
      <c r="F240" s="2">
        <v>78.680000000000007</v>
      </c>
      <c r="H240" s="1">
        <f>_xlfn.XLOOKUP('Data Source 1_customer readings'!A240,'Data Source 1_customer readings'!A240:A2638,'Data Source 1_customer readings'!J240:J2638)</f>
        <v>0</v>
      </c>
    </row>
    <row r="241" spans="1:8" x14ac:dyDescent="0.2">
      <c r="A241" s="2" t="s">
        <v>62</v>
      </c>
      <c r="B241" s="2">
        <v>1</v>
      </c>
      <c r="C241" s="2">
        <v>1</v>
      </c>
      <c r="D241" s="2">
        <v>2021</v>
      </c>
      <c r="E241" s="2">
        <v>119.97</v>
      </c>
      <c r="F241" s="2">
        <v>79.98</v>
      </c>
      <c r="H241" s="1">
        <f>_xlfn.XLOOKUP('Data Source 1_customer readings'!A241,'Data Source 1_customer readings'!A241:A2639,'Data Source 1_customer readings'!J241:J2639)</f>
        <v>0</v>
      </c>
    </row>
    <row r="242" spans="1:8" x14ac:dyDescent="0.2">
      <c r="A242" s="2" t="s">
        <v>51</v>
      </c>
      <c r="B242" s="2">
        <v>16</v>
      </c>
      <c r="C242" s="2">
        <v>1</v>
      </c>
      <c r="D242" s="2">
        <v>2021</v>
      </c>
      <c r="E242" s="2">
        <v>119.97</v>
      </c>
      <c r="F242" s="2">
        <v>69.44</v>
      </c>
      <c r="H242" s="1">
        <f>_xlfn.XLOOKUP('Data Source 1_customer readings'!A242,'Data Source 1_customer readings'!A242:A2640,'Data Source 1_customer readings'!J242:J2640)</f>
        <v>0</v>
      </c>
    </row>
    <row r="243" spans="1:8" x14ac:dyDescent="0.2">
      <c r="A243" s="2" t="s">
        <v>56</v>
      </c>
      <c r="B243" s="2">
        <v>14</v>
      </c>
      <c r="C243" s="2">
        <v>2</v>
      </c>
      <c r="D243" s="2">
        <v>2021</v>
      </c>
      <c r="E243" s="2">
        <v>119.84</v>
      </c>
      <c r="F243" s="2">
        <v>75.319999999999993</v>
      </c>
      <c r="H243" s="1">
        <f>_xlfn.XLOOKUP('Data Source 1_customer readings'!A243,'Data Source 1_customer readings'!A243:A2641,'Data Source 1_customer readings'!J243:J2641)</f>
        <v>0</v>
      </c>
    </row>
    <row r="244" spans="1:8" x14ac:dyDescent="0.2">
      <c r="A244" s="2" t="s">
        <v>61</v>
      </c>
      <c r="B244" s="2">
        <v>23</v>
      </c>
      <c r="C244" s="2">
        <v>2</v>
      </c>
      <c r="D244" s="2">
        <v>2021</v>
      </c>
      <c r="E244" s="2">
        <v>119.28</v>
      </c>
      <c r="F244" s="2">
        <v>84.28</v>
      </c>
      <c r="H244" s="1">
        <f>_xlfn.XLOOKUP('Data Source 1_customer readings'!A244,'Data Source 1_customer readings'!A244:A2642,'Data Source 1_customer readings'!J244:J2642)</f>
        <v>0</v>
      </c>
    </row>
    <row r="245" spans="1:8" x14ac:dyDescent="0.2">
      <c r="A245" s="2" t="s">
        <v>81</v>
      </c>
      <c r="B245" s="2">
        <v>19</v>
      </c>
      <c r="C245" s="2">
        <v>1</v>
      </c>
      <c r="D245" s="2">
        <v>2021</v>
      </c>
      <c r="E245" s="2">
        <v>119.04</v>
      </c>
      <c r="F245" s="2">
        <v>81.22</v>
      </c>
      <c r="H245" s="1">
        <f>_xlfn.XLOOKUP('Data Source 1_customer readings'!A245,'Data Source 1_customer readings'!A245:A2643,'Data Source 1_customer readings'!J245:J2643)</f>
        <v>0</v>
      </c>
    </row>
    <row r="246" spans="1:8" x14ac:dyDescent="0.2">
      <c r="A246" s="2" t="s">
        <v>59</v>
      </c>
      <c r="B246" s="2">
        <v>11</v>
      </c>
      <c r="C246" s="2">
        <v>1</v>
      </c>
      <c r="D246" s="2">
        <v>2021</v>
      </c>
      <c r="E246" s="2">
        <v>118.42</v>
      </c>
      <c r="F246" s="2">
        <v>93.93</v>
      </c>
      <c r="H246" s="1">
        <f>_xlfn.XLOOKUP('Data Source 1_customer readings'!A246,'Data Source 1_customer readings'!A246:A2644,'Data Source 1_customer readings'!J246:J2644)</f>
        <v>0</v>
      </c>
    </row>
    <row r="247" spans="1:8" x14ac:dyDescent="0.2">
      <c r="A247" s="2" t="s">
        <v>81</v>
      </c>
      <c r="B247" s="2">
        <v>19</v>
      </c>
      <c r="C247" s="2">
        <v>2</v>
      </c>
      <c r="D247" s="2">
        <v>2021</v>
      </c>
      <c r="E247" s="2">
        <v>118.16</v>
      </c>
      <c r="F247" s="2">
        <v>86.24</v>
      </c>
      <c r="H247" s="1">
        <f>_xlfn.XLOOKUP('Data Source 1_customer readings'!A247,'Data Source 1_customer readings'!A247:A2645,'Data Source 1_customer readings'!J247:J2645)</f>
        <v>0</v>
      </c>
    </row>
    <row r="248" spans="1:8" x14ac:dyDescent="0.2">
      <c r="A248" s="2" t="s">
        <v>69</v>
      </c>
      <c r="B248" s="2">
        <v>12</v>
      </c>
      <c r="C248" s="2">
        <v>1</v>
      </c>
      <c r="D248" s="2">
        <v>2021</v>
      </c>
      <c r="E248" s="2">
        <v>118.11</v>
      </c>
      <c r="F248" s="2">
        <v>107.88</v>
      </c>
      <c r="H248" s="1" t="b">
        <f>_xlfn.XLOOKUP('Data Source 1_customer readings'!A248,'Data Source 1_customer readings'!A248:A2646,'Data Source 1_customer readings'!J248:J2646)</f>
        <v>0</v>
      </c>
    </row>
    <row r="249" spans="1:8" x14ac:dyDescent="0.2">
      <c r="A249" s="2" t="s">
        <v>57</v>
      </c>
      <c r="B249" s="2">
        <v>17</v>
      </c>
      <c r="C249" s="2">
        <v>11</v>
      </c>
      <c r="D249" s="2">
        <v>2021</v>
      </c>
      <c r="E249" s="2">
        <v>117.9</v>
      </c>
      <c r="F249" s="2">
        <v>69.599999999999994</v>
      </c>
      <c r="H249" s="1">
        <f>_xlfn.XLOOKUP('Data Source 1_customer readings'!A249,'Data Source 1_customer readings'!A249:A2647,'Data Source 1_customer readings'!J249:J2647)</f>
        <v>0</v>
      </c>
    </row>
    <row r="250" spans="1:8" x14ac:dyDescent="0.2">
      <c r="A250" s="2" t="s">
        <v>41</v>
      </c>
      <c r="B250" s="2">
        <v>15</v>
      </c>
      <c r="C250" s="2">
        <v>2</v>
      </c>
      <c r="D250" s="2">
        <v>2021</v>
      </c>
      <c r="E250" s="2">
        <v>117.88</v>
      </c>
      <c r="F250" s="2">
        <v>81.2</v>
      </c>
      <c r="H250" s="1">
        <f>_xlfn.XLOOKUP('Data Source 1_customer readings'!A250,'Data Source 1_customer readings'!A250:A2648,'Data Source 1_customer readings'!J250:J2648)</f>
        <v>0</v>
      </c>
    </row>
    <row r="251" spans="1:8" x14ac:dyDescent="0.2">
      <c r="A251" s="2" t="s">
        <v>79</v>
      </c>
      <c r="B251" s="2">
        <v>3</v>
      </c>
      <c r="C251" s="2">
        <v>2</v>
      </c>
      <c r="D251" s="2">
        <v>2021</v>
      </c>
      <c r="E251" s="2">
        <v>117.04</v>
      </c>
      <c r="F251" s="2">
        <v>93.52</v>
      </c>
      <c r="H251" s="1">
        <f>_xlfn.XLOOKUP('Data Source 1_customer readings'!A251,'Data Source 1_customer readings'!A251:A2649,'Data Source 1_customer readings'!J251:J2649)</f>
        <v>0</v>
      </c>
    </row>
    <row r="252" spans="1:8" x14ac:dyDescent="0.2">
      <c r="A252" s="2" t="s">
        <v>40</v>
      </c>
      <c r="B252" s="2">
        <v>15</v>
      </c>
      <c r="C252" s="2">
        <v>2</v>
      </c>
      <c r="D252" s="2">
        <v>2021</v>
      </c>
      <c r="E252" s="2">
        <v>117.04</v>
      </c>
      <c r="F252" s="2">
        <v>78.400000000000006</v>
      </c>
      <c r="H252" s="1">
        <f>_xlfn.XLOOKUP('Data Source 1_customer readings'!A252,'Data Source 1_customer readings'!A252:A2650,'Data Source 1_customer readings'!J252:J2650)</f>
        <v>0</v>
      </c>
    </row>
    <row r="253" spans="1:8" x14ac:dyDescent="0.2">
      <c r="A253" s="2" t="s">
        <v>68</v>
      </c>
      <c r="B253" s="2">
        <v>11</v>
      </c>
      <c r="C253" s="2">
        <v>2</v>
      </c>
      <c r="D253" s="2">
        <v>2021</v>
      </c>
      <c r="E253" s="2">
        <v>117.04</v>
      </c>
      <c r="F253" s="2">
        <v>76.72</v>
      </c>
      <c r="H253" s="1" t="b">
        <f>_xlfn.XLOOKUP('Data Source 1_customer readings'!A253,'Data Source 1_customer readings'!A253:A2651,'Data Source 1_customer readings'!J253:J2651)</f>
        <v>0</v>
      </c>
    </row>
    <row r="254" spans="1:8" x14ac:dyDescent="0.2">
      <c r="A254" s="2" t="s">
        <v>65</v>
      </c>
      <c r="B254" s="2">
        <v>11</v>
      </c>
      <c r="C254" s="2">
        <v>12</v>
      </c>
      <c r="D254" s="2">
        <v>2021</v>
      </c>
      <c r="E254" s="2">
        <v>116.87</v>
      </c>
      <c r="F254" s="2">
        <v>92.07</v>
      </c>
      <c r="H254" s="1">
        <f>_xlfn.XLOOKUP('Data Source 1_customer readings'!A254,'Data Source 1_customer readings'!A254:A2652,'Data Source 1_customer readings'!J254:J2652)</f>
        <v>0</v>
      </c>
    </row>
    <row r="255" spans="1:8" x14ac:dyDescent="0.2">
      <c r="A255" s="2" t="s">
        <v>72</v>
      </c>
      <c r="B255" s="2">
        <v>22</v>
      </c>
      <c r="C255" s="2">
        <v>2</v>
      </c>
      <c r="D255" s="2">
        <v>2021</v>
      </c>
      <c r="E255" s="2">
        <v>116.76</v>
      </c>
      <c r="F255" s="2">
        <v>89.32</v>
      </c>
      <c r="H255" s="1">
        <f>_xlfn.XLOOKUP('Data Source 1_customer readings'!A255,'Data Source 1_customer readings'!A255:A2653,'Data Source 1_customer readings'!J255:J2653)</f>
        <v>0</v>
      </c>
    </row>
    <row r="256" spans="1:8" x14ac:dyDescent="0.2">
      <c r="A256" s="2" t="s">
        <v>74</v>
      </c>
      <c r="B256" s="2">
        <v>5</v>
      </c>
      <c r="C256" s="2">
        <v>11</v>
      </c>
      <c r="D256" s="2">
        <v>2021</v>
      </c>
      <c r="E256" s="2">
        <v>116.7</v>
      </c>
      <c r="F256" s="2">
        <v>94.5</v>
      </c>
      <c r="H256" s="1">
        <f>_xlfn.XLOOKUP('Data Source 1_customer readings'!A256,'Data Source 1_customer readings'!A256:A2654,'Data Source 1_customer readings'!J256:J2654)</f>
        <v>0</v>
      </c>
    </row>
    <row r="257" spans="1:8" x14ac:dyDescent="0.2">
      <c r="A257" s="2" t="s">
        <v>93</v>
      </c>
      <c r="B257" s="2">
        <v>3</v>
      </c>
      <c r="C257" s="2">
        <v>10</v>
      </c>
      <c r="D257" s="2">
        <v>2021</v>
      </c>
      <c r="E257" s="2">
        <v>116.56</v>
      </c>
      <c r="F257" s="2">
        <v>92.07</v>
      </c>
      <c r="H257" s="1">
        <f>_xlfn.XLOOKUP('Data Source 1_customer readings'!A257,'Data Source 1_customer readings'!A257:A2655,'Data Source 1_customer readings'!J257:J2655)</f>
        <v>0</v>
      </c>
    </row>
    <row r="258" spans="1:8" x14ac:dyDescent="0.2">
      <c r="A258" s="2" t="s">
        <v>53</v>
      </c>
      <c r="B258" s="2">
        <v>18</v>
      </c>
      <c r="C258" s="2">
        <v>12</v>
      </c>
      <c r="D258" s="2">
        <v>2021</v>
      </c>
      <c r="E258" s="2">
        <v>116.56</v>
      </c>
      <c r="F258" s="2">
        <v>74.709999999999994</v>
      </c>
      <c r="H258" s="1">
        <f>_xlfn.XLOOKUP('Data Source 1_customer readings'!A258,'Data Source 1_customer readings'!A258:A2656,'Data Source 1_customer readings'!J258:J2656)</f>
        <v>0</v>
      </c>
    </row>
    <row r="259" spans="1:8" x14ac:dyDescent="0.2">
      <c r="A259" s="2" t="s">
        <v>78</v>
      </c>
      <c r="B259" s="2">
        <v>18</v>
      </c>
      <c r="C259" s="2">
        <v>2</v>
      </c>
      <c r="D259" s="2">
        <v>2021</v>
      </c>
      <c r="E259" s="2">
        <v>116.48</v>
      </c>
      <c r="F259" s="2">
        <v>84</v>
      </c>
      <c r="H259" s="1">
        <f>_xlfn.XLOOKUP('Data Source 1_customer readings'!A259,'Data Source 1_customer readings'!A259:A2657,'Data Source 1_customer readings'!J259:J2657)</f>
        <v>0</v>
      </c>
    </row>
    <row r="260" spans="1:8" x14ac:dyDescent="0.2">
      <c r="A260" s="2" t="s">
        <v>66</v>
      </c>
      <c r="B260" s="2">
        <v>23</v>
      </c>
      <c r="C260" s="2">
        <v>2</v>
      </c>
      <c r="D260" s="2">
        <v>2021</v>
      </c>
      <c r="E260" s="2">
        <v>115.92</v>
      </c>
      <c r="F260" s="2">
        <v>65.8</v>
      </c>
      <c r="H260" s="1">
        <f>_xlfn.XLOOKUP('Data Source 1_customer readings'!A260,'Data Source 1_customer readings'!A260:A2658,'Data Source 1_customer readings'!J260:J2658)</f>
        <v>0</v>
      </c>
    </row>
    <row r="261" spans="1:8" x14ac:dyDescent="0.2">
      <c r="A261" s="2" t="s">
        <v>77</v>
      </c>
      <c r="B261" s="2">
        <v>16</v>
      </c>
      <c r="C261" s="2">
        <v>2</v>
      </c>
      <c r="D261" s="2">
        <v>2021</v>
      </c>
      <c r="E261" s="2">
        <v>115.64</v>
      </c>
      <c r="F261" s="2">
        <v>87.92</v>
      </c>
      <c r="H261" s="1">
        <f>_xlfn.XLOOKUP('Data Source 1_customer readings'!A261,'Data Source 1_customer readings'!A261:A2659,'Data Source 1_customer readings'!J261:J2659)</f>
        <v>0</v>
      </c>
    </row>
    <row r="262" spans="1:8" x14ac:dyDescent="0.2">
      <c r="A262" s="2" t="s">
        <v>86</v>
      </c>
      <c r="B262" s="2">
        <v>6</v>
      </c>
      <c r="C262" s="2">
        <v>2</v>
      </c>
      <c r="D262" s="2">
        <v>2021</v>
      </c>
      <c r="E262" s="2">
        <v>115.64</v>
      </c>
      <c r="F262" s="2">
        <v>82.32</v>
      </c>
      <c r="H262" s="1">
        <f>_xlfn.XLOOKUP('Data Source 1_customer readings'!A262,'Data Source 1_customer readings'!A262:A2660,'Data Source 1_customer readings'!J262:J2660)</f>
        <v>0</v>
      </c>
    </row>
    <row r="263" spans="1:8" x14ac:dyDescent="0.2">
      <c r="A263" s="2" t="s">
        <v>42</v>
      </c>
      <c r="B263" s="2">
        <v>12</v>
      </c>
      <c r="C263" s="2">
        <v>12</v>
      </c>
      <c r="D263" s="2">
        <v>2021</v>
      </c>
      <c r="E263" s="2">
        <v>115.63</v>
      </c>
      <c r="F263" s="2">
        <v>67.58</v>
      </c>
      <c r="H263" s="1">
        <f>_xlfn.XLOOKUP('Data Source 1_customer readings'!A263,'Data Source 1_customer readings'!A263:A2661,'Data Source 1_customer readings'!J263:J2661)</f>
        <v>0</v>
      </c>
    </row>
    <row r="264" spans="1:8" x14ac:dyDescent="0.2">
      <c r="A264" s="2" t="s">
        <v>35</v>
      </c>
      <c r="B264" s="2">
        <v>9</v>
      </c>
      <c r="C264" s="2">
        <v>12</v>
      </c>
      <c r="D264" s="2">
        <v>2021</v>
      </c>
      <c r="E264" s="2">
        <v>115.32</v>
      </c>
      <c r="F264" s="2">
        <v>68.2</v>
      </c>
      <c r="H264" s="1">
        <f>_xlfn.XLOOKUP('Data Source 1_customer readings'!A264,'Data Source 1_customer readings'!A264:A2662,'Data Source 1_customer readings'!J264:J2662)</f>
        <v>0</v>
      </c>
    </row>
    <row r="265" spans="1:8" x14ac:dyDescent="0.2">
      <c r="A265" s="2" t="s">
        <v>71</v>
      </c>
      <c r="B265" s="2">
        <v>21</v>
      </c>
      <c r="C265" s="2">
        <v>11</v>
      </c>
      <c r="D265" s="2">
        <v>2021</v>
      </c>
      <c r="E265" s="2">
        <v>115.2</v>
      </c>
      <c r="F265" s="2">
        <v>99.9</v>
      </c>
      <c r="H265" s="1">
        <f>_xlfn.XLOOKUP('Data Source 1_customer readings'!A265,'Data Source 1_customer readings'!A265:A2663,'Data Source 1_customer readings'!J265:J2663)</f>
        <v>0</v>
      </c>
    </row>
    <row r="266" spans="1:8" x14ac:dyDescent="0.2">
      <c r="A266" s="2" t="s">
        <v>61</v>
      </c>
      <c r="B266" s="2">
        <v>23</v>
      </c>
      <c r="C266" s="2">
        <v>11</v>
      </c>
      <c r="D266" s="2">
        <v>2021</v>
      </c>
      <c r="E266" s="2">
        <v>115.2</v>
      </c>
      <c r="F266" s="2">
        <v>99.6</v>
      </c>
      <c r="H266" s="1">
        <f>_xlfn.XLOOKUP('Data Source 1_customer readings'!A266,'Data Source 1_customer readings'!A266:A2664,'Data Source 1_customer readings'!J266:J2664)</f>
        <v>0</v>
      </c>
    </row>
    <row r="267" spans="1:8" x14ac:dyDescent="0.2">
      <c r="A267" s="2" t="s">
        <v>84</v>
      </c>
      <c r="B267" s="2">
        <v>20</v>
      </c>
      <c r="C267" s="2">
        <v>2</v>
      </c>
      <c r="D267" s="2">
        <v>2021</v>
      </c>
      <c r="E267" s="2">
        <v>115.08</v>
      </c>
      <c r="F267" s="2">
        <v>97.44</v>
      </c>
      <c r="H267" s="1">
        <f>_xlfn.XLOOKUP('Data Source 1_customer readings'!A267,'Data Source 1_customer readings'!A267:A2665,'Data Source 1_customer readings'!J267:J2665)</f>
        <v>0</v>
      </c>
    </row>
    <row r="268" spans="1:8" x14ac:dyDescent="0.2">
      <c r="A268" s="2" t="s">
        <v>80</v>
      </c>
      <c r="B268" s="2">
        <v>12</v>
      </c>
      <c r="C268" s="2">
        <v>11</v>
      </c>
      <c r="D268" s="2">
        <v>2021</v>
      </c>
      <c r="E268" s="2">
        <v>114.6</v>
      </c>
      <c r="F268" s="2">
        <v>98.4</v>
      </c>
      <c r="H268" s="1">
        <f>_xlfn.XLOOKUP('Data Source 1_customer readings'!A268,'Data Source 1_customer readings'!A268:A2666,'Data Source 1_customer readings'!J268:J2666)</f>
        <v>0</v>
      </c>
    </row>
    <row r="269" spans="1:8" x14ac:dyDescent="0.2">
      <c r="A269" s="2" t="s">
        <v>41</v>
      </c>
      <c r="B269" s="2">
        <v>15</v>
      </c>
      <c r="C269" s="2">
        <v>1</v>
      </c>
      <c r="D269" s="2">
        <v>2021</v>
      </c>
      <c r="E269" s="2">
        <v>114.39</v>
      </c>
      <c r="F269" s="2">
        <v>100.75</v>
      </c>
      <c r="H269" s="1">
        <f>_xlfn.XLOOKUP('Data Source 1_customer readings'!A269,'Data Source 1_customer readings'!A269:A2667,'Data Source 1_customer readings'!J269:J2667)</f>
        <v>0</v>
      </c>
    </row>
    <row r="270" spans="1:8" x14ac:dyDescent="0.2">
      <c r="A270" s="2" t="s">
        <v>69</v>
      </c>
      <c r="B270" s="2">
        <v>12</v>
      </c>
      <c r="C270" s="2">
        <v>12</v>
      </c>
      <c r="D270" s="2">
        <v>2021</v>
      </c>
      <c r="E270" s="2">
        <v>114.39</v>
      </c>
      <c r="F270" s="2">
        <v>96.72</v>
      </c>
      <c r="H270" s="1">
        <f>_xlfn.XLOOKUP('Data Source 1_customer readings'!A270,'Data Source 1_customer readings'!A270:A2668,'Data Source 1_customer readings'!J270:J2668)</f>
        <v>0</v>
      </c>
    </row>
    <row r="271" spans="1:8" x14ac:dyDescent="0.2">
      <c r="A271" s="2" t="s">
        <v>38</v>
      </c>
      <c r="B271" s="2">
        <v>21</v>
      </c>
      <c r="C271" s="2">
        <v>12</v>
      </c>
      <c r="D271" s="2">
        <v>2021</v>
      </c>
      <c r="E271" s="2">
        <v>114.39</v>
      </c>
      <c r="F271" s="2">
        <v>76.569999999999993</v>
      </c>
      <c r="H271" s="1" t="b">
        <f>_xlfn.XLOOKUP('Data Source 1_customer readings'!A271,'Data Source 1_customer readings'!A271:A2669,'Data Source 1_customer readings'!J271:J2669)</f>
        <v>0</v>
      </c>
    </row>
    <row r="272" spans="1:8" x14ac:dyDescent="0.2">
      <c r="A272" s="2" t="s">
        <v>43</v>
      </c>
      <c r="B272" s="2">
        <v>15</v>
      </c>
      <c r="C272" s="2">
        <v>1</v>
      </c>
      <c r="D272" s="2">
        <v>2021</v>
      </c>
      <c r="E272" s="2">
        <v>114.08</v>
      </c>
      <c r="F272" s="2">
        <v>101.99</v>
      </c>
      <c r="H272" s="1">
        <f>_xlfn.XLOOKUP('Data Source 1_customer readings'!A272,'Data Source 1_customer readings'!A272:A2670,'Data Source 1_customer readings'!J272:J2670)</f>
        <v>0</v>
      </c>
    </row>
    <row r="273" spans="1:8" x14ac:dyDescent="0.2">
      <c r="A273" s="2" t="s">
        <v>41</v>
      </c>
      <c r="B273" s="2">
        <v>15</v>
      </c>
      <c r="C273" s="2">
        <v>12</v>
      </c>
      <c r="D273" s="2">
        <v>2021</v>
      </c>
      <c r="E273" s="2">
        <v>113.77</v>
      </c>
      <c r="F273" s="2">
        <v>97.03</v>
      </c>
      <c r="H273" s="1">
        <f>_xlfn.XLOOKUP('Data Source 1_customer readings'!A273,'Data Source 1_customer readings'!A273:A2671,'Data Source 1_customer readings'!J273:J2671)</f>
        <v>0</v>
      </c>
    </row>
    <row r="274" spans="1:8" x14ac:dyDescent="0.2">
      <c r="A274" s="2" t="s">
        <v>80</v>
      </c>
      <c r="B274" s="2">
        <v>12</v>
      </c>
      <c r="C274" s="2">
        <v>1</v>
      </c>
      <c r="D274" s="2">
        <v>2021</v>
      </c>
      <c r="E274" s="2">
        <v>113.77</v>
      </c>
      <c r="F274" s="2">
        <v>79.36</v>
      </c>
      <c r="H274" s="1">
        <f>_xlfn.XLOOKUP('Data Source 1_customer readings'!A274,'Data Source 1_customer readings'!A274:A2672,'Data Source 1_customer readings'!J274:J2672)</f>
        <v>0</v>
      </c>
    </row>
    <row r="275" spans="1:8" x14ac:dyDescent="0.2">
      <c r="A275" s="2" t="s">
        <v>67</v>
      </c>
      <c r="B275" s="2">
        <v>13</v>
      </c>
      <c r="C275" s="2">
        <v>2</v>
      </c>
      <c r="D275" s="2">
        <v>2021</v>
      </c>
      <c r="E275" s="2">
        <v>113.68</v>
      </c>
      <c r="F275" s="2">
        <v>74.760000000000005</v>
      </c>
      <c r="H275" s="1">
        <f>_xlfn.XLOOKUP('Data Source 1_customer readings'!A275,'Data Source 1_customer readings'!A275:A2673,'Data Source 1_customer readings'!J275:J2673)</f>
        <v>0</v>
      </c>
    </row>
    <row r="276" spans="1:8" x14ac:dyDescent="0.2">
      <c r="A276" s="2" t="s">
        <v>64</v>
      </c>
      <c r="B276" s="2">
        <v>21</v>
      </c>
      <c r="C276" s="2">
        <v>1</v>
      </c>
      <c r="D276" s="2">
        <v>2021</v>
      </c>
      <c r="E276" s="2">
        <v>113.46</v>
      </c>
      <c r="F276" s="2">
        <v>94.86</v>
      </c>
      <c r="H276" s="1">
        <f>_xlfn.XLOOKUP('Data Source 1_customer readings'!A276,'Data Source 1_customer readings'!A276:A2674,'Data Source 1_customer readings'!J276:J2674)</f>
        <v>0</v>
      </c>
    </row>
    <row r="277" spans="1:8" x14ac:dyDescent="0.2">
      <c r="A277" s="2" t="s">
        <v>80</v>
      </c>
      <c r="B277" s="2">
        <v>12</v>
      </c>
      <c r="C277" s="2">
        <v>12</v>
      </c>
      <c r="D277" s="2">
        <v>2021</v>
      </c>
      <c r="E277" s="2">
        <v>113.46</v>
      </c>
      <c r="F277" s="2">
        <v>83.08</v>
      </c>
      <c r="H277" s="1">
        <f>_xlfn.XLOOKUP('Data Source 1_customer readings'!A277,'Data Source 1_customer readings'!A277:A2675,'Data Source 1_customer readings'!J277:J2675)</f>
        <v>0</v>
      </c>
    </row>
    <row r="278" spans="1:8" x14ac:dyDescent="0.2">
      <c r="A278" s="2" t="s">
        <v>85</v>
      </c>
      <c r="B278" s="2">
        <v>3</v>
      </c>
      <c r="C278" s="2">
        <v>2</v>
      </c>
      <c r="D278" s="2">
        <v>2021</v>
      </c>
      <c r="E278" s="2">
        <v>113.4</v>
      </c>
      <c r="F278" s="2">
        <v>77.28</v>
      </c>
      <c r="H278" s="1">
        <f>_xlfn.XLOOKUP('Data Source 1_customer readings'!A278,'Data Source 1_customer readings'!A278:A2676,'Data Source 1_customer readings'!J278:J2676)</f>
        <v>0</v>
      </c>
    </row>
    <row r="279" spans="1:8" x14ac:dyDescent="0.2">
      <c r="A279" s="2" t="s">
        <v>68</v>
      </c>
      <c r="B279" s="2">
        <v>11</v>
      </c>
      <c r="C279" s="2">
        <v>12</v>
      </c>
      <c r="D279" s="2">
        <v>2021</v>
      </c>
      <c r="E279" s="2">
        <v>112.84</v>
      </c>
      <c r="F279" s="2">
        <v>98.89</v>
      </c>
      <c r="H279" s="1">
        <f>_xlfn.XLOOKUP('Data Source 1_customer readings'!A279,'Data Source 1_customer readings'!A279:A2677,'Data Source 1_customer readings'!J279:J2677)</f>
        <v>0</v>
      </c>
    </row>
    <row r="280" spans="1:8" x14ac:dyDescent="0.2">
      <c r="A280" s="2" t="s">
        <v>90</v>
      </c>
      <c r="B280" s="2">
        <v>18</v>
      </c>
      <c r="C280" s="2">
        <v>3</v>
      </c>
      <c r="D280" s="2">
        <v>2021</v>
      </c>
      <c r="E280" s="2">
        <v>112.84</v>
      </c>
      <c r="F280" s="2">
        <v>98.27</v>
      </c>
      <c r="H280" s="1">
        <f>_xlfn.XLOOKUP('Data Source 1_customer readings'!A280,'Data Source 1_customer readings'!A280:A2678,'Data Source 1_customer readings'!J280:J2678)</f>
        <v>0</v>
      </c>
    </row>
    <row r="281" spans="1:8" x14ac:dyDescent="0.2">
      <c r="A281" s="2" t="s">
        <v>51</v>
      </c>
      <c r="B281" s="2">
        <v>16</v>
      </c>
      <c r="C281" s="2">
        <v>12</v>
      </c>
      <c r="D281" s="2">
        <v>2021</v>
      </c>
      <c r="E281" s="2">
        <v>112.84</v>
      </c>
      <c r="F281" s="2">
        <v>88.04</v>
      </c>
      <c r="H281" s="1">
        <f>_xlfn.XLOOKUP('Data Source 1_customer readings'!A281,'Data Source 1_customer readings'!A281:A2679,'Data Source 1_customer readings'!J281:J2679)</f>
        <v>0</v>
      </c>
    </row>
    <row r="282" spans="1:8" x14ac:dyDescent="0.2">
      <c r="A282" s="2" t="s">
        <v>64</v>
      </c>
      <c r="B282" s="2">
        <v>21</v>
      </c>
      <c r="C282" s="2">
        <v>12</v>
      </c>
      <c r="D282" s="2">
        <v>2021</v>
      </c>
      <c r="E282" s="2">
        <v>112.53</v>
      </c>
      <c r="F282" s="2">
        <v>98.27</v>
      </c>
      <c r="H282" s="1">
        <f>_xlfn.XLOOKUP('Data Source 1_customer readings'!A282,'Data Source 1_customer readings'!A282:A2680,'Data Source 1_customer readings'!J282:J2680)</f>
        <v>0</v>
      </c>
    </row>
    <row r="283" spans="1:8" x14ac:dyDescent="0.2">
      <c r="A283" s="2" t="s">
        <v>46</v>
      </c>
      <c r="B283" s="2">
        <v>9</v>
      </c>
      <c r="C283" s="2">
        <v>11</v>
      </c>
      <c r="D283" s="2">
        <v>2021</v>
      </c>
      <c r="E283" s="2">
        <v>112.5</v>
      </c>
      <c r="F283" s="2">
        <v>81.900000000000006</v>
      </c>
      <c r="H283" s="1">
        <f>_xlfn.XLOOKUP('Data Source 1_customer readings'!A283,'Data Source 1_customer readings'!A283:A2681,'Data Source 1_customer readings'!J283:J2681)</f>
        <v>0</v>
      </c>
    </row>
    <row r="284" spans="1:8" x14ac:dyDescent="0.2">
      <c r="A284" s="2" t="s">
        <v>41</v>
      </c>
      <c r="B284" s="2">
        <v>15</v>
      </c>
      <c r="C284" s="2">
        <v>11</v>
      </c>
      <c r="D284" s="2">
        <v>2021</v>
      </c>
      <c r="E284" s="2">
        <v>112.2</v>
      </c>
      <c r="F284" s="2">
        <v>81.900000000000006</v>
      </c>
      <c r="H284" s="1">
        <f>_xlfn.XLOOKUP('Data Source 1_customer readings'!A284,'Data Source 1_customer readings'!A284:A2682,'Data Source 1_customer readings'!J284:J2682)</f>
        <v>0</v>
      </c>
    </row>
    <row r="285" spans="1:8" x14ac:dyDescent="0.2">
      <c r="A285" s="2" t="s">
        <v>53</v>
      </c>
      <c r="B285" s="2">
        <v>18</v>
      </c>
      <c r="C285" s="2">
        <v>11</v>
      </c>
      <c r="D285" s="2">
        <v>2021</v>
      </c>
      <c r="E285" s="2">
        <v>111.9</v>
      </c>
      <c r="F285" s="2">
        <v>69.900000000000006</v>
      </c>
      <c r="H285" s="1">
        <f>_xlfn.XLOOKUP('Data Source 1_customer readings'!A285,'Data Source 1_customer readings'!A285:A2683,'Data Source 1_customer readings'!J285:J2683)</f>
        <v>0</v>
      </c>
    </row>
    <row r="286" spans="1:8" x14ac:dyDescent="0.2">
      <c r="A286" s="2" t="s">
        <v>48</v>
      </c>
      <c r="B286" s="2">
        <v>24</v>
      </c>
      <c r="C286" s="2">
        <v>2</v>
      </c>
      <c r="D286" s="2">
        <v>2021</v>
      </c>
      <c r="E286" s="2">
        <v>111.72</v>
      </c>
      <c r="F286" s="2">
        <v>66.08</v>
      </c>
      <c r="H286" s="1" t="b">
        <f>_xlfn.XLOOKUP('Data Source 1_customer readings'!A286,'Data Source 1_customer readings'!A286:A2684,'Data Source 1_customer readings'!J286:J2684)</f>
        <v>0</v>
      </c>
    </row>
    <row r="287" spans="1:8" x14ac:dyDescent="0.2">
      <c r="A287" s="2" t="s">
        <v>50</v>
      </c>
      <c r="B287" s="2">
        <v>24</v>
      </c>
      <c r="C287" s="2">
        <v>11</v>
      </c>
      <c r="D287" s="2">
        <v>2021</v>
      </c>
      <c r="E287" s="2">
        <v>111.6</v>
      </c>
      <c r="F287" s="2">
        <v>61.8</v>
      </c>
      <c r="H287" s="1">
        <f>_xlfn.XLOOKUP('Data Source 1_customer readings'!A287,'Data Source 1_customer readings'!A287:A2685,'Data Source 1_customer readings'!J287:J2685)</f>
        <v>0</v>
      </c>
    </row>
    <row r="288" spans="1:8" x14ac:dyDescent="0.2">
      <c r="A288" s="2" t="s">
        <v>93</v>
      </c>
      <c r="B288" s="2">
        <v>3</v>
      </c>
      <c r="C288" s="2">
        <v>4</v>
      </c>
      <c r="D288" s="2">
        <v>2021</v>
      </c>
      <c r="E288" s="2">
        <v>111.3</v>
      </c>
      <c r="F288" s="2">
        <v>87.9</v>
      </c>
      <c r="H288" s="1">
        <f>_xlfn.XLOOKUP('Data Source 1_customer readings'!A288,'Data Source 1_customer readings'!A288:A2686,'Data Source 1_customer readings'!J288:J2686)</f>
        <v>0</v>
      </c>
    </row>
    <row r="289" spans="1:8" x14ac:dyDescent="0.2">
      <c r="A289" s="2" t="s">
        <v>43</v>
      </c>
      <c r="B289" s="2">
        <v>15</v>
      </c>
      <c r="C289" s="2">
        <v>12</v>
      </c>
      <c r="D289" s="2">
        <v>2021</v>
      </c>
      <c r="E289" s="2">
        <v>111.29</v>
      </c>
      <c r="F289" s="2">
        <v>80.290000000000006</v>
      </c>
      <c r="H289" s="1">
        <f>_xlfn.XLOOKUP('Data Source 1_customer readings'!A289,'Data Source 1_customer readings'!A289:A2687,'Data Source 1_customer readings'!J289:J2687)</f>
        <v>0</v>
      </c>
    </row>
    <row r="290" spans="1:8" x14ac:dyDescent="0.2">
      <c r="A290" s="2" t="s">
        <v>67</v>
      </c>
      <c r="B290" s="2">
        <v>13</v>
      </c>
      <c r="C290" s="2">
        <v>12</v>
      </c>
      <c r="D290" s="2">
        <v>2021</v>
      </c>
      <c r="E290" s="2">
        <v>111.29</v>
      </c>
      <c r="F290" s="2">
        <v>79.36</v>
      </c>
      <c r="H290" s="1">
        <f>_xlfn.XLOOKUP('Data Source 1_customer readings'!A290,'Data Source 1_customer readings'!A290:A2688,'Data Source 1_customer readings'!J290:J2688)</f>
        <v>0</v>
      </c>
    </row>
    <row r="291" spans="1:8" x14ac:dyDescent="0.2">
      <c r="A291" s="2" t="s">
        <v>88</v>
      </c>
      <c r="B291" s="2">
        <v>23</v>
      </c>
      <c r="C291" s="2">
        <v>3</v>
      </c>
      <c r="D291" s="2">
        <v>2021</v>
      </c>
      <c r="E291" s="2">
        <v>110.98</v>
      </c>
      <c r="F291" s="2">
        <v>88.35</v>
      </c>
      <c r="H291" s="1">
        <f>_xlfn.XLOOKUP('Data Source 1_customer readings'!A291,'Data Source 1_customer readings'!A291:A2689,'Data Source 1_customer readings'!J291:J2689)</f>
        <v>0</v>
      </c>
    </row>
    <row r="292" spans="1:8" x14ac:dyDescent="0.2">
      <c r="A292" s="2" t="s">
        <v>44</v>
      </c>
      <c r="B292" s="2">
        <v>1</v>
      </c>
      <c r="C292" s="2">
        <v>12</v>
      </c>
      <c r="D292" s="2">
        <v>2021</v>
      </c>
      <c r="E292" s="2">
        <v>110.98</v>
      </c>
      <c r="F292" s="2">
        <v>84.63</v>
      </c>
      <c r="H292" s="1" t="b">
        <f>_xlfn.XLOOKUP('Data Source 1_customer readings'!A292,'Data Source 1_customer readings'!A292:A2690,'Data Source 1_customer readings'!J292:J2690)</f>
        <v>0</v>
      </c>
    </row>
    <row r="293" spans="1:8" x14ac:dyDescent="0.2">
      <c r="A293" s="2" t="s">
        <v>90</v>
      </c>
      <c r="B293" s="2">
        <v>18</v>
      </c>
      <c r="C293" s="2">
        <v>4</v>
      </c>
      <c r="D293" s="2">
        <v>2021</v>
      </c>
      <c r="E293" s="2">
        <v>110.4</v>
      </c>
      <c r="F293" s="2">
        <v>85.8</v>
      </c>
      <c r="H293" s="1">
        <f>_xlfn.XLOOKUP('Data Source 1_customer readings'!A293,'Data Source 1_customer readings'!A293:A2691,'Data Source 1_customer readings'!J293:J2691)</f>
        <v>0</v>
      </c>
    </row>
    <row r="294" spans="1:8" x14ac:dyDescent="0.2">
      <c r="A294" s="2" t="s">
        <v>88</v>
      </c>
      <c r="B294" s="2">
        <v>23</v>
      </c>
      <c r="C294" s="2">
        <v>10</v>
      </c>
      <c r="D294" s="2">
        <v>2021</v>
      </c>
      <c r="E294" s="2">
        <v>110.36</v>
      </c>
      <c r="F294" s="2">
        <v>101.37</v>
      </c>
      <c r="H294" s="1">
        <f>_xlfn.XLOOKUP('Data Source 1_customer readings'!A294,'Data Source 1_customer readings'!A294:A2692,'Data Source 1_customer readings'!J294:J2692)</f>
        <v>0</v>
      </c>
    </row>
    <row r="295" spans="1:8" x14ac:dyDescent="0.2">
      <c r="A295" s="2" t="s">
        <v>62</v>
      </c>
      <c r="B295" s="2">
        <v>1</v>
      </c>
      <c r="C295" s="2">
        <v>12</v>
      </c>
      <c r="D295" s="2">
        <v>2021</v>
      </c>
      <c r="E295" s="2">
        <v>110.36</v>
      </c>
      <c r="F295" s="2">
        <v>71.61</v>
      </c>
      <c r="H295" s="1" t="b">
        <f>_xlfn.XLOOKUP('Data Source 1_customer readings'!A295,'Data Source 1_customer readings'!A295:A2693,'Data Source 1_customer readings'!J295:J2693)</f>
        <v>0</v>
      </c>
    </row>
    <row r="296" spans="1:8" x14ac:dyDescent="0.2">
      <c r="A296" s="2" t="s">
        <v>73</v>
      </c>
      <c r="B296" s="2">
        <v>5</v>
      </c>
      <c r="C296" s="2">
        <v>2</v>
      </c>
      <c r="D296" s="2">
        <v>2021</v>
      </c>
      <c r="E296" s="2">
        <v>110.32</v>
      </c>
      <c r="F296" s="2">
        <v>80.36</v>
      </c>
      <c r="H296" s="1">
        <f>_xlfn.XLOOKUP('Data Source 1_customer readings'!A296,'Data Source 1_customer readings'!A296:A2694,'Data Source 1_customer readings'!J296:J2694)</f>
        <v>0</v>
      </c>
    </row>
    <row r="297" spans="1:8" x14ac:dyDescent="0.2">
      <c r="A297" s="2" t="s">
        <v>39</v>
      </c>
      <c r="B297" s="2">
        <v>22</v>
      </c>
      <c r="C297" s="2">
        <v>12</v>
      </c>
      <c r="D297" s="2">
        <v>2021</v>
      </c>
      <c r="E297" s="2">
        <v>110.05</v>
      </c>
      <c r="F297" s="2">
        <v>77.81</v>
      </c>
      <c r="H297" s="1">
        <f>_xlfn.XLOOKUP('Data Source 1_customer readings'!A297,'Data Source 1_customer readings'!A297:A2695,'Data Source 1_customer readings'!J297:J2695)</f>
        <v>0</v>
      </c>
    </row>
    <row r="298" spans="1:8" x14ac:dyDescent="0.2">
      <c r="A298" s="2" t="s">
        <v>89</v>
      </c>
      <c r="B298" s="2">
        <v>2</v>
      </c>
      <c r="C298" s="2">
        <v>2</v>
      </c>
      <c r="D298" s="2">
        <v>2021</v>
      </c>
      <c r="E298" s="2">
        <v>110.04</v>
      </c>
      <c r="F298" s="2">
        <v>63</v>
      </c>
      <c r="H298" s="1" t="b">
        <f>_xlfn.XLOOKUP('Data Source 1_customer readings'!A298,'Data Source 1_customer readings'!A298:A2696,'Data Source 1_customer readings'!J298:J2696)</f>
        <v>0</v>
      </c>
    </row>
    <row r="299" spans="1:8" x14ac:dyDescent="0.2">
      <c r="A299" s="2" t="s">
        <v>40</v>
      </c>
      <c r="B299" s="2">
        <v>15</v>
      </c>
      <c r="C299" s="2">
        <v>11</v>
      </c>
      <c r="D299" s="2">
        <v>2021</v>
      </c>
      <c r="E299" s="2">
        <v>109.8</v>
      </c>
      <c r="F299" s="2">
        <v>63.3</v>
      </c>
      <c r="H299" s="1" t="b">
        <f>_xlfn.XLOOKUP('Data Source 1_customer readings'!A299,'Data Source 1_customer readings'!A299:A2697,'Data Source 1_customer readings'!J299:J2697)</f>
        <v>0</v>
      </c>
    </row>
    <row r="300" spans="1:8" x14ac:dyDescent="0.2">
      <c r="A300" s="2" t="s">
        <v>87</v>
      </c>
      <c r="B300" s="2">
        <v>1</v>
      </c>
      <c r="C300" s="2">
        <v>10</v>
      </c>
      <c r="D300" s="2">
        <v>2021</v>
      </c>
      <c r="E300" s="2">
        <v>109.43</v>
      </c>
      <c r="F300" s="2">
        <v>91.14</v>
      </c>
      <c r="H300" s="1">
        <f>_xlfn.XLOOKUP('Data Source 1_customer readings'!A300,'Data Source 1_customer readings'!A300:A2698,'Data Source 1_customer readings'!J300:J2698)</f>
        <v>0</v>
      </c>
    </row>
    <row r="301" spans="1:8" x14ac:dyDescent="0.2">
      <c r="A301" s="2" t="s">
        <v>35</v>
      </c>
      <c r="B301" s="2">
        <v>9</v>
      </c>
      <c r="C301" s="2">
        <v>1</v>
      </c>
      <c r="D301" s="2">
        <v>2021</v>
      </c>
      <c r="E301" s="2">
        <v>109.43</v>
      </c>
      <c r="F301" s="2">
        <v>79.67</v>
      </c>
      <c r="H301" s="1" t="b">
        <f>_xlfn.XLOOKUP('Data Source 1_customer readings'!A301,'Data Source 1_customer readings'!A301:A2699,'Data Source 1_customer readings'!J301:J2699)</f>
        <v>0</v>
      </c>
    </row>
    <row r="302" spans="1:8" x14ac:dyDescent="0.2">
      <c r="A302" s="2" t="s">
        <v>82</v>
      </c>
      <c r="B302" s="2">
        <v>8</v>
      </c>
      <c r="C302" s="2">
        <v>12</v>
      </c>
      <c r="D302" s="2">
        <v>2021</v>
      </c>
      <c r="E302" s="2">
        <v>109.43</v>
      </c>
      <c r="F302" s="2">
        <v>65.72</v>
      </c>
      <c r="H302" s="1">
        <f>_xlfn.XLOOKUP('Data Source 1_customer readings'!A302,'Data Source 1_customer readings'!A302:A2700,'Data Source 1_customer readings'!J302:J2700)</f>
        <v>0</v>
      </c>
    </row>
    <row r="303" spans="1:8" x14ac:dyDescent="0.2">
      <c r="A303" s="2" t="s">
        <v>52</v>
      </c>
      <c r="B303" s="2">
        <v>1</v>
      </c>
      <c r="C303" s="2">
        <v>11</v>
      </c>
      <c r="D303" s="2">
        <v>2021</v>
      </c>
      <c r="E303" s="2">
        <v>109.2</v>
      </c>
      <c r="F303" s="2">
        <v>97.2</v>
      </c>
      <c r="H303" s="1">
        <f>_xlfn.XLOOKUP('Data Source 1_customer readings'!A303,'Data Source 1_customer readings'!A303:A2701,'Data Source 1_customer readings'!J303:J2701)</f>
        <v>0</v>
      </c>
    </row>
    <row r="304" spans="1:8" x14ac:dyDescent="0.2">
      <c r="A304" s="2" t="s">
        <v>42</v>
      </c>
      <c r="B304" s="2">
        <v>12</v>
      </c>
      <c r="C304" s="2">
        <v>11</v>
      </c>
      <c r="D304" s="2">
        <v>2021</v>
      </c>
      <c r="E304" s="2">
        <v>109.2</v>
      </c>
      <c r="F304" s="2">
        <v>71.400000000000006</v>
      </c>
      <c r="H304" s="1">
        <f>_xlfn.XLOOKUP('Data Source 1_customer readings'!A304,'Data Source 1_customer readings'!A304:A2702,'Data Source 1_customer readings'!J304:J2702)</f>
        <v>0</v>
      </c>
    </row>
    <row r="305" spans="1:8" x14ac:dyDescent="0.2">
      <c r="A305" s="2" t="s">
        <v>90</v>
      </c>
      <c r="B305" s="2">
        <v>18</v>
      </c>
      <c r="C305" s="2">
        <v>10</v>
      </c>
      <c r="D305" s="2">
        <v>2021</v>
      </c>
      <c r="E305" s="2">
        <v>109.12</v>
      </c>
      <c r="F305" s="2">
        <v>86.49</v>
      </c>
      <c r="H305" s="1" t="b">
        <f>_xlfn.XLOOKUP('Data Source 1_customer readings'!A305,'Data Source 1_customer readings'!A305:A2703,'Data Source 1_customer readings'!J305:J2703)</f>
        <v>0</v>
      </c>
    </row>
    <row r="306" spans="1:8" x14ac:dyDescent="0.2">
      <c r="A306" s="2" t="s">
        <v>48</v>
      </c>
      <c r="B306" s="2">
        <v>24</v>
      </c>
      <c r="C306" s="2">
        <v>1</v>
      </c>
      <c r="D306" s="2">
        <v>2021</v>
      </c>
      <c r="E306" s="2">
        <v>109.12</v>
      </c>
      <c r="F306" s="2">
        <v>61.69</v>
      </c>
      <c r="H306" s="1">
        <f>_xlfn.XLOOKUP('Data Source 1_customer readings'!A306,'Data Source 1_customer readings'!A306:A2704,'Data Source 1_customer readings'!J306:J2704)</f>
        <v>0</v>
      </c>
    </row>
    <row r="307" spans="1:8" x14ac:dyDescent="0.2">
      <c r="A307" s="2" t="s">
        <v>76</v>
      </c>
      <c r="B307" s="2">
        <v>9</v>
      </c>
      <c r="C307" s="2">
        <v>2</v>
      </c>
      <c r="D307" s="2">
        <v>2021</v>
      </c>
      <c r="E307" s="2">
        <v>108.36</v>
      </c>
      <c r="F307" s="2">
        <v>88.2</v>
      </c>
      <c r="H307" s="1">
        <f>_xlfn.XLOOKUP('Data Source 1_customer readings'!A307,'Data Source 1_customer readings'!A307:A2705,'Data Source 1_customer readings'!J307:J2705)</f>
        <v>0</v>
      </c>
    </row>
    <row r="308" spans="1:8" x14ac:dyDescent="0.2">
      <c r="A308" s="2" t="s">
        <v>54</v>
      </c>
      <c r="B308" s="2">
        <v>5</v>
      </c>
      <c r="C308" s="2">
        <v>11</v>
      </c>
      <c r="D308" s="2">
        <v>2021</v>
      </c>
      <c r="E308" s="2">
        <v>108.3</v>
      </c>
      <c r="F308" s="2">
        <v>90</v>
      </c>
      <c r="H308" s="1">
        <f>_xlfn.XLOOKUP('Data Source 1_customer readings'!A308,'Data Source 1_customer readings'!A308:A2706,'Data Source 1_customer readings'!J308:J2706)</f>
        <v>0</v>
      </c>
    </row>
    <row r="309" spans="1:8" x14ac:dyDescent="0.2">
      <c r="A309" s="2" t="s">
        <v>60</v>
      </c>
      <c r="B309" s="2">
        <v>20</v>
      </c>
      <c r="C309" s="2">
        <v>11</v>
      </c>
      <c r="D309" s="2">
        <v>2021</v>
      </c>
      <c r="E309" s="2">
        <v>108</v>
      </c>
      <c r="F309" s="2">
        <v>85.8</v>
      </c>
      <c r="H309" s="1" t="b">
        <f>_xlfn.XLOOKUP('Data Source 1_customer readings'!A309,'Data Source 1_customer readings'!A309:A2707,'Data Source 1_customer readings'!J309:J2707)</f>
        <v>0</v>
      </c>
    </row>
    <row r="310" spans="1:8" x14ac:dyDescent="0.2">
      <c r="A310" s="2" t="s">
        <v>56</v>
      </c>
      <c r="B310" s="2">
        <v>14</v>
      </c>
      <c r="C310" s="2">
        <v>11</v>
      </c>
      <c r="D310" s="2">
        <v>2021</v>
      </c>
      <c r="E310" s="2">
        <v>108</v>
      </c>
      <c r="F310" s="2">
        <v>84.6</v>
      </c>
      <c r="H310" s="1">
        <f>_xlfn.XLOOKUP('Data Source 1_customer readings'!A310,'Data Source 1_customer readings'!A310:A2708,'Data Source 1_customer readings'!J310:J2708)</f>
        <v>0</v>
      </c>
    </row>
    <row r="311" spans="1:8" x14ac:dyDescent="0.2">
      <c r="A311" s="2" t="s">
        <v>52</v>
      </c>
      <c r="B311" s="2">
        <v>1</v>
      </c>
      <c r="C311" s="2">
        <v>2</v>
      </c>
      <c r="D311" s="2">
        <v>2021</v>
      </c>
      <c r="E311" s="2">
        <v>107.8</v>
      </c>
      <c r="F311" s="2">
        <v>77.56</v>
      </c>
      <c r="H311" s="1">
        <f>_xlfn.XLOOKUP('Data Source 1_customer readings'!A311,'Data Source 1_customer readings'!A311:A2709,'Data Source 1_customer readings'!J311:J2709)</f>
        <v>0</v>
      </c>
    </row>
    <row r="312" spans="1:8" x14ac:dyDescent="0.2">
      <c r="A312" s="2" t="s">
        <v>53</v>
      </c>
      <c r="B312" s="2">
        <v>18</v>
      </c>
      <c r="C312" s="2">
        <v>2</v>
      </c>
      <c r="D312" s="2">
        <v>2021</v>
      </c>
      <c r="E312" s="2">
        <v>107.52</v>
      </c>
      <c r="F312" s="2">
        <v>78.680000000000007</v>
      </c>
      <c r="H312" s="1">
        <f>_xlfn.XLOOKUP('Data Source 1_customer readings'!A312,'Data Source 1_customer readings'!A312:A2710,'Data Source 1_customer readings'!J312:J2710)</f>
        <v>0</v>
      </c>
    </row>
    <row r="313" spans="1:8" x14ac:dyDescent="0.2">
      <c r="A313" s="2" t="s">
        <v>48</v>
      </c>
      <c r="B313" s="2">
        <v>24</v>
      </c>
      <c r="C313" s="2">
        <v>11</v>
      </c>
      <c r="D313" s="2">
        <v>2021</v>
      </c>
      <c r="E313" s="2">
        <v>107.4</v>
      </c>
      <c r="F313" s="2">
        <v>75.900000000000006</v>
      </c>
      <c r="H313" s="1">
        <f>_xlfn.XLOOKUP('Data Source 1_customer readings'!A313,'Data Source 1_customer readings'!A313:A2711,'Data Source 1_customer readings'!J313:J2711)</f>
        <v>0</v>
      </c>
    </row>
    <row r="314" spans="1:8" x14ac:dyDescent="0.2">
      <c r="A314" s="2" t="s">
        <v>46</v>
      </c>
      <c r="B314" s="2">
        <v>9</v>
      </c>
      <c r="C314" s="2">
        <v>1</v>
      </c>
      <c r="D314" s="2">
        <v>2021</v>
      </c>
      <c r="E314" s="2">
        <v>107.26</v>
      </c>
      <c r="F314" s="2">
        <v>77.5</v>
      </c>
      <c r="H314" s="1">
        <f>_xlfn.XLOOKUP('Data Source 1_customer readings'!A314,'Data Source 1_customer readings'!A314:A2712,'Data Source 1_customer readings'!J314:J2712)</f>
        <v>0</v>
      </c>
    </row>
    <row r="315" spans="1:8" x14ac:dyDescent="0.2">
      <c r="A315" s="2" t="s">
        <v>75</v>
      </c>
      <c r="B315" s="2">
        <v>2</v>
      </c>
      <c r="C315" s="2">
        <v>1</v>
      </c>
      <c r="D315" s="2">
        <v>2021</v>
      </c>
      <c r="E315" s="2">
        <v>106.95</v>
      </c>
      <c r="F315" s="2">
        <v>92.69</v>
      </c>
      <c r="H315" s="1">
        <f>_xlfn.XLOOKUP('Data Source 1_customer readings'!A315,'Data Source 1_customer readings'!A315:A2713,'Data Source 1_customer readings'!J315:J2713)</f>
        <v>0</v>
      </c>
    </row>
    <row r="316" spans="1:8" x14ac:dyDescent="0.2">
      <c r="A316" s="2" t="s">
        <v>87</v>
      </c>
      <c r="B316" s="2">
        <v>1</v>
      </c>
      <c r="C316" s="2">
        <v>3</v>
      </c>
      <c r="D316" s="2">
        <v>2021</v>
      </c>
      <c r="E316" s="2">
        <v>106.95</v>
      </c>
      <c r="F316" s="2">
        <v>78.12</v>
      </c>
      <c r="H316" s="1">
        <f>_xlfn.XLOOKUP('Data Source 1_customer readings'!A316,'Data Source 1_customer readings'!A316:A2714,'Data Source 1_customer readings'!J316:J2714)</f>
        <v>0</v>
      </c>
    </row>
    <row r="317" spans="1:8" x14ac:dyDescent="0.2">
      <c r="A317" s="2" t="s">
        <v>92</v>
      </c>
      <c r="B317" s="2">
        <v>7</v>
      </c>
      <c r="C317" s="2">
        <v>3</v>
      </c>
      <c r="D317" s="2">
        <v>2021</v>
      </c>
      <c r="E317" s="2">
        <v>106.64</v>
      </c>
      <c r="F317" s="2">
        <v>93</v>
      </c>
      <c r="H317" s="1">
        <f>_xlfn.XLOOKUP('Data Source 1_customer readings'!A317,'Data Source 1_customer readings'!A317:A2715,'Data Source 1_customer readings'!J317:J2715)</f>
        <v>0</v>
      </c>
    </row>
    <row r="318" spans="1:8" x14ac:dyDescent="0.2">
      <c r="A318" s="2" t="s">
        <v>51</v>
      </c>
      <c r="B318" s="2">
        <v>16</v>
      </c>
      <c r="C318" s="2">
        <v>11</v>
      </c>
      <c r="D318" s="2">
        <v>2021</v>
      </c>
      <c r="E318" s="2">
        <v>106.5</v>
      </c>
      <c r="F318" s="2">
        <v>71.400000000000006</v>
      </c>
      <c r="H318" s="1">
        <f>_xlfn.XLOOKUP('Data Source 1_customer readings'!A318,'Data Source 1_customer readings'!A318:A2716,'Data Source 1_customer readings'!J318:J2716)</f>
        <v>0</v>
      </c>
    </row>
    <row r="319" spans="1:8" x14ac:dyDescent="0.2">
      <c r="A319" s="2" t="s">
        <v>59</v>
      </c>
      <c r="B319" s="2">
        <v>11</v>
      </c>
      <c r="C319" s="2">
        <v>2</v>
      </c>
      <c r="D319" s="2">
        <v>2021</v>
      </c>
      <c r="E319" s="2">
        <v>106.4</v>
      </c>
      <c r="F319" s="2">
        <v>74.760000000000005</v>
      </c>
      <c r="H319" s="1">
        <f>_xlfn.XLOOKUP('Data Source 1_customer readings'!A319,'Data Source 1_customer readings'!A319:A2717,'Data Source 1_customer readings'!J319:J2717)</f>
        <v>0</v>
      </c>
    </row>
    <row r="320" spans="1:8" x14ac:dyDescent="0.2">
      <c r="A320" s="2" t="s">
        <v>50</v>
      </c>
      <c r="B320" s="2">
        <v>24</v>
      </c>
      <c r="C320" s="2">
        <v>1</v>
      </c>
      <c r="D320" s="2">
        <v>2021</v>
      </c>
      <c r="E320" s="2">
        <v>106.33</v>
      </c>
      <c r="F320" s="2">
        <v>70.06</v>
      </c>
      <c r="H320" s="1">
        <f>_xlfn.XLOOKUP('Data Source 1_customer readings'!A320,'Data Source 1_customer readings'!A320:A2718,'Data Source 1_customer readings'!J320:J2718)</f>
        <v>0</v>
      </c>
    </row>
    <row r="321" spans="1:8" x14ac:dyDescent="0.2">
      <c r="A321" s="2" t="s">
        <v>80</v>
      </c>
      <c r="B321" s="2">
        <v>12</v>
      </c>
      <c r="C321" s="2">
        <v>2</v>
      </c>
      <c r="D321" s="2">
        <v>2021</v>
      </c>
      <c r="E321" s="2">
        <v>106.12</v>
      </c>
      <c r="F321" s="2">
        <v>77</v>
      </c>
      <c r="H321" s="1">
        <f>_xlfn.XLOOKUP('Data Source 1_customer readings'!A321,'Data Source 1_customer readings'!A321:A2719,'Data Source 1_customer readings'!J321:J2719)</f>
        <v>0</v>
      </c>
    </row>
    <row r="322" spans="1:8" x14ac:dyDescent="0.2">
      <c r="A322" s="2" t="s">
        <v>49</v>
      </c>
      <c r="B322" s="2">
        <v>3</v>
      </c>
      <c r="C322" s="2">
        <v>12</v>
      </c>
      <c r="D322" s="2">
        <v>2021</v>
      </c>
      <c r="E322" s="2">
        <v>106.02</v>
      </c>
      <c r="F322" s="2">
        <v>67.58</v>
      </c>
      <c r="H322" s="1">
        <f>_xlfn.XLOOKUP('Data Source 1_customer readings'!A322,'Data Source 1_customer readings'!A322:A2720,'Data Source 1_customer readings'!J322:J2720)</f>
        <v>0</v>
      </c>
    </row>
    <row r="323" spans="1:8" x14ac:dyDescent="0.2">
      <c r="A323" s="2" t="s">
        <v>58</v>
      </c>
      <c r="B323" s="2">
        <v>16</v>
      </c>
      <c r="C323" s="2">
        <v>1</v>
      </c>
      <c r="D323" s="2">
        <v>2021</v>
      </c>
      <c r="E323" s="2">
        <v>106.02</v>
      </c>
      <c r="F323" s="2">
        <v>65.41</v>
      </c>
      <c r="H323" s="1">
        <f>_xlfn.XLOOKUP('Data Source 1_customer readings'!A323,'Data Source 1_customer readings'!A323:A2721,'Data Source 1_customer readings'!J323:J2721)</f>
        <v>0</v>
      </c>
    </row>
    <row r="324" spans="1:8" x14ac:dyDescent="0.2">
      <c r="A324" s="2" t="s">
        <v>42</v>
      </c>
      <c r="B324" s="2">
        <v>12</v>
      </c>
      <c r="C324" s="2">
        <v>2</v>
      </c>
      <c r="D324" s="2">
        <v>2021</v>
      </c>
      <c r="E324" s="2">
        <v>105.84</v>
      </c>
      <c r="F324" s="2">
        <v>70.56</v>
      </c>
      <c r="H324" s="1">
        <f>_xlfn.XLOOKUP('Data Source 1_customer readings'!A324,'Data Source 1_customer readings'!A324:A2722,'Data Source 1_customer readings'!J324:J2722)</f>
        <v>0</v>
      </c>
    </row>
    <row r="325" spans="1:8" x14ac:dyDescent="0.2">
      <c r="A325" s="2" t="s">
        <v>62</v>
      </c>
      <c r="B325" s="2">
        <v>1</v>
      </c>
      <c r="C325" s="2">
        <v>2</v>
      </c>
      <c r="D325" s="2">
        <v>2021</v>
      </c>
      <c r="E325" s="2">
        <v>105.56</v>
      </c>
      <c r="F325" s="2">
        <v>73.64</v>
      </c>
      <c r="H325" s="1">
        <f>_xlfn.XLOOKUP('Data Source 1_customer readings'!A325,'Data Source 1_customer readings'!A325:A2723,'Data Source 1_customer readings'!J325:J2723)</f>
        <v>0</v>
      </c>
    </row>
    <row r="326" spans="1:8" x14ac:dyDescent="0.2">
      <c r="A326" s="2" t="s">
        <v>76</v>
      </c>
      <c r="B326" s="2">
        <v>9</v>
      </c>
      <c r="C326" s="2">
        <v>12</v>
      </c>
      <c r="D326" s="2">
        <v>2021</v>
      </c>
      <c r="E326" s="2">
        <v>105.4</v>
      </c>
      <c r="F326" s="2">
        <v>90.21</v>
      </c>
      <c r="H326" s="1">
        <f>_xlfn.XLOOKUP('Data Source 1_customer readings'!A326,'Data Source 1_customer readings'!A326:A2724,'Data Source 1_customer readings'!J326:J2724)</f>
        <v>0</v>
      </c>
    </row>
    <row r="327" spans="1:8" x14ac:dyDescent="0.2">
      <c r="A327" s="2" t="s">
        <v>40</v>
      </c>
      <c r="B327" s="2">
        <v>15</v>
      </c>
      <c r="C327" s="2">
        <v>1</v>
      </c>
      <c r="D327" s="2">
        <v>2021</v>
      </c>
      <c r="E327" s="2">
        <v>105.4</v>
      </c>
      <c r="F327" s="2">
        <v>80.91</v>
      </c>
      <c r="H327" s="1" t="b">
        <f>_xlfn.XLOOKUP('Data Source 1_customer readings'!A327,'Data Source 1_customer readings'!A327:A2725,'Data Source 1_customer readings'!J327:J2725)</f>
        <v>1</v>
      </c>
    </row>
    <row r="328" spans="1:8" x14ac:dyDescent="0.2">
      <c r="A328" s="2" t="s">
        <v>43</v>
      </c>
      <c r="B328" s="2">
        <v>15</v>
      </c>
      <c r="C328" s="2">
        <v>2</v>
      </c>
      <c r="D328" s="2">
        <v>2021</v>
      </c>
      <c r="E328" s="2">
        <v>105</v>
      </c>
      <c r="F328" s="2">
        <v>84</v>
      </c>
      <c r="H328" s="1">
        <f>_xlfn.XLOOKUP('Data Source 1_customer readings'!A328,'Data Source 1_customer readings'!A328:A2726,'Data Source 1_customer readings'!J328:J2726)</f>
        <v>0</v>
      </c>
    </row>
    <row r="329" spans="1:8" x14ac:dyDescent="0.2">
      <c r="A329" s="2" t="s">
        <v>60</v>
      </c>
      <c r="B329" s="2">
        <v>20</v>
      </c>
      <c r="C329" s="2">
        <v>1</v>
      </c>
      <c r="D329" s="2">
        <v>2021</v>
      </c>
      <c r="E329" s="2">
        <v>104.78</v>
      </c>
      <c r="F329" s="2">
        <v>81.84</v>
      </c>
      <c r="H329" s="1">
        <f>_xlfn.XLOOKUP('Data Source 1_customer readings'!A329,'Data Source 1_customer readings'!A329:A2727,'Data Source 1_customer readings'!J329:J2727)</f>
        <v>0</v>
      </c>
    </row>
    <row r="330" spans="1:8" x14ac:dyDescent="0.2">
      <c r="A330" s="2" t="s">
        <v>44</v>
      </c>
      <c r="B330" s="2">
        <v>1</v>
      </c>
      <c r="C330" s="2">
        <v>11</v>
      </c>
      <c r="D330" s="2">
        <v>2021</v>
      </c>
      <c r="E330" s="2">
        <v>104.7</v>
      </c>
      <c r="F330" s="2">
        <v>94.8</v>
      </c>
      <c r="H330" s="1">
        <f>_xlfn.XLOOKUP('Data Source 1_customer readings'!A330,'Data Source 1_customer readings'!A330:A2728,'Data Source 1_customer readings'!J330:J2728)</f>
        <v>0</v>
      </c>
    </row>
    <row r="331" spans="1:8" x14ac:dyDescent="0.2">
      <c r="A331" s="2" t="s">
        <v>47</v>
      </c>
      <c r="B331" s="2">
        <v>19</v>
      </c>
      <c r="C331" s="2">
        <v>1</v>
      </c>
      <c r="D331" s="2">
        <v>2021</v>
      </c>
      <c r="E331" s="2">
        <v>104.47</v>
      </c>
      <c r="F331" s="2">
        <v>81.84</v>
      </c>
      <c r="H331" s="1" t="b">
        <f>_xlfn.XLOOKUP('Data Source 1_customer readings'!A331,'Data Source 1_customer readings'!A331:A2729,'Data Source 1_customer readings'!J331:J2729)</f>
        <v>1</v>
      </c>
    </row>
    <row r="332" spans="1:8" x14ac:dyDescent="0.2">
      <c r="A332" s="2" t="s">
        <v>83</v>
      </c>
      <c r="B332" s="2">
        <v>25</v>
      </c>
      <c r="C332" s="2">
        <v>3</v>
      </c>
      <c r="D332" s="2">
        <v>2021</v>
      </c>
      <c r="E332" s="2">
        <v>104.16</v>
      </c>
      <c r="F332" s="2">
        <v>110.67</v>
      </c>
      <c r="H332" s="1">
        <f>_xlfn.XLOOKUP('Data Source 1_customer readings'!A332,'Data Source 1_customer readings'!A332:A2730,'Data Source 1_customer readings'!J332:J2730)</f>
        <v>0</v>
      </c>
    </row>
    <row r="333" spans="1:8" x14ac:dyDescent="0.2">
      <c r="A333" s="2" t="s">
        <v>83</v>
      </c>
      <c r="B333" s="2">
        <v>25</v>
      </c>
      <c r="C333" s="2">
        <v>10</v>
      </c>
      <c r="D333" s="2">
        <v>2021</v>
      </c>
      <c r="E333" s="2">
        <v>104.16</v>
      </c>
      <c r="F333" s="2">
        <v>98.89</v>
      </c>
      <c r="H333" s="1">
        <f>_xlfn.XLOOKUP('Data Source 1_customer readings'!A333,'Data Source 1_customer readings'!A333:A2731,'Data Source 1_customer readings'!J333:J2731)</f>
        <v>0</v>
      </c>
    </row>
    <row r="334" spans="1:8" x14ac:dyDescent="0.2">
      <c r="A334" s="2" t="s">
        <v>45</v>
      </c>
      <c r="B334" s="2">
        <v>18</v>
      </c>
      <c r="C334" s="2">
        <v>2</v>
      </c>
      <c r="D334" s="2">
        <v>2021</v>
      </c>
      <c r="E334" s="2">
        <v>103.6</v>
      </c>
      <c r="F334" s="2">
        <v>71.680000000000007</v>
      </c>
      <c r="H334" s="1">
        <f>_xlfn.XLOOKUP('Data Source 1_customer readings'!A334,'Data Source 1_customer readings'!A334:A2732,'Data Source 1_customer readings'!J334:J2732)</f>
        <v>0</v>
      </c>
    </row>
    <row r="335" spans="1:8" x14ac:dyDescent="0.2">
      <c r="A335" s="2" t="s">
        <v>82</v>
      </c>
      <c r="B335" s="2">
        <v>8</v>
      </c>
      <c r="C335" s="2">
        <v>11</v>
      </c>
      <c r="D335" s="2">
        <v>2021</v>
      </c>
      <c r="E335" s="2">
        <v>103.5</v>
      </c>
      <c r="F335" s="2">
        <v>73.8</v>
      </c>
      <c r="H335" s="1">
        <f>_xlfn.XLOOKUP('Data Source 1_customer readings'!A335,'Data Source 1_customer readings'!A335:A2733,'Data Source 1_customer readings'!J335:J2733)</f>
        <v>0</v>
      </c>
    </row>
    <row r="336" spans="1:8" x14ac:dyDescent="0.2">
      <c r="A336" s="2" t="s">
        <v>93</v>
      </c>
      <c r="B336" s="2">
        <v>3</v>
      </c>
      <c r="C336" s="2">
        <v>3</v>
      </c>
      <c r="D336" s="2">
        <v>2021</v>
      </c>
      <c r="E336" s="2">
        <v>103.23</v>
      </c>
      <c r="F336" s="2">
        <v>91.76</v>
      </c>
      <c r="H336" s="1">
        <f>_xlfn.XLOOKUP('Data Source 1_customer readings'!A336,'Data Source 1_customer readings'!A336:A2734,'Data Source 1_customer readings'!J336:J2734)</f>
        <v>0</v>
      </c>
    </row>
    <row r="337" spans="1:8" x14ac:dyDescent="0.2">
      <c r="A337" s="2" t="s">
        <v>53</v>
      </c>
      <c r="B337" s="2">
        <v>18</v>
      </c>
      <c r="C337" s="2">
        <v>1</v>
      </c>
      <c r="D337" s="2">
        <v>2021</v>
      </c>
      <c r="E337" s="2">
        <v>103.23</v>
      </c>
      <c r="F337" s="2">
        <v>72.849999999999994</v>
      </c>
      <c r="H337" s="1">
        <f>_xlfn.XLOOKUP('Data Source 1_customer readings'!A337,'Data Source 1_customer readings'!A337:A2735,'Data Source 1_customer readings'!J337:J2735)</f>
        <v>0</v>
      </c>
    </row>
    <row r="338" spans="1:8" x14ac:dyDescent="0.2">
      <c r="A338" s="2" t="s">
        <v>64</v>
      </c>
      <c r="B338" s="2">
        <v>21</v>
      </c>
      <c r="C338" s="2">
        <v>11</v>
      </c>
      <c r="D338" s="2">
        <v>2021</v>
      </c>
      <c r="E338" s="2">
        <v>102.9</v>
      </c>
      <c r="F338" s="2">
        <v>79.2</v>
      </c>
      <c r="H338" s="1">
        <f>_xlfn.XLOOKUP('Data Source 1_customer readings'!A338,'Data Source 1_customer readings'!A338:A2736,'Data Source 1_customer readings'!J338:J2736)</f>
        <v>0</v>
      </c>
    </row>
    <row r="339" spans="1:8" x14ac:dyDescent="0.2">
      <c r="A339" s="2" t="s">
        <v>79</v>
      </c>
      <c r="B339" s="2">
        <v>3</v>
      </c>
      <c r="C339" s="2">
        <v>3</v>
      </c>
      <c r="D339" s="2">
        <v>2021</v>
      </c>
      <c r="E339" s="2">
        <v>102.61</v>
      </c>
      <c r="F339" s="2">
        <v>121.52</v>
      </c>
      <c r="H339" s="1">
        <f>_xlfn.XLOOKUP('Data Source 1_customer readings'!A339,'Data Source 1_customer readings'!A339:A2737,'Data Source 1_customer readings'!J339:J2737)</f>
        <v>0</v>
      </c>
    </row>
    <row r="340" spans="1:8" x14ac:dyDescent="0.2">
      <c r="A340" s="2" t="s">
        <v>63</v>
      </c>
      <c r="B340" s="2">
        <v>25</v>
      </c>
      <c r="C340" s="2">
        <v>2</v>
      </c>
      <c r="D340" s="2">
        <v>2021</v>
      </c>
      <c r="E340" s="2">
        <v>102.48</v>
      </c>
      <c r="F340" s="2">
        <v>89.32</v>
      </c>
      <c r="H340" s="1">
        <f>_xlfn.XLOOKUP('Data Source 1_customer readings'!A340,'Data Source 1_customer readings'!A340:A2738,'Data Source 1_customer readings'!J340:J2738)</f>
        <v>0</v>
      </c>
    </row>
    <row r="341" spans="1:8" x14ac:dyDescent="0.2">
      <c r="A341" s="2" t="s">
        <v>46</v>
      </c>
      <c r="B341" s="2">
        <v>9</v>
      </c>
      <c r="C341" s="2">
        <v>12</v>
      </c>
      <c r="D341" s="2">
        <v>2021</v>
      </c>
      <c r="E341" s="2">
        <v>102.3</v>
      </c>
      <c r="F341" s="2">
        <v>86.49</v>
      </c>
      <c r="H341" s="1" t="b">
        <f>_xlfn.XLOOKUP('Data Source 1_customer readings'!A341,'Data Source 1_customer readings'!A341:A2739,'Data Source 1_customer readings'!J341:J2739)</f>
        <v>0</v>
      </c>
    </row>
    <row r="342" spans="1:8" x14ac:dyDescent="0.2">
      <c r="A342" s="2" t="s">
        <v>67</v>
      </c>
      <c r="B342" s="2">
        <v>13</v>
      </c>
      <c r="C342" s="2">
        <v>1</v>
      </c>
      <c r="D342" s="2">
        <v>2021</v>
      </c>
      <c r="E342" s="2">
        <v>102.3</v>
      </c>
      <c r="F342" s="2">
        <v>85.87</v>
      </c>
      <c r="H342" s="1">
        <f>_xlfn.XLOOKUP('Data Source 1_customer readings'!A342,'Data Source 1_customer readings'!A342:A2740,'Data Source 1_customer readings'!J342:J2740)</f>
        <v>0</v>
      </c>
    </row>
    <row r="343" spans="1:8" x14ac:dyDescent="0.2">
      <c r="A343" s="2" t="s">
        <v>33</v>
      </c>
      <c r="B343" s="2">
        <v>21</v>
      </c>
      <c r="C343" s="2">
        <v>1</v>
      </c>
      <c r="D343" s="2">
        <v>2021</v>
      </c>
      <c r="E343" s="2">
        <v>102.3</v>
      </c>
      <c r="F343" s="2">
        <v>82.46</v>
      </c>
      <c r="H343" s="1">
        <f>_xlfn.XLOOKUP('Data Source 1_customer readings'!A343,'Data Source 1_customer readings'!A343:A2741,'Data Source 1_customer readings'!J343:J2741)</f>
        <v>0</v>
      </c>
    </row>
    <row r="344" spans="1:8" x14ac:dyDescent="0.2">
      <c r="A344" s="2" t="s">
        <v>85</v>
      </c>
      <c r="B344" s="2">
        <v>3</v>
      </c>
      <c r="C344" s="2">
        <v>10</v>
      </c>
      <c r="D344" s="2">
        <v>2021</v>
      </c>
      <c r="E344" s="2">
        <v>102.3</v>
      </c>
      <c r="F344" s="2">
        <v>81.22</v>
      </c>
      <c r="H344" s="1">
        <f>_xlfn.XLOOKUP('Data Source 1_customer readings'!A344,'Data Source 1_customer readings'!A344:A2742,'Data Source 1_customer readings'!J344:J2742)</f>
        <v>0</v>
      </c>
    </row>
    <row r="345" spans="1:8" x14ac:dyDescent="0.2">
      <c r="A345" s="2" t="s">
        <v>62</v>
      </c>
      <c r="B345" s="2">
        <v>1</v>
      </c>
      <c r="C345" s="2">
        <v>11</v>
      </c>
      <c r="D345" s="2">
        <v>2021</v>
      </c>
      <c r="E345" s="2">
        <v>102.3</v>
      </c>
      <c r="F345" s="2">
        <v>62.1</v>
      </c>
      <c r="H345" s="1">
        <f>_xlfn.XLOOKUP('Data Source 1_customer readings'!A345,'Data Source 1_customer readings'!A345:A2743,'Data Source 1_customer readings'!J345:J2743)</f>
        <v>0</v>
      </c>
    </row>
    <row r="346" spans="1:8" x14ac:dyDescent="0.2">
      <c r="A346" s="2" t="s">
        <v>75</v>
      </c>
      <c r="B346" s="2">
        <v>2</v>
      </c>
      <c r="C346" s="2">
        <v>2</v>
      </c>
      <c r="D346" s="2">
        <v>2021</v>
      </c>
      <c r="E346" s="2">
        <v>102.2</v>
      </c>
      <c r="F346" s="2">
        <v>78.400000000000006</v>
      </c>
      <c r="H346" s="1">
        <f>_xlfn.XLOOKUP('Data Source 1_customer readings'!A346,'Data Source 1_customer readings'!A346:A2744,'Data Source 1_customer readings'!J346:J2744)</f>
        <v>0</v>
      </c>
    </row>
    <row r="347" spans="1:8" x14ac:dyDescent="0.2">
      <c r="A347" s="2" t="s">
        <v>51</v>
      </c>
      <c r="B347" s="2">
        <v>16</v>
      </c>
      <c r="C347" s="2">
        <v>2</v>
      </c>
      <c r="D347" s="2">
        <v>2021</v>
      </c>
      <c r="E347" s="2">
        <v>101.64</v>
      </c>
      <c r="F347" s="2">
        <v>62.72</v>
      </c>
      <c r="H347" s="1">
        <f>_xlfn.XLOOKUP('Data Source 1_customer readings'!A347,'Data Source 1_customer readings'!A347:A2745,'Data Source 1_customer readings'!J347:J2745)</f>
        <v>0</v>
      </c>
    </row>
    <row r="348" spans="1:8" x14ac:dyDescent="0.2">
      <c r="A348" s="2" t="s">
        <v>35</v>
      </c>
      <c r="B348" s="2">
        <v>9</v>
      </c>
      <c r="C348" s="2">
        <v>2</v>
      </c>
      <c r="D348" s="2">
        <v>2021</v>
      </c>
      <c r="E348" s="2">
        <v>101.08</v>
      </c>
      <c r="F348" s="2">
        <v>74.2</v>
      </c>
      <c r="H348" s="1">
        <f>_xlfn.XLOOKUP('Data Source 1_customer readings'!A348,'Data Source 1_customer readings'!A348:A2746,'Data Source 1_customer readings'!J348:J2746)</f>
        <v>0</v>
      </c>
    </row>
    <row r="349" spans="1:8" x14ac:dyDescent="0.2">
      <c r="A349" s="2" t="s">
        <v>52</v>
      </c>
      <c r="B349" s="2">
        <v>1</v>
      </c>
      <c r="C349" s="2">
        <v>1</v>
      </c>
      <c r="D349" s="2">
        <v>2021</v>
      </c>
      <c r="E349" s="2">
        <v>100.75</v>
      </c>
      <c r="F349" s="2">
        <v>89.59</v>
      </c>
      <c r="H349" s="1">
        <f>_xlfn.XLOOKUP('Data Source 1_customer readings'!A349,'Data Source 1_customer readings'!A349:A2747,'Data Source 1_customer readings'!J349:J2747)</f>
        <v>0</v>
      </c>
    </row>
    <row r="350" spans="1:8" x14ac:dyDescent="0.2">
      <c r="A350" s="2" t="s">
        <v>85</v>
      </c>
      <c r="B350" s="2">
        <v>3</v>
      </c>
      <c r="C350" s="2">
        <v>3</v>
      </c>
      <c r="D350" s="2">
        <v>2021</v>
      </c>
      <c r="E350" s="2">
        <v>100.75</v>
      </c>
      <c r="F350" s="2">
        <v>74.400000000000006</v>
      </c>
      <c r="H350" s="1">
        <f>_xlfn.XLOOKUP('Data Source 1_customer readings'!A350,'Data Source 1_customer readings'!A350:A2748,'Data Source 1_customer readings'!J350:J2748)</f>
        <v>0</v>
      </c>
    </row>
    <row r="351" spans="1:8" x14ac:dyDescent="0.2">
      <c r="A351" s="2" t="s">
        <v>79</v>
      </c>
      <c r="B351" s="2">
        <v>3</v>
      </c>
      <c r="C351" s="2">
        <v>4</v>
      </c>
      <c r="D351" s="2">
        <v>2021</v>
      </c>
      <c r="E351" s="2">
        <v>100.5</v>
      </c>
      <c r="F351" s="2">
        <v>120.6</v>
      </c>
      <c r="H351" s="1">
        <f>_xlfn.XLOOKUP('Data Source 1_customer readings'!A351,'Data Source 1_customer readings'!A351:A2749,'Data Source 1_customer readings'!J351:J2749)</f>
        <v>0</v>
      </c>
    </row>
    <row r="352" spans="1:8" x14ac:dyDescent="0.2">
      <c r="A352" s="2" t="s">
        <v>73</v>
      </c>
      <c r="B352" s="2">
        <v>5</v>
      </c>
      <c r="C352" s="2">
        <v>12</v>
      </c>
      <c r="D352" s="2">
        <v>2021</v>
      </c>
      <c r="E352" s="2">
        <v>100.44</v>
      </c>
      <c r="F352" s="2">
        <v>96.1</v>
      </c>
      <c r="H352" s="1">
        <f>_xlfn.XLOOKUP('Data Source 1_customer readings'!A352,'Data Source 1_customer readings'!A352:A2750,'Data Source 1_customer readings'!J352:J2750)</f>
        <v>0</v>
      </c>
    </row>
    <row r="353" spans="1:8" x14ac:dyDescent="0.2">
      <c r="A353" s="2" t="s">
        <v>91</v>
      </c>
      <c r="B353" s="2">
        <v>5</v>
      </c>
      <c r="C353" s="2">
        <v>3</v>
      </c>
      <c r="D353" s="2">
        <v>2021</v>
      </c>
      <c r="E353" s="2">
        <v>100.44</v>
      </c>
      <c r="F353" s="2">
        <v>85.87</v>
      </c>
      <c r="H353" s="1">
        <f>_xlfn.XLOOKUP('Data Source 1_customer readings'!A353,'Data Source 1_customer readings'!A353:A2751,'Data Source 1_customer readings'!J353:J2751)</f>
        <v>0</v>
      </c>
    </row>
    <row r="354" spans="1:8" x14ac:dyDescent="0.2">
      <c r="A354" s="2" t="s">
        <v>34</v>
      </c>
      <c r="B354" s="2">
        <v>4</v>
      </c>
      <c r="C354" s="2">
        <v>11</v>
      </c>
      <c r="D354" s="2">
        <v>2021</v>
      </c>
      <c r="E354" s="2">
        <v>100.2</v>
      </c>
      <c r="F354" s="2">
        <v>67.5</v>
      </c>
      <c r="H354" s="1">
        <f>_xlfn.XLOOKUP('Data Source 1_customer readings'!A354,'Data Source 1_customer readings'!A354:A2752,'Data Source 1_customer readings'!J354:J2752)</f>
        <v>0</v>
      </c>
    </row>
    <row r="355" spans="1:8" x14ac:dyDescent="0.2">
      <c r="A355" s="2" t="s">
        <v>36</v>
      </c>
      <c r="B355" s="2">
        <v>12</v>
      </c>
      <c r="C355" s="2">
        <v>1</v>
      </c>
      <c r="D355" s="2">
        <v>2021</v>
      </c>
      <c r="E355" s="2">
        <v>100.13</v>
      </c>
      <c r="F355" s="2">
        <v>66.959999999999994</v>
      </c>
      <c r="H355" s="1">
        <f>_xlfn.XLOOKUP('Data Source 1_customer readings'!A355,'Data Source 1_customer readings'!A355:A2753,'Data Source 1_customer readings'!J355:J2753)</f>
        <v>0</v>
      </c>
    </row>
    <row r="356" spans="1:8" x14ac:dyDescent="0.2">
      <c r="A356" s="2" t="s">
        <v>74</v>
      </c>
      <c r="B356" s="2">
        <v>5</v>
      </c>
      <c r="C356" s="2">
        <v>2</v>
      </c>
      <c r="D356" s="2">
        <v>2021</v>
      </c>
      <c r="E356" s="2">
        <v>99.96</v>
      </c>
      <c r="F356" s="2">
        <v>73.36</v>
      </c>
      <c r="H356" s="1">
        <f>_xlfn.XLOOKUP('Data Source 1_customer readings'!A356,'Data Source 1_customer readings'!A356:A2754,'Data Source 1_customer readings'!J356:J2754)</f>
        <v>0</v>
      </c>
    </row>
    <row r="357" spans="1:8" x14ac:dyDescent="0.2">
      <c r="A357" s="2" t="s">
        <v>92</v>
      </c>
      <c r="B357" s="2">
        <v>7</v>
      </c>
      <c r="C357" s="2">
        <v>10</v>
      </c>
      <c r="D357" s="2">
        <v>2021</v>
      </c>
      <c r="E357" s="2">
        <v>99.82</v>
      </c>
      <c r="F357" s="2">
        <v>79.05</v>
      </c>
      <c r="H357" s="1" t="b">
        <f>_xlfn.XLOOKUP('Data Source 1_customer readings'!A357,'Data Source 1_customer readings'!A357:A2755,'Data Source 1_customer readings'!J357:J2755)</f>
        <v>0</v>
      </c>
    </row>
    <row r="358" spans="1:8" x14ac:dyDescent="0.2">
      <c r="A358" s="2" t="s">
        <v>36</v>
      </c>
      <c r="B358" s="2">
        <v>12</v>
      </c>
      <c r="C358" s="2">
        <v>2</v>
      </c>
      <c r="D358" s="2">
        <v>2021</v>
      </c>
      <c r="E358" s="2">
        <v>99.4</v>
      </c>
      <c r="F358" s="2">
        <v>64.400000000000006</v>
      </c>
      <c r="H358" s="1" t="b">
        <f>_xlfn.XLOOKUP('Data Source 1_customer readings'!A358,'Data Source 1_customer readings'!A358:A2756,'Data Source 1_customer readings'!J358:J2756)</f>
        <v>0</v>
      </c>
    </row>
    <row r="359" spans="1:8" x14ac:dyDescent="0.2">
      <c r="A359" s="2" t="s">
        <v>40</v>
      </c>
      <c r="B359" s="2">
        <v>15</v>
      </c>
      <c r="C359" s="2">
        <v>12</v>
      </c>
      <c r="D359" s="2">
        <v>2021</v>
      </c>
      <c r="E359" s="2">
        <v>99.2</v>
      </c>
      <c r="F359" s="2">
        <v>72.23</v>
      </c>
      <c r="H359" s="1">
        <f>_xlfn.XLOOKUP('Data Source 1_customer readings'!A359,'Data Source 1_customer readings'!A359:A2757,'Data Source 1_customer readings'!J359:J2757)</f>
        <v>0</v>
      </c>
    </row>
    <row r="360" spans="1:8" x14ac:dyDescent="0.2">
      <c r="A360" s="2" t="s">
        <v>85</v>
      </c>
      <c r="B360" s="2">
        <v>3</v>
      </c>
      <c r="C360" s="2">
        <v>4</v>
      </c>
      <c r="D360" s="2">
        <v>2021</v>
      </c>
      <c r="E360" s="2">
        <v>99</v>
      </c>
      <c r="F360" s="2">
        <v>85.2</v>
      </c>
      <c r="H360" s="1">
        <f>_xlfn.XLOOKUP('Data Source 1_customer readings'!A360,'Data Source 1_customer readings'!A360:A2758,'Data Source 1_customer readings'!J360:J2758)</f>
        <v>0</v>
      </c>
    </row>
    <row r="361" spans="1:8" x14ac:dyDescent="0.2">
      <c r="A361" s="2" t="s">
        <v>89</v>
      </c>
      <c r="B361" s="2">
        <v>2</v>
      </c>
      <c r="C361" s="2">
        <v>4</v>
      </c>
      <c r="D361" s="2">
        <v>2021</v>
      </c>
      <c r="E361" s="2">
        <v>99</v>
      </c>
      <c r="F361" s="2">
        <v>65.7</v>
      </c>
      <c r="H361" s="1">
        <f>_xlfn.XLOOKUP('Data Source 1_customer readings'!A361,'Data Source 1_customer readings'!A361:A2759,'Data Source 1_customer readings'!J361:J2759)</f>
        <v>0</v>
      </c>
    </row>
    <row r="362" spans="1:8" x14ac:dyDescent="0.2">
      <c r="A362" s="2" t="s">
        <v>72</v>
      </c>
      <c r="B362" s="2">
        <v>22</v>
      </c>
      <c r="C362" s="2">
        <v>3</v>
      </c>
      <c r="D362" s="2">
        <v>2021</v>
      </c>
      <c r="E362" s="2">
        <v>98.89</v>
      </c>
      <c r="F362" s="2">
        <v>94.24</v>
      </c>
      <c r="H362" s="1">
        <f>_xlfn.XLOOKUP('Data Source 1_customer readings'!A362,'Data Source 1_customer readings'!A362:A2760,'Data Source 1_customer readings'!J362:J2760)</f>
        <v>0</v>
      </c>
    </row>
    <row r="363" spans="1:8" x14ac:dyDescent="0.2">
      <c r="A363" s="2" t="s">
        <v>39</v>
      </c>
      <c r="B363" s="2">
        <v>22</v>
      </c>
      <c r="C363" s="2">
        <v>2</v>
      </c>
      <c r="D363" s="2">
        <v>2021</v>
      </c>
      <c r="E363" s="2">
        <v>98.56</v>
      </c>
      <c r="F363" s="2">
        <v>84</v>
      </c>
      <c r="H363" s="1">
        <f>_xlfn.XLOOKUP('Data Source 1_customer readings'!A363,'Data Source 1_customer readings'!A363:A2761,'Data Source 1_customer readings'!J363:J2761)</f>
        <v>0</v>
      </c>
    </row>
    <row r="364" spans="1:8" x14ac:dyDescent="0.2">
      <c r="A364" s="2" t="s">
        <v>37</v>
      </c>
      <c r="B364" s="2">
        <v>12</v>
      </c>
      <c r="C364" s="2">
        <v>2</v>
      </c>
      <c r="D364" s="2">
        <v>2021</v>
      </c>
      <c r="E364" s="2">
        <v>98.28</v>
      </c>
      <c r="F364" s="2">
        <v>79.52</v>
      </c>
      <c r="H364" s="1">
        <f>_xlfn.XLOOKUP('Data Source 1_customer readings'!A364,'Data Source 1_customer readings'!A364:A2762,'Data Source 1_customer readings'!J364:J2762)</f>
        <v>0</v>
      </c>
    </row>
    <row r="365" spans="1:8" x14ac:dyDescent="0.2">
      <c r="A365" s="2" t="s">
        <v>60</v>
      </c>
      <c r="B365" s="2">
        <v>20</v>
      </c>
      <c r="C365" s="2">
        <v>2</v>
      </c>
      <c r="D365" s="2">
        <v>2021</v>
      </c>
      <c r="E365" s="2">
        <v>98</v>
      </c>
      <c r="F365" s="2">
        <v>85.68</v>
      </c>
      <c r="H365" s="1">
        <f>_xlfn.XLOOKUP('Data Source 1_customer readings'!A365,'Data Source 1_customer readings'!A365:A2763,'Data Source 1_customer readings'!J365:J2763)</f>
        <v>0</v>
      </c>
    </row>
    <row r="366" spans="1:8" x14ac:dyDescent="0.2">
      <c r="A366" s="2" t="s">
        <v>81</v>
      </c>
      <c r="B366" s="2">
        <v>19</v>
      </c>
      <c r="C366" s="2">
        <v>10</v>
      </c>
      <c r="D366" s="2">
        <v>2021</v>
      </c>
      <c r="E366" s="2">
        <v>97.96</v>
      </c>
      <c r="F366" s="2">
        <v>75.33</v>
      </c>
      <c r="H366" s="1">
        <f>_xlfn.XLOOKUP('Data Source 1_customer readings'!A366,'Data Source 1_customer readings'!A366:A2764,'Data Source 1_customer readings'!J366:J2764)</f>
        <v>0</v>
      </c>
    </row>
    <row r="367" spans="1:8" x14ac:dyDescent="0.2">
      <c r="A367" s="2" t="s">
        <v>49</v>
      </c>
      <c r="B367" s="2">
        <v>3</v>
      </c>
      <c r="C367" s="2">
        <v>1</v>
      </c>
      <c r="D367" s="2">
        <v>2021</v>
      </c>
      <c r="E367" s="2">
        <v>97.96</v>
      </c>
      <c r="F367" s="2">
        <v>72.849999999999994</v>
      </c>
      <c r="H367" s="1">
        <f>_xlfn.XLOOKUP('Data Source 1_customer readings'!A367,'Data Source 1_customer readings'!A367:A2765,'Data Source 1_customer readings'!J367:J2765)</f>
        <v>0</v>
      </c>
    </row>
    <row r="368" spans="1:8" x14ac:dyDescent="0.2">
      <c r="A368" s="2" t="s">
        <v>38</v>
      </c>
      <c r="B368" s="2">
        <v>21</v>
      </c>
      <c r="C368" s="2">
        <v>1</v>
      </c>
      <c r="D368" s="2">
        <v>2021</v>
      </c>
      <c r="E368" s="2">
        <v>97.34</v>
      </c>
      <c r="F368" s="2">
        <v>88.66</v>
      </c>
      <c r="H368" s="1" t="b">
        <f>_xlfn.XLOOKUP('Data Source 1_customer readings'!A368,'Data Source 1_customer readings'!A368:A2766,'Data Source 1_customer readings'!J368:J2766)</f>
        <v>0</v>
      </c>
    </row>
    <row r="369" spans="1:8" x14ac:dyDescent="0.2">
      <c r="A369" s="2" t="s">
        <v>86</v>
      </c>
      <c r="B369" s="2">
        <v>6</v>
      </c>
      <c r="C369" s="2">
        <v>4</v>
      </c>
      <c r="D369" s="2">
        <v>2021</v>
      </c>
      <c r="E369" s="2">
        <v>97.2</v>
      </c>
      <c r="F369" s="2">
        <v>101.4</v>
      </c>
      <c r="H369" s="1">
        <f>_xlfn.XLOOKUP('Data Source 1_customer readings'!A369,'Data Source 1_customer readings'!A369:A2767,'Data Source 1_customer readings'!J369:J2767)</f>
        <v>0</v>
      </c>
    </row>
    <row r="370" spans="1:8" x14ac:dyDescent="0.2">
      <c r="A370" s="2" t="s">
        <v>87</v>
      </c>
      <c r="B370" s="2">
        <v>1</v>
      </c>
      <c r="C370" s="2">
        <v>4</v>
      </c>
      <c r="D370" s="2">
        <v>2021</v>
      </c>
      <c r="E370" s="2">
        <v>96.9</v>
      </c>
      <c r="F370" s="2">
        <v>91.2</v>
      </c>
      <c r="H370" s="1">
        <f>_xlfn.XLOOKUP('Data Source 1_customer readings'!A370,'Data Source 1_customer readings'!A370:A2768,'Data Source 1_customer readings'!J370:J2768)</f>
        <v>0</v>
      </c>
    </row>
    <row r="371" spans="1:8" x14ac:dyDescent="0.2">
      <c r="A371" s="2" t="s">
        <v>47</v>
      </c>
      <c r="B371" s="2">
        <v>19</v>
      </c>
      <c r="C371" s="2">
        <v>12</v>
      </c>
      <c r="D371" s="2">
        <v>2021</v>
      </c>
      <c r="E371" s="2">
        <v>96.72</v>
      </c>
      <c r="F371" s="2">
        <v>76.569999999999993</v>
      </c>
      <c r="H371" s="1" t="b">
        <f>_xlfn.XLOOKUP('Data Source 1_customer readings'!A371,'Data Source 1_customer readings'!A371:A2769,'Data Source 1_customer readings'!J371:J2769)</f>
        <v>0</v>
      </c>
    </row>
    <row r="372" spans="1:8" x14ac:dyDescent="0.2">
      <c r="A372" s="2" t="s">
        <v>54</v>
      </c>
      <c r="B372" s="2">
        <v>5</v>
      </c>
      <c r="C372" s="2">
        <v>2</v>
      </c>
      <c r="D372" s="2">
        <v>2021</v>
      </c>
      <c r="E372" s="2">
        <v>96.32</v>
      </c>
      <c r="F372" s="2">
        <v>81.760000000000005</v>
      </c>
      <c r="H372" s="1">
        <f>_xlfn.XLOOKUP('Data Source 1_customer readings'!A372,'Data Source 1_customer readings'!A372:A2770,'Data Source 1_customer readings'!J372:J2770)</f>
        <v>0</v>
      </c>
    </row>
    <row r="373" spans="1:8" x14ac:dyDescent="0.2">
      <c r="A373" s="2" t="s">
        <v>57</v>
      </c>
      <c r="B373" s="2">
        <v>17</v>
      </c>
      <c r="C373" s="2">
        <v>2</v>
      </c>
      <c r="D373" s="2">
        <v>2021</v>
      </c>
      <c r="E373" s="2">
        <v>96.32</v>
      </c>
      <c r="F373" s="2">
        <v>68.88</v>
      </c>
      <c r="H373" s="1">
        <f>_xlfn.XLOOKUP('Data Source 1_customer readings'!A373,'Data Source 1_customer readings'!A373:A2771,'Data Source 1_customer readings'!J373:J2771)</f>
        <v>0</v>
      </c>
    </row>
    <row r="374" spans="1:8" x14ac:dyDescent="0.2">
      <c r="A374" s="2" t="s">
        <v>72</v>
      </c>
      <c r="B374" s="2">
        <v>22</v>
      </c>
      <c r="C374" s="2">
        <v>4</v>
      </c>
      <c r="D374" s="2">
        <v>2021</v>
      </c>
      <c r="E374" s="2">
        <v>96.3</v>
      </c>
      <c r="F374" s="2">
        <v>120</v>
      </c>
      <c r="H374" s="1">
        <f>_xlfn.XLOOKUP('Data Source 1_customer readings'!A374,'Data Source 1_customer readings'!A374:A2772,'Data Source 1_customer readings'!J374:J2772)</f>
        <v>0</v>
      </c>
    </row>
    <row r="375" spans="1:8" x14ac:dyDescent="0.2">
      <c r="A375" s="2" t="s">
        <v>91</v>
      </c>
      <c r="B375" s="2">
        <v>5</v>
      </c>
      <c r="C375" s="2">
        <v>4</v>
      </c>
      <c r="D375" s="2">
        <v>2021</v>
      </c>
      <c r="E375" s="2">
        <v>96.3</v>
      </c>
      <c r="F375" s="2">
        <v>80.7</v>
      </c>
      <c r="H375" s="1">
        <f>_xlfn.XLOOKUP('Data Source 1_customer readings'!A375,'Data Source 1_customer readings'!A375:A2773,'Data Source 1_customer readings'!J375:J2773)</f>
        <v>0</v>
      </c>
    </row>
    <row r="376" spans="1:8" x14ac:dyDescent="0.2">
      <c r="A376" s="2" t="s">
        <v>33</v>
      </c>
      <c r="B376" s="2">
        <v>21</v>
      </c>
      <c r="C376" s="2">
        <v>11</v>
      </c>
      <c r="D376" s="2">
        <v>2021</v>
      </c>
      <c r="E376" s="2">
        <v>96.3</v>
      </c>
      <c r="F376" s="2">
        <v>69.900000000000006</v>
      </c>
      <c r="H376" s="1">
        <f>_xlfn.XLOOKUP('Data Source 1_customer readings'!A376,'Data Source 1_customer readings'!A376:A2774,'Data Source 1_customer readings'!J376:J2774)</f>
        <v>0</v>
      </c>
    </row>
    <row r="377" spans="1:8" x14ac:dyDescent="0.2">
      <c r="A377" s="2" t="s">
        <v>84</v>
      </c>
      <c r="B377" s="2">
        <v>20</v>
      </c>
      <c r="C377" s="2">
        <v>3</v>
      </c>
      <c r="D377" s="2">
        <v>2021</v>
      </c>
      <c r="E377" s="2">
        <v>95.79</v>
      </c>
      <c r="F377" s="2">
        <v>100.13</v>
      </c>
      <c r="H377" s="1">
        <f>_xlfn.XLOOKUP('Data Source 1_customer readings'!A377,'Data Source 1_customer readings'!A377:A2775,'Data Source 1_customer readings'!J377:J2775)</f>
        <v>0</v>
      </c>
    </row>
    <row r="378" spans="1:8" x14ac:dyDescent="0.2">
      <c r="A378" s="2" t="s">
        <v>58</v>
      </c>
      <c r="B378" s="2">
        <v>16</v>
      </c>
      <c r="C378" s="2">
        <v>12</v>
      </c>
      <c r="D378" s="2">
        <v>2021</v>
      </c>
      <c r="E378" s="2">
        <v>95.79</v>
      </c>
      <c r="F378" s="2">
        <v>80.290000000000006</v>
      </c>
      <c r="H378" s="1">
        <f>_xlfn.XLOOKUP('Data Source 1_customer readings'!A378,'Data Source 1_customer readings'!A378:A2776,'Data Source 1_customer readings'!J378:J2776)</f>
        <v>0</v>
      </c>
    </row>
    <row r="379" spans="1:8" x14ac:dyDescent="0.2">
      <c r="A379" s="2" t="s">
        <v>45</v>
      </c>
      <c r="B379" s="2">
        <v>18</v>
      </c>
      <c r="C379" s="2">
        <v>11</v>
      </c>
      <c r="D379" s="2">
        <v>2021</v>
      </c>
      <c r="E379" s="2">
        <v>95.7</v>
      </c>
      <c r="F379" s="2">
        <v>86.4</v>
      </c>
      <c r="H379" s="1" t="b">
        <f>_xlfn.XLOOKUP('Data Source 1_customer readings'!A379,'Data Source 1_customer readings'!A379:A2777,'Data Source 1_customer readings'!J379:J2777)</f>
        <v>0</v>
      </c>
    </row>
    <row r="380" spans="1:8" x14ac:dyDescent="0.2">
      <c r="A380" s="2" t="s">
        <v>71</v>
      </c>
      <c r="B380" s="2">
        <v>21</v>
      </c>
      <c r="C380" s="2">
        <v>10</v>
      </c>
      <c r="D380" s="2">
        <v>2021</v>
      </c>
      <c r="E380" s="2">
        <v>95.48</v>
      </c>
      <c r="F380" s="2">
        <v>110.36</v>
      </c>
      <c r="H380" s="1">
        <f>_xlfn.XLOOKUP('Data Source 1_customer readings'!A380,'Data Source 1_customer readings'!A380:A2778,'Data Source 1_customer readings'!J380:J2778)</f>
        <v>0</v>
      </c>
    </row>
    <row r="381" spans="1:8" x14ac:dyDescent="0.2">
      <c r="A381" s="2" t="s">
        <v>92</v>
      </c>
      <c r="B381" s="2">
        <v>7</v>
      </c>
      <c r="C381" s="2">
        <v>4</v>
      </c>
      <c r="D381" s="2">
        <v>2021</v>
      </c>
      <c r="E381" s="2">
        <v>95.4</v>
      </c>
      <c r="F381" s="2">
        <v>77.7</v>
      </c>
      <c r="H381" s="1">
        <f>_xlfn.XLOOKUP('Data Source 1_customer readings'!A381,'Data Source 1_customer readings'!A381:A2779,'Data Source 1_customer readings'!J381:J2779)</f>
        <v>0</v>
      </c>
    </row>
    <row r="382" spans="1:8" x14ac:dyDescent="0.2">
      <c r="A382" s="2" t="s">
        <v>33</v>
      </c>
      <c r="B382" s="2">
        <v>21</v>
      </c>
      <c r="C382" s="2">
        <v>2</v>
      </c>
      <c r="D382" s="2">
        <v>2021</v>
      </c>
      <c r="E382" s="2">
        <v>95.2</v>
      </c>
      <c r="F382" s="2">
        <v>69.44</v>
      </c>
      <c r="H382" s="1">
        <f>_xlfn.XLOOKUP('Data Source 1_customer readings'!A382,'Data Source 1_customer readings'!A382:A2780,'Data Source 1_customer readings'!J382:J2780)</f>
        <v>0</v>
      </c>
    </row>
    <row r="383" spans="1:8" x14ac:dyDescent="0.2">
      <c r="A383" s="2" t="s">
        <v>83</v>
      </c>
      <c r="B383" s="2">
        <v>25</v>
      </c>
      <c r="C383" s="2">
        <v>4</v>
      </c>
      <c r="D383" s="2">
        <v>2021</v>
      </c>
      <c r="E383" s="2">
        <v>95.1</v>
      </c>
      <c r="F383" s="2">
        <v>110.4</v>
      </c>
      <c r="H383" s="1">
        <f>_xlfn.XLOOKUP('Data Source 1_customer readings'!A383,'Data Source 1_customer readings'!A383:A2781,'Data Source 1_customer readings'!J383:J2781)</f>
        <v>0</v>
      </c>
    </row>
    <row r="384" spans="1:8" x14ac:dyDescent="0.2">
      <c r="A384" s="2" t="s">
        <v>33</v>
      </c>
      <c r="B384" s="2">
        <v>21</v>
      </c>
      <c r="C384" s="2">
        <v>12</v>
      </c>
      <c r="D384" s="2">
        <v>2021</v>
      </c>
      <c r="E384" s="2">
        <v>94.86</v>
      </c>
      <c r="F384" s="2">
        <v>87.73</v>
      </c>
      <c r="H384" s="1">
        <f>_xlfn.XLOOKUP('Data Source 1_customer readings'!A384,'Data Source 1_customer readings'!A384:A2782,'Data Source 1_customer readings'!J384:J2782)</f>
        <v>0</v>
      </c>
    </row>
    <row r="385" spans="1:8" x14ac:dyDescent="0.2">
      <c r="A385" s="2" t="s">
        <v>91</v>
      </c>
      <c r="B385" s="2">
        <v>5</v>
      </c>
      <c r="C385" s="2">
        <v>10</v>
      </c>
      <c r="D385" s="2">
        <v>2021</v>
      </c>
      <c r="E385" s="2">
        <v>94.86</v>
      </c>
      <c r="F385" s="2">
        <v>84.94</v>
      </c>
      <c r="H385" s="1">
        <f>_xlfn.XLOOKUP('Data Source 1_customer readings'!A385,'Data Source 1_customer readings'!A385:A2783,'Data Source 1_customer readings'!J385:J2783)</f>
        <v>0</v>
      </c>
    </row>
    <row r="386" spans="1:8" x14ac:dyDescent="0.2">
      <c r="A386" s="2" t="s">
        <v>42</v>
      </c>
      <c r="B386" s="2">
        <v>12</v>
      </c>
      <c r="C386" s="2">
        <v>1</v>
      </c>
      <c r="D386" s="2">
        <v>2021</v>
      </c>
      <c r="E386" s="2">
        <v>94.86</v>
      </c>
      <c r="F386" s="2">
        <v>72.540000000000006</v>
      </c>
      <c r="H386" s="1">
        <f>_xlfn.XLOOKUP('Data Source 1_customer readings'!A386,'Data Source 1_customer readings'!A386:A2784,'Data Source 1_customer readings'!J386:J2784)</f>
        <v>0</v>
      </c>
    </row>
    <row r="387" spans="1:8" x14ac:dyDescent="0.2">
      <c r="A387" s="2" t="s">
        <v>70</v>
      </c>
      <c r="B387" s="2">
        <v>16</v>
      </c>
      <c r="C387" s="2">
        <v>10</v>
      </c>
      <c r="D387" s="2">
        <v>2021</v>
      </c>
      <c r="E387" s="2">
        <v>94.55</v>
      </c>
      <c r="F387" s="2">
        <v>101.06</v>
      </c>
      <c r="H387" s="1">
        <f>_xlfn.XLOOKUP('Data Source 1_customer readings'!A387,'Data Source 1_customer readings'!A387:A2785,'Data Source 1_customer readings'!J387:J2785)</f>
        <v>0</v>
      </c>
    </row>
    <row r="388" spans="1:8" x14ac:dyDescent="0.2">
      <c r="A388" s="2" t="s">
        <v>47</v>
      </c>
      <c r="B388" s="2">
        <v>19</v>
      </c>
      <c r="C388" s="2">
        <v>2</v>
      </c>
      <c r="D388" s="2">
        <v>2021</v>
      </c>
      <c r="E388" s="2">
        <v>94.36</v>
      </c>
      <c r="F388" s="2">
        <v>69.16</v>
      </c>
      <c r="H388" s="1">
        <f>_xlfn.XLOOKUP('Data Source 1_customer readings'!A388,'Data Source 1_customer readings'!A388:A2786,'Data Source 1_customer readings'!J388:J2786)</f>
        <v>0</v>
      </c>
    </row>
    <row r="389" spans="1:8" x14ac:dyDescent="0.2">
      <c r="A389" s="2" t="s">
        <v>68</v>
      </c>
      <c r="B389" s="2">
        <v>11</v>
      </c>
      <c r="C389" s="2">
        <v>10</v>
      </c>
      <c r="D389" s="2">
        <v>2021</v>
      </c>
      <c r="E389" s="2">
        <v>94.24</v>
      </c>
      <c r="F389" s="2">
        <v>103.23</v>
      </c>
      <c r="H389" s="1">
        <f>_xlfn.XLOOKUP('Data Source 1_customer readings'!A389,'Data Source 1_customer readings'!A389:A2787,'Data Source 1_customer readings'!J389:J2787)</f>
        <v>0</v>
      </c>
    </row>
    <row r="390" spans="1:8" x14ac:dyDescent="0.2">
      <c r="A390" s="2" t="s">
        <v>88</v>
      </c>
      <c r="B390" s="2">
        <v>23</v>
      </c>
      <c r="C390" s="2">
        <v>4</v>
      </c>
      <c r="D390" s="2">
        <v>2021</v>
      </c>
      <c r="E390" s="2">
        <v>94.2</v>
      </c>
      <c r="F390" s="2">
        <v>110.4</v>
      </c>
      <c r="H390" s="1">
        <f>_xlfn.XLOOKUP('Data Source 1_customer readings'!A390,'Data Source 1_customer readings'!A390:A2788,'Data Source 1_customer readings'!J390:J2788)</f>
        <v>0</v>
      </c>
    </row>
    <row r="391" spans="1:8" x14ac:dyDescent="0.2">
      <c r="A391" s="2" t="s">
        <v>63</v>
      </c>
      <c r="B391" s="2">
        <v>25</v>
      </c>
      <c r="C391" s="2">
        <v>11</v>
      </c>
      <c r="D391" s="2">
        <v>2021</v>
      </c>
      <c r="E391" s="2">
        <v>94.2</v>
      </c>
      <c r="F391" s="2">
        <v>77.400000000000006</v>
      </c>
      <c r="H391" s="1">
        <f>_xlfn.XLOOKUP('Data Source 1_customer readings'!A391,'Data Source 1_customer readings'!A391:A2789,'Data Source 1_customer readings'!J391:J2789)</f>
        <v>0</v>
      </c>
    </row>
    <row r="392" spans="1:8" x14ac:dyDescent="0.2">
      <c r="A392" s="2" t="s">
        <v>63</v>
      </c>
      <c r="B392" s="2">
        <v>25</v>
      </c>
      <c r="C392" s="2">
        <v>1</v>
      </c>
      <c r="D392" s="2">
        <v>2021</v>
      </c>
      <c r="E392" s="2">
        <v>93.93</v>
      </c>
      <c r="F392" s="2">
        <v>101.68</v>
      </c>
      <c r="H392" s="1">
        <f>_xlfn.XLOOKUP('Data Source 1_customer readings'!A392,'Data Source 1_customer readings'!A392:A2790,'Data Source 1_customer readings'!J392:J2790)</f>
        <v>0</v>
      </c>
    </row>
    <row r="393" spans="1:8" x14ac:dyDescent="0.2">
      <c r="A393" s="2" t="s">
        <v>37</v>
      </c>
      <c r="B393" s="2">
        <v>12</v>
      </c>
      <c r="C393" s="2">
        <v>12</v>
      </c>
      <c r="D393" s="2">
        <v>2021</v>
      </c>
      <c r="E393" s="2">
        <v>93.93</v>
      </c>
      <c r="F393" s="2">
        <v>85.56</v>
      </c>
      <c r="H393" s="1">
        <f>_xlfn.XLOOKUP('Data Source 1_customer readings'!A393,'Data Source 1_customer readings'!A393:A2791,'Data Source 1_customer readings'!J393:J2791)</f>
        <v>0</v>
      </c>
    </row>
    <row r="394" spans="1:8" x14ac:dyDescent="0.2">
      <c r="A394" s="2" t="s">
        <v>36</v>
      </c>
      <c r="B394" s="2">
        <v>12</v>
      </c>
      <c r="C394" s="2">
        <v>11</v>
      </c>
      <c r="D394" s="2">
        <v>2021</v>
      </c>
      <c r="E394" s="2">
        <v>93.9</v>
      </c>
      <c r="F394" s="2">
        <v>75.3</v>
      </c>
      <c r="H394" s="1">
        <f>_xlfn.XLOOKUP('Data Source 1_customer readings'!A394,'Data Source 1_customer readings'!A394:A2792,'Data Source 1_customer readings'!J394:J2792)</f>
        <v>0</v>
      </c>
    </row>
    <row r="395" spans="1:8" x14ac:dyDescent="0.2">
      <c r="A395" s="2" t="s">
        <v>36</v>
      </c>
      <c r="B395" s="2">
        <v>12</v>
      </c>
      <c r="C395" s="2">
        <v>12</v>
      </c>
      <c r="D395" s="2">
        <v>2021</v>
      </c>
      <c r="E395" s="2">
        <v>93.62</v>
      </c>
      <c r="F395" s="2">
        <v>63.86</v>
      </c>
      <c r="H395" s="1">
        <f>_xlfn.XLOOKUP('Data Source 1_customer readings'!A395,'Data Source 1_customer readings'!A395:A2793,'Data Source 1_customer readings'!J395:J2793)</f>
        <v>0</v>
      </c>
    </row>
    <row r="396" spans="1:8" x14ac:dyDescent="0.2">
      <c r="A396" s="2" t="s">
        <v>38</v>
      </c>
      <c r="B396" s="2">
        <v>21</v>
      </c>
      <c r="C396" s="2">
        <v>11</v>
      </c>
      <c r="D396" s="2">
        <v>2021</v>
      </c>
      <c r="E396" s="2">
        <v>93.3</v>
      </c>
      <c r="F396" s="2">
        <v>91.5</v>
      </c>
      <c r="H396" s="1">
        <f>_xlfn.XLOOKUP('Data Source 1_customer readings'!A396,'Data Source 1_customer readings'!A396:A2794,'Data Source 1_customer readings'!J396:J2794)</f>
        <v>0</v>
      </c>
    </row>
    <row r="397" spans="1:8" x14ac:dyDescent="0.2">
      <c r="A397" s="2" t="s">
        <v>50</v>
      </c>
      <c r="B397" s="2">
        <v>24</v>
      </c>
      <c r="C397" s="2">
        <v>12</v>
      </c>
      <c r="D397" s="2">
        <v>2021</v>
      </c>
      <c r="E397" s="2">
        <v>93</v>
      </c>
      <c r="F397" s="2">
        <v>76.260000000000005</v>
      </c>
      <c r="H397" s="1">
        <f>_xlfn.XLOOKUP('Data Source 1_customer readings'!A397,'Data Source 1_customer readings'!A397:A2795,'Data Source 1_customer readings'!J397:J2795)</f>
        <v>0</v>
      </c>
    </row>
    <row r="398" spans="1:8" x14ac:dyDescent="0.2">
      <c r="A398" s="2" t="s">
        <v>45</v>
      </c>
      <c r="B398" s="2">
        <v>18</v>
      </c>
      <c r="C398" s="2">
        <v>1</v>
      </c>
      <c r="D398" s="2">
        <v>2021</v>
      </c>
      <c r="E398" s="2">
        <v>92.69</v>
      </c>
      <c r="F398" s="2">
        <v>68.819999999999993</v>
      </c>
      <c r="H398" s="1">
        <f>_xlfn.XLOOKUP('Data Source 1_customer readings'!A398,'Data Source 1_customer readings'!A398:A2796,'Data Source 1_customer readings'!J398:J2796)</f>
        <v>0</v>
      </c>
    </row>
    <row r="399" spans="1:8" x14ac:dyDescent="0.2">
      <c r="A399" s="2" t="s">
        <v>58</v>
      </c>
      <c r="B399" s="2">
        <v>16</v>
      </c>
      <c r="C399" s="2">
        <v>11</v>
      </c>
      <c r="D399" s="2">
        <v>2021</v>
      </c>
      <c r="E399" s="2">
        <v>92.4</v>
      </c>
      <c r="F399" s="2">
        <v>64.2</v>
      </c>
      <c r="H399" s="1">
        <f>_xlfn.XLOOKUP('Data Source 1_customer readings'!A399,'Data Source 1_customer readings'!A399:A2797,'Data Source 1_customer readings'!J399:J2797)</f>
        <v>0</v>
      </c>
    </row>
    <row r="400" spans="1:8" x14ac:dyDescent="0.2">
      <c r="A400" s="2" t="s">
        <v>81</v>
      </c>
      <c r="B400" s="2">
        <v>19</v>
      </c>
      <c r="C400" s="2">
        <v>3</v>
      </c>
      <c r="D400" s="2">
        <v>2021</v>
      </c>
      <c r="E400" s="2">
        <v>92.38</v>
      </c>
      <c r="F400" s="2">
        <v>96.41</v>
      </c>
      <c r="H400" s="1">
        <f>_xlfn.XLOOKUP('Data Source 1_customer readings'!A400,'Data Source 1_customer readings'!A400:A2798,'Data Source 1_customer readings'!J400:J2798)</f>
        <v>0</v>
      </c>
    </row>
    <row r="401" spans="1:8" x14ac:dyDescent="0.2">
      <c r="A401" s="2" t="s">
        <v>55</v>
      </c>
      <c r="B401" s="2">
        <v>18</v>
      </c>
      <c r="C401" s="2">
        <v>2</v>
      </c>
      <c r="D401" s="2">
        <v>2021</v>
      </c>
      <c r="E401" s="2">
        <v>92.12</v>
      </c>
      <c r="F401" s="2">
        <v>78.400000000000006</v>
      </c>
      <c r="H401" s="1">
        <f>_xlfn.XLOOKUP('Data Source 1_customer readings'!A401,'Data Source 1_customer readings'!A401:A2799,'Data Source 1_customer readings'!J401:J2799)</f>
        <v>0</v>
      </c>
    </row>
    <row r="402" spans="1:8" x14ac:dyDescent="0.2">
      <c r="A402" s="2" t="s">
        <v>37</v>
      </c>
      <c r="B402" s="2">
        <v>12</v>
      </c>
      <c r="C402" s="2">
        <v>1</v>
      </c>
      <c r="D402" s="2">
        <v>2021</v>
      </c>
      <c r="E402" s="2">
        <v>92.07</v>
      </c>
      <c r="F402" s="2">
        <v>92.38</v>
      </c>
      <c r="H402" s="1" t="b">
        <f>_xlfn.XLOOKUP('Data Source 1_customer readings'!A402,'Data Source 1_customer readings'!A402:A2800,'Data Source 1_customer readings'!J402:J2800)</f>
        <v>0</v>
      </c>
    </row>
    <row r="403" spans="1:8" x14ac:dyDescent="0.2">
      <c r="A403" s="2" t="s">
        <v>77</v>
      </c>
      <c r="B403" s="2">
        <v>16</v>
      </c>
      <c r="C403" s="2">
        <v>4</v>
      </c>
      <c r="D403" s="2">
        <v>2021</v>
      </c>
      <c r="E403" s="2">
        <v>91.8</v>
      </c>
      <c r="F403" s="2">
        <v>100.5</v>
      </c>
      <c r="H403" s="1">
        <f>_xlfn.XLOOKUP('Data Source 1_customer readings'!A403,'Data Source 1_customer readings'!A403:A2801,'Data Source 1_customer readings'!J403:J2801)</f>
        <v>0</v>
      </c>
    </row>
    <row r="404" spans="1:8" x14ac:dyDescent="0.2">
      <c r="A404" s="2" t="s">
        <v>49</v>
      </c>
      <c r="B404" s="2">
        <v>3</v>
      </c>
      <c r="C404" s="2">
        <v>11</v>
      </c>
      <c r="D404" s="2">
        <v>2021</v>
      </c>
      <c r="E404" s="2">
        <v>91.8</v>
      </c>
      <c r="F404" s="2">
        <v>59.1</v>
      </c>
      <c r="H404" s="1">
        <f>_xlfn.XLOOKUP('Data Source 1_customer readings'!A404,'Data Source 1_customer readings'!A404:A2802,'Data Source 1_customer readings'!J404:J2802)</f>
        <v>0</v>
      </c>
    </row>
    <row r="405" spans="1:8" x14ac:dyDescent="0.2">
      <c r="A405" s="2" t="s">
        <v>89</v>
      </c>
      <c r="B405" s="2">
        <v>2</v>
      </c>
      <c r="C405" s="2">
        <v>3</v>
      </c>
      <c r="D405" s="2">
        <v>2021</v>
      </c>
      <c r="E405" s="2">
        <v>91.45</v>
      </c>
      <c r="F405" s="2">
        <v>87.11</v>
      </c>
      <c r="H405" s="1">
        <f>_xlfn.XLOOKUP('Data Source 1_customer readings'!A405,'Data Source 1_customer readings'!A405:A2803,'Data Source 1_customer readings'!J405:J2803)</f>
        <v>0</v>
      </c>
    </row>
    <row r="406" spans="1:8" x14ac:dyDescent="0.2">
      <c r="A406" s="2" t="s">
        <v>34</v>
      </c>
      <c r="B406" s="2">
        <v>4</v>
      </c>
      <c r="C406" s="2">
        <v>1</v>
      </c>
      <c r="D406" s="2">
        <v>2021</v>
      </c>
      <c r="E406" s="2">
        <v>91.45</v>
      </c>
      <c r="F406" s="2">
        <v>80.599999999999994</v>
      </c>
      <c r="H406" s="1">
        <f>_xlfn.XLOOKUP('Data Source 1_customer readings'!A406,'Data Source 1_customer readings'!A406:A2804,'Data Source 1_customer readings'!J406:J2804)</f>
        <v>0</v>
      </c>
    </row>
    <row r="407" spans="1:8" x14ac:dyDescent="0.2">
      <c r="A407" s="2" t="s">
        <v>77</v>
      </c>
      <c r="B407" s="2">
        <v>16</v>
      </c>
      <c r="C407" s="2">
        <v>3</v>
      </c>
      <c r="D407" s="2">
        <v>2021</v>
      </c>
      <c r="E407" s="2">
        <v>90.83</v>
      </c>
      <c r="F407" s="2">
        <v>111.91</v>
      </c>
      <c r="H407" s="1">
        <f>_xlfn.XLOOKUP('Data Source 1_customer readings'!A407,'Data Source 1_customer readings'!A407:A2805,'Data Source 1_customer readings'!J407:J2805)</f>
        <v>0</v>
      </c>
    </row>
    <row r="408" spans="1:8" x14ac:dyDescent="0.2">
      <c r="A408" s="2" t="s">
        <v>71</v>
      </c>
      <c r="B408" s="2">
        <v>21</v>
      </c>
      <c r="C408" s="2">
        <v>3</v>
      </c>
      <c r="D408" s="2">
        <v>2021</v>
      </c>
      <c r="E408" s="2">
        <v>90.52</v>
      </c>
      <c r="F408" s="2">
        <v>119.04</v>
      </c>
      <c r="H408" s="1">
        <f>_xlfn.XLOOKUP('Data Source 1_customer readings'!A408,'Data Source 1_customer readings'!A408:A2806,'Data Source 1_customer readings'!J408:J2806)</f>
        <v>0</v>
      </c>
    </row>
    <row r="409" spans="1:8" x14ac:dyDescent="0.2">
      <c r="A409" s="2" t="s">
        <v>65</v>
      </c>
      <c r="B409" s="2">
        <v>11</v>
      </c>
      <c r="C409" s="2">
        <v>3</v>
      </c>
      <c r="D409" s="2">
        <v>2021</v>
      </c>
      <c r="E409" s="2">
        <v>90.52</v>
      </c>
      <c r="F409" s="2">
        <v>94.86</v>
      </c>
      <c r="H409" s="1">
        <f>_xlfn.XLOOKUP('Data Source 1_customer readings'!A409,'Data Source 1_customer readings'!A409:A2807,'Data Source 1_customer readings'!J409:J2807)</f>
        <v>0</v>
      </c>
    </row>
    <row r="410" spans="1:8" x14ac:dyDescent="0.2">
      <c r="A410" s="2" t="s">
        <v>86</v>
      </c>
      <c r="B410" s="2">
        <v>6</v>
      </c>
      <c r="C410" s="2">
        <v>10</v>
      </c>
      <c r="D410" s="2">
        <v>2021</v>
      </c>
      <c r="E410" s="2">
        <v>90.52</v>
      </c>
      <c r="F410" s="2">
        <v>93.93</v>
      </c>
      <c r="H410" s="1">
        <f>_xlfn.XLOOKUP('Data Source 1_customer readings'!A410,'Data Source 1_customer readings'!A410:A2808,'Data Source 1_customer readings'!J410:J2808)</f>
        <v>0</v>
      </c>
    </row>
    <row r="411" spans="1:8" x14ac:dyDescent="0.2">
      <c r="A411" s="2" t="s">
        <v>86</v>
      </c>
      <c r="B411" s="2">
        <v>6</v>
      </c>
      <c r="C411" s="2">
        <v>3</v>
      </c>
      <c r="D411" s="2">
        <v>2021</v>
      </c>
      <c r="E411" s="2">
        <v>90.52</v>
      </c>
      <c r="F411" s="2">
        <v>92.38</v>
      </c>
      <c r="H411" s="1">
        <f>_xlfn.XLOOKUP('Data Source 1_customer readings'!A411,'Data Source 1_customer readings'!A411:A2809,'Data Source 1_customer readings'!J411:J2809)</f>
        <v>0</v>
      </c>
    </row>
    <row r="412" spans="1:8" x14ac:dyDescent="0.2">
      <c r="A412" s="2" t="s">
        <v>58</v>
      </c>
      <c r="B412" s="2">
        <v>16</v>
      </c>
      <c r="C412" s="2">
        <v>2</v>
      </c>
      <c r="D412" s="2">
        <v>2021</v>
      </c>
      <c r="E412" s="2">
        <v>90.44</v>
      </c>
      <c r="F412" s="2">
        <v>71.680000000000007</v>
      </c>
      <c r="H412" s="1">
        <f>_xlfn.XLOOKUP('Data Source 1_customer readings'!A412,'Data Source 1_customer readings'!A412:A2810,'Data Source 1_customer readings'!J412:J2810)</f>
        <v>0</v>
      </c>
    </row>
    <row r="413" spans="1:8" x14ac:dyDescent="0.2">
      <c r="A413" s="2" t="s">
        <v>35</v>
      </c>
      <c r="B413" s="2">
        <v>9</v>
      </c>
      <c r="C413" s="2">
        <v>11</v>
      </c>
      <c r="D413" s="2">
        <v>2021</v>
      </c>
      <c r="E413" s="2">
        <v>90.3</v>
      </c>
      <c r="F413" s="2">
        <v>74.7</v>
      </c>
      <c r="H413" s="1">
        <f>_xlfn.XLOOKUP('Data Source 1_customer readings'!A413,'Data Source 1_customer readings'!A413:A2811,'Data Source 1_customer readings'!J413:J2811)</f>
        <v>0</v>
      </c>
    </row>
    <row r="414" spans="1:8" x14ac:dyDescent="0.2">
      <c r="A414" s="2" t="s">
        <v>38</v>
      </c>
      <c r="B414" s="2">
        <v>21</v>
      </c>
      <c r="C414" s="2">
        <v>2</v>
      </c>
      <c r="D414" s="2">
        <v>2021</v>
      </c>
      <c r="E414" s="2">
        <v>89.88</v>
      </c>
      <c r="F414" s="2">
        <v>87.08</v>
      </c>
      <c r="H414" s="1">
        <f>_xlfn.XLOOKUP('Data Source 1_customer readings'!A414,'Data Source 1_customer readings'!A414:A2812,'Data Source 1_customer readings'!J414:J2812)</f>
        <v>0</v>
      </c>
    </row>
    <row r="415" spans="1:8" x14ac:dyDescent="0.2">
      <c r="A415" s="2" t="s">
        <v>34</v>
      </c>
      <c r="B415" s="2">
        <v>4</v>
      </c>
      <c r="C415" s="2">
        <v>2</v>
      </c>
      <c r="D415" s="2">
        <v>2021</v>
      </c>
      <c r="E415" s="2">
        <v>89.88</v>
      </c>
      <c r="F415" s="2">
        <v>63</v>
      </c>
      <c r="H415" s="1">
        <f>_xlfn.XLOOKUP('Data Source 1_customer readings'!A415,'Data Source 1_customer readings'!A415:A2813,'Data Source 1_customer readings'!J415:J2813)</f>
        <v>0</v>
      </c>
    </row>
    <row r="416" spans="1:8" x14ac:dyDescent="0.2">
      <c r="A416" s="2" t="s">
        <v>89</v>
      </c>
      <c r="B416" s="2">
        <v>2</v>
      </c>
      <c r="C416" s="2">
        <v>10</v>
      </c>
      <c r="D416" s="2">
        <v>2021</v>
      </c>
      <c r="E416" s="2">
        <v>89.28</v>
      </c>
      <c r="F416" s="2">
        <v>64.17</v>
      </c>
      <c r="H416" s="1">
        <f>_xlfn.XLOOKUP('Data Source 1_customer readings'!A416,'Data Source 1_customer readings'!A416:A2814,'Data Source 1_customer readings'!J416:J2814)</f>
        <v>0</v>
      </c>
    </row>
    <row r="417" spans="1:8" x14ac:dyDescent="0.2">
      <c r="A417" s="2" t="s">
        <v>80</v>
      </c>
      <c r="B417" s="2">
        <v>12</v>
      </c>
      <c r="C417" s="2">
        <v>3</v>
      </c>
      <c r="D417" s="2">
        <v>2021</v>
      </c>
      <c r="E417" s="2">
        <v>88.66</v>
      </c>
      <c r="F417" s="2">
        <v>103.23</v>
      </c>
      <c r="H417" s="1">
        <f>_xlfn.XLOOKUP('Data Source 1_customer readings'!A417,'Data Source 1_customer readings'!A417:A2815,'Data Source 1_customer readings'!J417:J2815)</f>
        <v>0</v>
      </c>
    </row>
    <row r="418" spans="1:8" x14ac:dyDescent="0.2">
      <c r="A418" s="2" t="s">
        <v>84</v>
      </c>
      <c r="B418" s="2">
        <v>20</v>
      </c>
      <c r="C418" s="2">
        <v>10</v>
      </c>
      <c r="D418" s="2">
        <v>2021</v>
      </c>
      <c r="E418" s="2">
        <v>88.66</v>
      </c>
      <c r="F418" s="2">
        <v>88.35</v>
      </c>
      <c r="H418" s="1">
        <f>_xlfn.XLOOKUP('Data Source 1_customer readings'!A418,'Data Source 1_customer readings'!A418:A2816,'Data Source 1_customer readings'!J418:J2816)</f>
        <v>0</v>
      </c>
    </row>
    <row r="419" spans="1:8" x14ac:dyDescent="0.2">
      <c r="A419" s="2" t="s">
        <v>65</v>
      </c>
      <c r="B419" s="2">
        <v>11</v>
      </c>
      <c r="C419" s="2">
        <v>4</v>
      </c>
      <c r="D419" s="2">
        <v>2021</v>
      </c>
      <c r="E419" s="2">
        <v>88.2</v>
      </c>
      <c r="F419" s="2">
        <v>89.7</v>
      </c>
      <c r="H419" s="1">
        <f>_xlfn.XLOOKUP('Data Source 1_customer readings'!A419,'Data Source 1_customer readings'!A419:A2817,'Data Source 1_customer readings'!J419:J2817)</f>
        <v>0</v>
      </c>
    </row>
    <row r="420" spans="1:8" x14ac:dyDescent="0.2">
      <c r="A420" s="2" t="s">
        <v>79</v>
      </c>
      <c r="B420" s="2">
        <v>3</v>
      </c>
      <c r="C420" s="2">
        <v>10</v>
      </c>
      <c r="D420" s="2">
        <v>2021</v>
      </c>
      <c r="E420" s="2">
        <v>88.04</v>
      </c>
      <c r="F420" s="2">
        <v>117.18</v>
      </c>
      <c r="H420" s="1">
        <f>_xlfn.XLOOKUP('Data Source 1_customer readings'!A420,'Data Source 1_customer readings'!A420:A2818,'Data Source 1_customer readings'!J420:J2818)</f>
        <v>0</v>
      </c>
    </row>
    <row r="421" spans="1:8" x14ac:dyDescent="0.2">
      <c r="A421" s="2" t="s">
        <v>46</v>
      </c>
      <c r="B421" s="2">
        <v>9</v>
      </c>
      <c r="C421" s="2">
        <v>2</v>
      </c>
      <c r="D421" s="2">
        <v>2021</v>
      </c>
      <c r="E421" s="2">
        <v>87.92</v>
      </c>
      <c r="F421" s="2">
        <v>63.28</v>
      </c>
      <c r="H421" s="1" t="b">
        <f>_xlfn.XLOOKUP('Data Source 1_customer readings'!A421,'Data Source 1_customer readings'!A421:A2819,'Data Source 1_customer readings'!J421:J2819)</f>
        <v>0</v>
      </c>
    </row>
    <row r="422" spans="1:8" x14ac:dyDescent="0.2">
      <c r="A422" s="2" t="s">
        <v>47</v>
      </c>
      <c r="B422" s="2">
        <v>19</v>
      </c>
      <c r="C422" s="2">
        <v>11</v>
      </c>
      <c r="D422" s="2">
        <v>2021</v>
      </c>
      <c r="E422" s="2">
        <v>87.9</v>
      </c>
      <c r="F422" s="2">
        <v>84.9</v>
      </c>
      <c r="H422" s="1" t="b">
        <f>_xlfn.XLOOKUP('Data Source 1_customer readings'!A422,'Data Source 1_customer readings'!A422:A2820,'Data Source 1_customer readings'!J422:J2820)</f>
        <v>0</v>
      </c>
    </row>
    <row r="423" spans="1:8" x14ac:dyDescent="0.2">
      <c r="A423" s="2" t="s">
        <v>45</v>
      </c>
      <c r="B423" s="2">
        <v>18</v>
      </c>
      <c r="C423" s="2">
        <v>12</v>
      </c>
      <c r="D423" s="2">
        <v>2021</v>
      </c>
      <c r="E423" s="2">
        <v>87.73</v>
      </c>
      <c r="F423" s="2">
        <v>68.819999999999993</v>
      </c>
      <c r="H423" s="1">
        <f>_xlfn.XLOOKUP('Data Source 1_customer readings'!A423,'Data Source 1_customer readings'!A423:A2821,'Data Source 1_customer readings'!J423:J2821)</f>
        <v>0</v>
      </c>
    </row>
    <row r="424" spans="1:8" x14ac:dyDescent="0.2">
      <c r="A424" s="2" t="s">
        <v>65</v>
      </c>
      <c r="B424" s="2">
        <v>11</v>
      </c>
      <c r="C424" s="2">
        <v>10</v>
      </c>
      <c r="D424" s="2">
        <v>2021</v>
      </c>
      <c r="E424" s="2">
        <v>87.42</v>
      </c>
      <c r="F424" s="2">
        <v>93.93</v>
      </c>
      <c r="H424" s="1">
        <f>_xlfn.XLOOKUP('Data Source 1_customer readings'!A424,'Data Source 1_customer readings'!A424:A2822,'Data Source 1_customer readings'!J424:J2822)</f>
        <v>0</v>
      </c>
    </row>
    <row r="425" spans="1:8" x14ac:dyDescent="0.2">
      <c r="A425" s="2" t="s">
        <v>70</v>
      </c>
      <c r="B425" s="2">
        <v>16</v>
      </c>
      <c r="C425" s="2">
        <v>4</v>
      </c>
      <c r="D425" s="2">
        <v>2021</v>
      </c>
      <c r="E425" s="2">
        <v>87.3</v>
      </c>
      <c r="F425" s="2">
        <v>106.2</v>
      </c>
      <c r="H425" s="1">
        <f>_xlfn.XLOOKUP('Data Source 1_customer readings'!A425,'Data Source 1_customer readings'!A425:A2823,'Data Source 1_customer readings'!J425:J2823)</f>
        <v>0</v>
      </c>
    </row>
    <row r="426" spans="1:8" x14ac:dyDescent="0.2">
      <c r="A426" s="2" t="s">
        <v>80</v>
      </c>
      <c r="B426" s="2">
        <v>12</v>
      </c>
      <c r="C426" s="2">
        <v>10</v>
      </c>
      <c r="D426" s="2">
        <v>2021</v>
      </c>
      <c r="E426" s="2">
        <v>87.11</v>
      </c>
      <c r="F426" s="2">
        <v>84.94</v>
      </c>
      <c r="H426" s="1">
        <f>_xlfn.XLOOKUP('Data Source 1_customer readings'!A426,'Data Source 1_customer readings'!A426:A2824,'Data Source 1_customer readings'!J426:J2824)</f>
        <v>0</v>
      </c>
    </row>
    <row r="427" spans="1:8" x14ac:dyDescent="0.2">
      <c r="A427" s="2" t="s">
        <v>66</v>
      </c>
      <c r="B427" s="2">
        <v>23</v>
      </c>
      <c r="C427" s="2">
        <v>10</v>
      </c>
      <c r="D427" s="2">
        <v>2021</v>
      </c>
      <c r="E427" s="2">
        <v>87.11</v>
      </c>
      <c r="F427" s="2">
        <v>75.02</v>
      </c>
      <c r="H427" s="1">
        <f>_xlfn.XLOOKUP('Data Source 1_customer readings'!A427,'Data Source 1_customer readings'!A427:A2825,'Data Source 1_customer readings'!J427:J2825)</f>
        <v>0</v>
      </c>
    </row>
    <row r="428" spans="1:8" x14ac:dyDescent="0.2">
      <c r="A428" s="2" t="s">
        <v>61</v>
      </c>
      <c r="B428" s="2">
        <v>23</v>
      </c>
      <c r="C428" s="2">
        <v>4</v>
      </c>
      <c r="D428" s="2">
        <v>2021</v>
      </c>
      <c r="E428" s="2">
        <v>87</v>
      </c>
      <c r="F428" s="2">
        <v>92.7</v>
      </c>
      <c r="H428" s="1">
        <f>_xlfn.XLOOKUP('Data Source 1_customer readings'!A428,'Data Source 1_customer readings'!A428:A2826,'Data Source 1_customer readings'!J428:J2826)</f>
        <v>0</v>
      </c>
    </row>
    <row r="429" spans="1:8" x14ac:dyDescent="0.2">
      <c r="A429" s="2" t="s">
        <v>72</v>
      </c>
      <c r="B429" s="2">
        <v>22</v>
      </c>
      <c r="C429" s="2">
        <v>10</v>
      </c>
      <c r="D429" s="2">
        <v>2021</v>
      </c>
      <c r="E429" s="2">
        <v>86.8</v>
      </c>
      <c r="F429" s="2">
        <v>112.53</v>
      </c>
      <c r="H429" s="1">
        <f>_xlfn.XLOOKUP('Data Source 1_customer readings'!A429,'Data Source 1_customer readings'!A429:A2827,'Data Source 1_customer readings'!J429:J2827)</f>
        <v>0</v>
      </c>
    </row>
    <row r="430" spans="1:8" x14ac:dyDescent="0.2">
      <c r="A430" s="2" t="s">
        <v>64</v>
      </c>
      <c r="B430" s="2">
        <v>21</v>
      </c>
      <c r="C430" s="2">
        <v>2</v>
      </c>
      <c r="D430" s="2">
        <v>2021</v>
      </c>
      <c r="E430" s="2">
        <v>86.8</v>
      </c>
      <c r="F430" s="2">
        <v>69.72</v>
      </c>
      <c r="H430" s="1">
        <f>_xlfn.XLOOKUP('Data Source 1_customer readings'!A430,'Data Source 1_customer readings'!A430:A2828,'Data Source 1_customer readings'!J430:J2828)</f>
        <v>0</v>
      </c>
    </row>
    <row r="431" spans="1:8" x14ac:dyDescent="0.2">
      <c r="A431" s="2" t="s">
        <v>61</v>
      </c>
      <c r="B431" s="2">
        <v>23</v>
      </c>
      <c r="C431" s="2">
        <v>10</v>
      </c>
      <c r="D431" s="2">
        <v>2021</v>
      </c>
      <c r="E431" s="2">
        <v>86.49</v>
      </c>
      <c r="F431" s="2">
        <v>89.9</v>
      </c>
      <c r="H431" s="1">
        <f>_xlfn.XLOOKUP('Data Source 1_customer readings'!A431,'Data Source 1_customer readings'!A431:A2829,'Data Source 1_customer readings'!J431:J2829)</f>
        <v>0</v>
      </c>
    </row>
    <row r="432" spans="1:8" x14ac:dyDescent="0.2">
      <c r="A432" s="2" t="s">
        <v>44</v>
      </c>
      <c r="B432" s="2">
        <v>1</v>
      </c>
      <c r="C432" s="2">
        <v>10</v>
      </c>
      <c r="D432" s="2">
        <v>2021</v>
      </c>
      <c r="E432" s="2">
        <v>86.49</v>
      </c>
      <c r="F432" s="2">
        <v>78.12</v>
      </c>
      <c r="H432" s="1">
        <f>_xlfn.XLOOKUP('Data Source 1_customer readings'!A432,'Data Source 1_customer readings'!A432:A2830,'Data Source 1_customer readings'!J432:J2830)</f>
        <v>0</v>
      </c>
    </row>
    <row r="433" spans="1:8" x14ac:dyDescent="0.2">
      <c r="A433" s="2" t="s">
        <v>70</v>
      </c>
      <c r="B433" s="2">
        <v>16</v>
      </c>
      <c r="C433" s="2">
        <v>3</v>
      </c>
      <c r="D433" s="2">
        <v>2021</v>
      </c>
      <c r="E433" s="2">
        <v>85.87</v>
      </c>
      <c r="F433" s="2">
        <v>91.76</v>
      </c>
      <c r="H433" s="1">
        <f>_xlfn.XLOOKUP('Data Source 1_customer readings'!A433,'Data Source 1_customer readings'!A433:A2831,'Data Source 1_customer readings'!J433:J2831)</f>
        <v>0</v>
      </c>
    </row>
    <row r="434" spans="1:8" x14ac:dyDescent="0.2">
      <c r="A434" s="2" t="s">
        <v>34</v>
      </c>
      <c r="B434" s="2">
        <v>4</v>
      </c>
      <c r="C434" s="2">
        <v>12</v>
      </c>
      <c r="D434" s="2">
        <v>2021</v>
      </c>
      <c r="E434" s="2">
        <v>85.56</v>
      </c>
      <c r="F434" s="2">
        <v>84.32</v>
      </c>
      <c r="H434" s="1">
        <f>_xlfn.XLOOKUP('Data Source 1_customer readings'!A434,'Data Source 1_customer readings'!A434:A2832,'Data Source 1_customer readings'!J434:J2832)</f>
        <v>0</v>
      </c>
    </row>
    <row r="435" spans="1:8" x14ac:dyDescent="0.2">
      <c r="A435" s="2" t="s">
        <v>44</v>
      </c>
      <c r="B435" s="2">
        <v>1</v>
      </c>
      <c r="C435" s="2">
        <v>4</v>
      </c>
      <c r="D435" s="2">
        <v>2021</v>
      </c>
      <c r="E435" s="2">
        <v>85.2</v>
      </c>
      <c r="F435" s="2">
        <v>101.4</v>
      </c>
      <c r="H435" s="1">
        <f>_xlfn.XLOOKUP('Data Source 1_customer readings'!A435,'Data Source 1_customer readings'!A435:A2833,'Data Source 1_customer readings'!J435:J2833)</f>
        <v>0</v>
      </c>
    </row>
    <row r="436" spans="1:8" x14ac:dyDescent="0.2">
      <c r="A436" s="2" t="s">
        <v>82</v>
      </c>
      <c r="B436" s="2">
        <v>8</v>
      </c>
      <c r="C436" s="2">
        <v>10</v>
      </c>
      <c r="D436" s="2">
        <v>2021</v>
      </c>
      <c r="E436" s="2">
        <v>84.94</v>
      </c>
      <c r="F436" s="2">
        <v>64.790000000000006</v>
      </c>
      <c r="H436" s="1">
        <f>_xlfn.XLOOKUP('Data Source 1_customer readings'!A436,'Data Source 1_customer readings'!A436:A2834,'Data Source 1_customer readings'!J436:J2834)</f>
        <v>0</v>
      </c>
    </row>
    <row r="437" spans="1:8" x14ac:dyDescent="0.2">
      <c r="A437" s="2" t="s">
        <v>50</v>
      </c>
      <c r="B437" s="2">
        <v>24</v>
      </c>
      <c r="C437" s="2">
        <v>2</v>
      </c>
      <c r="D437" s="2">
        <v>2021</v>
      </c>
      <c r="E437" s="2">
        <v>84.84</v>
      </c>
      <c r="F437" s="2">
        <v>63.28</v>
      </c>
      <c r="H437" s="1">
        <f>_xlfn.XLOOKUP('Data Source 1_customer readings'!A437,'Data Source 1_customer readings'!A437:A2835,'Data Source 1_customer readings'!J437:J2835)</f>
        <v>0</v>
      </c>
    </row>
    <row r="438" spans="1:8" x14ac:dyDescent="0.2">
      <c r="A438" s="2" t="s">
        <v>62</v>
      </c>
      <c r="B438" s="2">
        <v>1</v>
      </c>
      <c r="C438" s="2">
        <v>3</v>
      </c>
      <c r="D438" s="2">
        <v>2021</v>
      </c>
      <c r="E438" s="2">
        <v>84.63</v>
      </c>
      <c r="F438" s="2">
        <v>77.19</v>
      </c>
      <c r="H438" s="1">
        <f>_xlfn.XLOOKUP('Data Source 1_customer readings'!A438,'Data Source 1_customer readings'!A438:A2836,'Data Source 1_customer readings'!J438:J2836)</f>
        <v>0</v>
      </c>
    </row>
    <row r="439" spans="1:8" x14ac:dyDescent="0.2">
      <c r="A439" s="2" t="s">
        <v>77</v>
      </c>
      <c r="B439" s="2">
        <v>16</v>
      </c>
      <c r="C439" s="2">
        <v>10</v>
      </c>
      <c r="D439" s="2">
        <v>2021</v>
      </c>
      <c r="E439" s="2">
        <v>84.32</v>
      </c>
      <c r="F439" s="2">
        <v>105.71</v>
      </c>
      <c r="H439" s="1" t="b">
        <f>_xlfn.XLOOKUP('Data Source 1_customer readings'!A439,'Data Source 1_customer readings'!A439:A2837,'Data Source 1_customer readings'!J439:J2837)</f>
        <v>0</v>
      </c>
    </row>
    <row r="440" spans="1:8" x14ac:dyDescent="0.2">
      <c r="A440" s="2" t="s">
        <v>82</v>
      </c>
      <c r="B440" s="2">
        <v>8</v>
      </c>
      <c r="C440" s="2">
        <v>3</v>
      </c>
      <c r="D440" s="2">
        <v>2021</v>
      </c>
      <c r="E440" s="2">
        <v>84.32</v>
      </c>
      <c r="F440" s="2">
        <v>77.5</v>
      </c>
      <c r="H440" s="1">
        <f>_xlfn.XLOOKUP('Data Source 1_customer readings'!A440,'Data Source 1_customer readings'!A440:A2838,'Data Source 1_customer readings'!J440:J2838)</f>
        <v>0</v>
      </c>
    </row>
    <row r="441" spans="1:8" x14ac:dyDescent="0.2">
      <c r="A441" s="2" t="s">
        <v>84</v>
      </c>
      <c r="B441" s="2">
        <v>20</v>
      </c>
      <c r="C441" s="2">
        <v>4</v>
      </c>
      <c r="D441" s="2">
        <v>2021</v>
      </c>
      <c r="E441" s="2">
        <v>84.3</v>
      </c>
      <c r="F441" s="2">
        <v>84.3</v>
      </c>
      <c r="H441" s="1">
        <f>_xlfn.XLOOKUP('Data Source 1_customer readings'!A441,'Data Source 1_customer readings'!A441:A2839,'Data Source 1_customer readings'!J441:J2839)</f>
        <v>0</v>
      </c>
    </row>
    <row r="442" spans="1:8" x14ac:dyDescent="0.2">
      <c r="A442" s="2" t="s">
        <v>81</v>
      </c>
      <c r="B442" s="2">
        <v>19</v>
      </c>
      <c r="C442" s="2">
        <v>4</v>
      </c>
      <c r="D442" s="2">
        <v>2021</v>
      </c>
      <c r="E442" s="2">
        <v>83.7</v>
      </c>
      <c r="F442" s="2">
        <v>74.099999999999994</v>
      </c>
      <c r="H442" s="1">
        <f>_xlfn.XLOOKUP('Data Source 1_customer readings'!A442,'Data Source 1_customer readings'!A442:A2840,'Data Source 1_customer readings'!J442:J2840)</f>
        <v>0</v>
      </c>
    </row>
    <row r="443" spans="1:8" x14ac:dyDescent="0.2">
      <c r="A443" s="2" t="s">
        <v>69</v>
      </c>
      <c r="B443" s="2">
        <v>12</v>
      </c>
      <c r="C443" s="2">
        <v>3</v>
      </c>
      <c r="D443" s="2">
        <v>2021</v>
      </c>
      <c r="E443" s="2">
        <v>83.39</v>
      </c>
      <c r="F443" s="2">
        <v>103.54</v>
      </c>
      <c r="H443" s="1" t="b">
        <f>_xlfn.XLOOKUP('Data Source 1_customer readings'!A443,'Data Source 1_customer readings'!A443:A2841,'Data Source 1_customer readings'!J443:J2841)</f>
        <v>0</v>
      </c>
    </row>
    <row r="444" spans="1:8" x14ac:dyDescent="0.2">
      <c r="A444" s="2" t="s">
        <v>55</v>
      </c>
      <c r="B444" s="2">
        <v>18</v>
      </c>
      <c r="C444" s="2">
        <v>10</v>
      </c>
      <c r="D444" s="2">
        <v>2021</v>
      </c>
      <c r="E444" s="2">
        <v>83.39</v>
      </c>
      <c r="F444" s="2">
        <v>84.94</v>
      </c>
      <c r="H444" s="1">
        <f>_xlfn.XLOOKUP('Data Source 1_customer readings'!A444,'Data Source 1_customer readings'!A444:A2842,'Data Source 1_customer readings'!J444:J2842)</f>
        <v>0</v>
      </c>
    </row>
    <row r="445" spans="1:8" x14ac:dyDescent="0.2">
      <c r="A445" s="2" t="s">
        <v>76</v>
      </c>
      <c r="B445" s="2">
        <v>9</v>
      </c>
      <c r="C445" s="2">
        <v>4</v>
      </c>
      <c r="D445" s="2">
        <v>2021</v>
      </c>
      <c r="E445" s="2">
        <v>83.1</v>
      </c>
      <c r="F445" s="2">
        <v>92.4</v>
      </c>
      <c r="H445" s="1" t="b">
        <f>_xlfn.XLOOKUP('Data Source 1_customer readings'!A445,'Data Source 1_customer readings'!A445:A2843,'Data Source 1_customer readings'!J445:J2843)</f>
        <v>0</v>
      </c>
    </row>
    <row r="446" spans="1:8" x14ac:dyDescent="0.2">
      <c r="A446" s="2" t="s">
        <v>80</v>
      </c>
      <c r="B446" s="2">
        <v>12</v>
      </c>
      <c r="C446" s="2">
        <v>4</v>
      </c>
      <c r="D446" s="2">
        <v>2021</v>
      </c>
      <c r="E446" s="2">
        <v>83.1</v>
      </c>
      <c r="F446" s="2">
        <v>77.7</v>
      </c>
      <c r="H446" s="1">
        <f>_xlfn.XLOOKUP('Data Source 1_customer readings'!A446,'Data Source 1_customer readings'!A446:A2844,'Data Source 1_customer readings'!J446:J2844)</f>
        <v>0</v>
      </c>
    </row>
    <row r="447" spans="1:8" x14ac:dyDescent="0.2">
      <c r="A447" s="2" t="s">
        <v>90</v>
      </c>
      <c r="B447" s="2">
        <v>18</v>
      </c>
      <c r="C447" s="2">
        <v>5</v>
      </c>
      <c r="D447" s="2">
        <v>2021</v>
      </c>
      <c r="E447" s="2">
        <v>82.77</v>
      </c>
      <c r="F447" s="2">
        <v>96.1</v>
      </c>
      <c r="H447" s="1">
        <f>_xlfn.XLOOKUP('Data Source 1_customer readings'!A447,'Data Source 1_customer readings'!A447:A2845,'Data Source 1_customer readings'!J447:J2845)</f>
        <v>0</v>
      </c>
    </row>
    <row r="448" spans="1:8" x14ac:dyDescent="0.2">
      <c r="A448" s="2" t="s">
        <v>76</v>
      </c>
      <c r="B448" s="2">
        <v>9</v>
      </c>
      <c r="C448" s="2">
        <v>10</v>
      </c>
      <c r="D448" s="2">
        <v>2021</v>
      </c>
      <c r="E448" s="2">
        <v>82.77</v>
      </c>
      <c r="F448" s="2">
        <v>80.290000000000006</v>
      </c>
      <c r="H448" s="1">
        <f>_xlfn.XLOOKUP('Data Source 1_customer readings'!A448,'Data Source 1_customer readings'!A448:A2846,'Data Source 1_customer readings'!J448:J2846)</f>
        <v>0</v>
      </c>
    </row>
    <row r="449" spans="1:8" x14ac:dyDescent="0.2">
      <c r="A449" s="2" t="s">
        <v>54</v>
      </c>
      <c r="B449" s="2">
        <v>5</v>
      </c>
      <c r="C449" s="2">
        <v>10</v>
      </c>
      <c r="D449" s="2">
        <v>2021</v>
      </c>
      <c r="E449" s="2">
        <v>82.46</v>
      </c>
      <c r="F449" s="2">
        <v>95.17</v>
      </c>
      <c r="H449" s="1">
        <f>_xlfn.XLOOKUP('Data Source 1_customer readings'!A449,'Data Source 1_customer readings'!A449:A2847,'Data Source 1_customer readings'!J449:J2847)</f>
        <v>0</v>
      </c>
    </row>
    <row r="450" spans="1:8" x14ac:dyDescent="0.2">
      <c r="A450" s="2" t="s">
        <v>66</v>
      </c>
      <c r="B450" s="2">
        <v>23</v>
      </c>
      <c r="C450" s="2">
        <v>3</v>
      </c>
      <c r="D450" s="2">
        <v>2021</v>
      </c>
      <c r="E450" s="2">
        <v>82.46</v>
      </c>
      <c r="F450" s="2">
        <v>82.15</v>
      </c>
      <c r="H450" s="1">
        <f>_xlfn.XLOOKUP('Data Source 1_customer readings'!A450,'Data Source 1_customer readings'!A450:A2848,'Data Source 1_customer readings'!J450:J2848)</f>
        <v>0</v>
      </c>
    </row>
    <row r="451" spans="1:8" x14ac:dyDescent="0.2">
      <c r="A451" s="2" t="s">
        <v>76</v>
      </c>
      <c r="B451" s="2">
        <v>9</v>
      </c>
      <c r="C451" s="2">
        <v>3</v>
      </c>
      <c r="D451" s="2">
        <v>2021</v>
      </c>
      <c r="E451" s="2">
        <v>82.15</v>
      </c>
      <c r="F451" s="2">
        <v>94.86</v>
      </c>
      <c r="H451" s="1">
        <f>_xlfn.XLOOKUP('Data Source 1_customer readings'!A451,'Data Source 1_customer readings'!A451:A2849,'Data Source 1_customer readings'!J451:J2849)</f>
        <v>0</v>
      </c>
    </row>
    <row r="452" spans="1:8" x14ac:dyDescent="0.2">
      <c r="A452" s="2" t="s">
        <v>39</v>
      </c>
      <c r="B452" s="2">
        <v>22</v>
      </c>
      <c r="C452" s="2">
        <v>1</v>
      </c>
      <c r="D452" s="2">
        <v>2021</v>
      </c>
      <c r="E452" s="2">
        <v>82.15</v>
      </c>
      <c r="F452" s="2">
        <v>76.260000000000005</v>
      </c>
      <c r="H452" s="1" t="b">
        <f>_xlfn.XLOOKUP('Data Source 1_customer readings'!A452,'Data Source 1_customer readings'!A452:A2850,'Data Source 1_customer readings'!J452:J2850)</f>
        <v>0</v>
      </c>
    </row>
    <row r="453" spans="1:8" x14ac:dyDescent="0.2">
      <c r="A453" s="2" t="s">
        <v>49</v>
      </c>
      <c r="B453" s="2">
        <v>3</v>
      </c>
      <c r="C453" s="2">
        <v>2</v>
      </c>
      <c r="D453" s="2">
        <v>2021</v>
      </c>
      <c r="E453" s="2">
        <v>82.04</v>
      </c>
      <c r="F453" s="2">
        <v>71.400000000000006</v>
      </c>
      <c r="H453" s="1">
        <f>_xlfn.XLOOKUP('Data Source 1_customer readings'!A453,'Data Source 1_customer readings'!A453:A2851,'Data Source 1_customer readings'!J453:J2851)</f>
        <v>0</v>
      </c>
    </row>
    <row r="454" spans="1:8" x14ac:dyDescent="0.2">
      <c r="A454" s="2" t="s">
        <v>57</v>
      </c>
      <c r="B454" s="2">
        <v>17</v>
      </c>
      <c r="C454" s="2">
        <v>10</v>
      </c>
      <c r="D454" s="2">
        <v>2021</v>
      </c>
      <c r="E454" s="2">
        <v>81.84</v>
      </c>
      <c r="F454" s="2">
        <v>88.66</v>
      </c>
      <c r="H454" s="1">
        <f>_xlfn.XLOOKUP('Data Source 1_customer readings'!A454,'Data Source 1_customer readings'!A454:A2852,'Data Source 1_customer readings'!J454:J2852)</f>
        <v>0</v>
      </c>
    </row>
    <row r="455" spans="1:8" x14ac:dyDescent="0.2">
      <c r="A455" s="2" t="s">
        <v>68</v>
      </c>
      <c r="B455" s="2">
        <v>11</v>
      </c>
      <c r="C455" s="2">
        <v>3</v>
      </c>
      <c r="D455" s="2">
        <v>2021</v>
      </c>
      <c r="E455" s="2">
        <v>81.84</v>
      </c>
      <c r="F455" s="2">
        <v>85.87</v>
      </c>
      <c r="H455" s="1">
        <f>_xlfn.XLOOKUP('Data Source 1_customer readings'!A455,'Data Source 1_customer readings'!A455:A2853,'Data Source 1_customer readings'!J455:J2853)</f>
        <v>0</v>
      </c>
    </row>
    <row r="456" spans="1:8" x14ac:dyDescent="0.2">
      <c r="A456" s="2" t="s">
        <v>71</v>
      </c>
      <c r="B456" s="2">
        <v>21</v>
      </c>
      <c r="C456" s="2">
        <v>4</v>
      </c>
      <c r="D456" s="2">
        <v>2021</v>
      </c>
      <c r="E456" s="2">
        <v>81.599999999999994</v>
      </c>
      <c r="F456" s="2">
        <v>111.9</v>
      </c>
      <c r="H456" s="1">
        <f>_xlfn.XLOOKUP('Data Source 1_customer readings'!A456,'Data Source 1_customer readings'!A456:A2854,'Data Source 1_customer readings'!J456:J2854)</f>
        <v>0</v>
      </c>
    </row>
    <row r="457" spans="1:8" x14ac:dyDescent="0.2">
      <c r="A457" s="2" t="s">
        <v>68</v>
      </c>
      <c r="B457" s="2">
        <v>11</v>
      </c>
      <c r="C457" s="2">
        <v>4</v>
      </c>
      <c r="D457" s="2">
        <v>2021</v>
      </c>
      <c r="E457" s="2">
        <v>81.599999999999994</v>
      </c>
      <c r="F457" s="2">
        <v>101.4</v>
      </c>
      <c r="H457" s="1">
        <f>_xlfn.XLOOKUP('Data Source 1_customer readings'!A457,'Data Source 1_customer readings'!A457:A2855,'Data Source 1_customer readings'!J457:J2855)</f>
        <v>0</v>
      </c>
    </row>
    <row r="458" spans="1:8" x14ac:dyDescent="0.2">
      <c r="A458" s="2" t="s">
        <v>54</v>
      </c>
      <c r="B458" s="2">
        <v>5</v>
      </c>
      <c r="C458" s="2">
        <v>4</v>
      </c>
      <c r="D458" s="2">
        <v>2021</v>
      </c>
      <c r="E458" s="2">
        <v>81.599999999999994</v>
      </c>
      <c r="F458" s="2">
        <v>95.1</v>
      </c>
      <c r="H458" s="1">
        <f>_xlfn.XLOOKUP('Data Source 1_customer readings'!A458,'Data Source 1_customer readings'!A458:A2856,'Data Source 1_customer readings'!J458:J2856)</f>
        <v>0</v>
      </c>
    </row>
    <row r="459" spans="1:8" x14ac:dyDescent="0.2">
      <c r="A459" s="2" t="s">
        <v>78</v>
      </c>
      <c r="B459" s="2">
        <v>18</v>
      </c>
      <c r="C459" s="2">
        <v>3</v>
      </c>
      <c r="D459" s="2">
        <v>2021</v>
      </c>
      <c r="E459" s="2">
        <v>81.22</v>
      </c>
      <c r="F459" s="2">
        <v>95.79</v>
      </c>
      <c r="H459" s="1">
        <f>_xlfn.XLOOKUP('Data Source 1_customer readings'!A459,'Data Source 1_customer readings'!A459:A2857,'Data Source 1_customer readings'!J459:J2857)</f>
        <v>0</v>
      </c>
    </row>
    <row r="460" spans="1:8" x14ac:dyDescent="0.2">
      <c r="A460" s="2" t="s">
        <v>56</v>
      </c>
      <c r="B460" s="2">
        <v>14</v>
      </c>
      <c r="C460" s="2">
        <v>4</v>
      </c>
      <c r="D460" s="2">
        <v>2021</v>
      </c>
      <c r="E460" s="2">
        <v>81</v>
      </c>
      <c r="F460" s="2">
        <v>77.099999999999994</v>
      </c>
      <c r="H460" s="1">
        <f>_xlfn.XLOOKUP('Data Source 1_customer readings'!A460,'Data Source 1_customer readings'!A460:A2858,'Data Source 1_customer readings'!J460:J2858)</f>
        <v>0</v>
      </c>
    </row>
    <row r="461" spans="1:8" x14ac:dyDescent="0.2">
      <c r="A461" s="2" t="s">
        <v>93</v>
      </c>
      <c r="B461" s="2">
        <v>3</v>
      </c>
      <c r="C461" s="2">
        <v>9</v>
      </c>
      <c r="D461" s="2">
        <v>2021</v>
      </c>
      <c r="E461" s="2">
        <v>80.7</v>
      </c>
      <c r="F461" s="2">
        <v>84</v>
      </c>
      <c r="H461" s="1" t="b">
        <f>_xlfn.XLOOKUP('Data Source 1_customer readings'!A461,'Data Source 1_customer readings'!A461:A2859,'Data Source 1_customer readings'!J461:J2859)</f>
        <v>0</v>
      </c>
    </row>
    <row r="462" spans="1:8" x14ac:dyDescent="0.2">
      <c r="A462" s="2" t="s">
        <v>62</v>
      </c>
      <c r="B462" s="2">
        <v>1</v>
      </c>
      <c r="C462" s="2">
        <v>4</v>
      </c>
      <c r="D462" s="2">
        <v>2021</v>
      </c>
      <c r="E462" s="2">
        <v>80.7</v>
      </c>
      <c r="F462" s="2">
        <v>61.5</v>
      </c>
      <c r="H462" s="1">
        <f>_xlfn.XLOOKUP('Data Source 1_customer readings'!A462,'Data Source 1_customer readings'!A462:A2860,'Data Source 1_customer readings'!J462:J2860)</f>
        <v>0</v>
      </c>
    </row>
    <row r="463" spans="1:8" x14ac:dyDescent="0.2">
      <c r="A463" s="2" t="s">
        <v>87</v>
      </c>
      <c r="B463" s="2">
        <v>1</v>
      </c>
      <c r="C463" s="2">
        <v>5</v>
      </c>
      <c r="D463" s="2">
        <v>2021</v>
      </c>
      <c r="E463" s="2">
        <v>80.599999999999994</v>
      </c>
      <c r="F463" s="2">
        <v>95.17</v>
      </c>
      <c r="H463" s="1">
        <f>_xlfn.XLOOKUP('Data Source 1_customer readings'!A463,'Data Source 1_customer readings'!A463:A2861,'Data Source 1_customer readings'!J463:J2861)</f>
        <v>0</v>
      </c>
    </row>
    <row r="464" spans="1:8" x14ac:dyDescent="0.2">
      <c r="A464" s="2" t="s">
        <v>66</v>
      </c>
      <c r="B464" s="2">
        <v>23</v>
      </c>
      <c r="C464" s="2">
        <v>4</v>
      </c>
      <c r="D464" s="2">
        <v>2021</v>
      </c>
      <c r="E464" s="2">
        <v>80.099999999999994</v>
      </c>
      <c r="F464" s="2">
        <v>86.1</v>
      </c>
      <c r="H464" s="1">
        <f>_xlfn.XLOOKUP('Data Source 1_customer readings'!A464,'Data Source 1_customer readings'!A464:A2862,'Data Source 1_customer readings'!J464:J2862)</f>
        <v>0</v>
      </c>
    </row>
    <row r="465" spans="1:8" x14ac:dyDescent="0.2">
      <c r="A465" s="2" t="s">
        <v>37</v>
      </c>
      <c r="B465" s="2">
        <v>12</v>
      </c>
      <c r="C465" s="2">
        <v>11</v>
      </c>
      <c r="D465" s="2">
        <v>2021</v>
      </c>
      <c r="E465" s="2">
        <v>80.099999999999994</v>
      </c>
      <c r="F465" s="2">
        <v>76.5</v>
      </c>
      <c r="H465" s="1">
        <f>_xlfn.XLOOKUP('Data Source 1_customer readings'!A465,'Data Source 1_customer readings'!A465:A2863,'Data Source 1_customer readings'!J465:J2863)</f>
        <v>0</v>
      </c>
    </row>
    <row r="466" spans="1:8" x14ac:dyDescent="0.2">
      <c r="A466" s="2" t="s">
        <v>64</v>
      </c>
      <c r="B466" s="2">
        <v>21</v>
      </c>
      <c r="C466" s="2">
        <v>10</v>
      </c>
      <c r="D466" s="2">
        <v>2021</v>
      </c>
      <c r="E466" s="2">
        <v>79.67</v>
      </c>
      <c r="F466" s="2">
        <v>93.93</v>
      </c>
      <c r="H466" s="1">
        <f>_xlfn.XLOOKUP('Data Source 1_customer readings'!A466,'Data Source 1_customer readings'!A466:A2864,'Data Source 1_customer readings'!J466:J2864)</f>
        <v>0</v>
      </c>
    </row>
    <row r="467" spans="1:8" x14ac:dyDescent="0.2">
      <c r="A467" s="2" t="s">
        <v>59</v>
      </c>
      <c r="B467" s="2">
        <v>11</v>
      </c>
      <c r="C467" s="2">
        <v>3</v>
      </c>
      <c r="D467" s="2">
        <v>2021</v>
      </c>
      <c r="E467" s="2">
        <v>79.67</v>
      </c>
      <c r="F467" s="2">
        <v>92.07</v>
      </c>
      <c r="H467" s="1">
        <f>_xlfn.XLOOKUP('Data Source 1_customer readings'!A467,'Data Source 1_customer readings'!A467:A2865,'Data Source 1_customer readings'!J467:J2865)</f>
        <v>0</v>
      </c>
    </row>
    <row r="468" spans="1:8" x14ac:dyDescent="0.2">
      <c r="A468" s="2" t="s">
        <v>74</v>
      </c>
      <c r="B468" s="2">
        <v>5</v>
      </c>
      <c r="C468" s="2">
        <v>3</v>
      </c>
      <c r="D468" s="2">
        <v>2021</v>
      </c>
      <c r="E468" s="2">
        <v>79.67</v>
      </c>
      <c r="F468" s="2">
        <v>83.08</v>
      </c>
      <c r="H468" s="1">
        <f>_xlfn.XLOOKUP('Data Source 1_customer readings'!A468,'Data Source 1_customer readings'!A468:A2866,'Data Source 1_customer readings'!J468:J2866)</f>
        <v>0</v>
      </c>
    </row>
    <row r="469" spans="1:8" x14ac:dyDescent="0.2">
      <c r="A469" s="2" t="s">
        <v>78</v>
      </c>
      <c r="B469" s="2">
        <v>18</v>
      </c>
      <c r="C469" s="2">
        <v>4</v>
      </c>
      <c r="D469" s="2">
        <v>2021</v>
      </c>
      <c r="E469" s="2">
        <v>79.5</v>
      </c>
      <c r="F469" s="2">
        <v>95.7</v>
      </c>
      <c r="H469" s="1">
        <f>_xlfn.XLOOKUP('Data Source 1_customer readings'!A469,'Data Source 1_customer readings'!A469:A2867,'Data Source 1_customer readings'!J469:J2867)</f>
        <v>0</v>
      </c>
    </row>
    <row r="470" spans="1:8" x14ac:dyDescent="0.2">
      <c r="A470" s="2" t="s">
        <v>73</v>
      </c>
      <c r="B470" s="2">
        <v>5</v>
      </c>
      <c r="C470" s="2">
        <v>4</v>
      </c>
      <c r="D470" s="2">
        <v>2021</v>
      </c>
      <c r="E470" s="2">
        <v>79.5</v>
      </c>
      <c r="F470" s="2">
        <v>84.9</v>
      </c>
      <c r="H470" s="1">
        <f>_xlfn.XLOOKUP('Data Source 1_customer readings'!A470,'Data Source 1_customer readings'!A470:A2868,'Data Source 1_customer readings'!J470:J2868)</f>
        <v>0</v>
      </c>
    </row>
    <row r="471" spans="1:8" x14ac:dyDescent="0.2">
      <c r="A471" s="2" t="s">
        <v>74</v>
      </c>
      <c r="B471" s="2">
        <v>5</v>
      </c>
      <c r="C471" s="2">
        <v>10</v>
      </c>
      <c r="D471" s="2">
        <v>2021</v>
      </c>
      <c r="E471" s="2">
        <v>79.36</v>
      </c>
      <c r="F471" s="2">
        <v>96.41</v>
      </c>
      <c r="H471" s="1" t="b">
        <f>_xlfn.XLOOKUP('Data Source 1_customer readings'!A471,'Data Source 1_customer readings'!A471:A2869,'Data Source 1_customer readings'!J471:J2869)</f>
        <v>0</v>
      </c>
    </row>
    <row r="472" spans="1:8" x14ac:dyDescent="0.2">
      <c r="A472" s="2" t="s">
        <v>69</v>
      </c>
      <c r="B472" s="2">
        <v>12</v>
      </c>
      <c r="C472" s="2">
        <v>4</v>
      </c>
      <c r="D472" s="2">
        <v>2021</v>
      </c>
      <c r="E472" s="2">
        <v>78.900000000000006</v>
      </c>
      <c r="F472" s="2">
        <v>102.3</v>
      </c>
      <c r="H472" s="1">
        <f>_xlfn.XLOOKUP('Data Source 1_customer readings'!A472,'Data Source 1_customer readings'!A472:A2870,'Data Source 1_customer readings'!J472:J2870)</f>
        <v>0</v>
      </c>
    </row>
    <row r="473" spans="1:8" x14ac:dyDescent="0.2">
      <c r="A473" s="2" t="s">
        <v>67</v>
      </c>
      <c r="B473" s="2">
        <v>13</v>
      </c>
      <c r="C473" s="2">
        <v>4</v>
      </c>
      <c r="D473" s="2">
        <v>2021</v>
      </c>
      <c r="E473" s="2">
        <v>78.900000000000006</v>
      </c>
      <c r="F473" s="2">
        <v>83.7</v>
      </c>
      <c r="H473" s="1">
        <f>_xlfn.XLOOKUP('Data Source 1_customer readings'!A473,'Data Source 1_customer readings'!A473:A2871,'Data Source 1_customer readings'!J473:J2871)</f>
        <v>0</v>
      </c>
    </row>
    <row r="474" spans="1:8" x14ac:dyDescent="0.2">
      <c r="A474" s="2" t="s">
        <v>78</v>
      </c>
      <c r="B474" s="2">
        <v>18</v>
      </c>
      <c r="C474" s="2">
        <v>10</v>
      </c>
      <c r="D474" s="2">
        <v>2021</v>
      </c>
      <c r="E474" s="2">
        <v>78.739999999999995</v>
      </c>
      <c r="F474" s="2">
        <v>93.62</v>
      </c>
      <c r="H474" s="1">
        <f>_xlfn.XLOOKUP('Data Source 1_customer readings'!A474,'Data Source 1_customer readings'!A474:A2872,'Data Source 1_customer readings'!J474:J2872)</f>
        <v>0</v>
      </c>
    </row>
    <row r="475" spans="1:8" x14ac:dyDescent="0.2">
      <c r="A475" s="2" t="s">
        <v>57</v>
      </c>
      <c r="B475" s="2">
        <v>17</v>
      </c>
      <c r="C475" s="2">
        <v>4</v>
      </c>
      <c r="D475" s="2">
        <v>2021</v>
      </c>
      <c r="E475" s="2">
        <v>78.599999999999994</v>
      </c>
      <c r="F475" s="2">
        <v>70.8</v>
      </c>
      <c r="H475" s="1">
        <f>_xlfn.XLOOKUP('Data Source 1_customer readings'!A475,'Data Source 1_customer readings'!A475:A2873,'Data Source 1_customer readings'!J475:J2873)</f>
        <v>0</v>
      </c>
    </row>
    <row r="476" spans="1:8" x14ac:dyDescent="0.2">
      <c r="A476" s="2" t="s">
        <v>60</v>
      </c>
      <c r="B476" s="2">
        <v>20</v>
      </c>
      <c r="C476" s="2">
        <v>3</v>
      </c>
      <c r="D476" s="2">
        <v>2021</v>
      </c>
      <c r="E476" s="2">
        <v>78.430000000000007</v>
      </c>
      <c r="F476" s="2">
        <v>87.42</v>
      </c>
      <c r="H476" s="1">
        <f>_xlfn.XLOOKUP('Data Source 1_customer readings'!A476,'Data Source 1_customer readings'!A476:A2874,'Data Source 1_customer readings'!J476:J2874)</f>
        <v>0</v>
      </c>
    </row>
    <row r="477" spans="1:8" x14ac:dyDescent="0.2">
      <c r="A477" s="2" t="s">
        <v>59</v>
      </c>
      <c r="B477" s="2">
        <v>11</v>
      </c>
      <c r="C477" s="2">
        <v>4</v>
      </c>
      <c r="D477" s="2">
        <v>2021</v>
      </c>
      <c r="E477" s="2">
        <v>78.3</v>
      </c>
      <c r="F477" s="2">
        <v>99.3</v>
      </c>
      <c r="H477" s="1">
        <f>_xlfn.XLOOKUP('Data Source 1_customer readings'!A477,'Data Source 1_customer readings'!A477:A2875,'Data Source 1_customer readings'!J477:J2875)</f>
        <v>0</v>
      </c>
    </row>
    <row r="478" spans="1:8" x14ac:dyDescent="0.2">
      <c r="A478" s="2" t="s">
        <v>75</v>
      </c>
      <c r="B478" s="2">
        <v>2</v>
      </c>
      <c r="C478" s="2">
        <v>4</v>
      </c>
      <c r="D478" s="2">
        <v>2021</v>
      </c>
      <c r="E478" s="2">
        <v>78</v>
      </c>
      <c r="F478" s="2">
        <v>87.3</v>
      </c>
      <c r="H478" s="1">
        <f>_xlfn.XLOOKUP('Data Source 1_customer readings'!A478,'Data Source 1_customer readings'!A478:A2876,'Data Source 1_customer readings'!J478:J2876)</f>
        <v>0</v>
      </c>
    </row>
    <row r="479" spans="1:8" x14ac:dyDescent="0.2">
      <c r="A479" s="2" t="s">
        <v>59</v>
      </c>
      <c r="B479" s="2">
        <v>11</v>
      </c>
      <c r="C479" s="2">
        <v>10</v>
      </c>
      <c r="D479" s="2">
        <v>2021</v>
      </c>
      <c r="E479" s="2">
        <v>77.81</v>
      </c>
      <c r="F479" s="2">
        <v>93.31</v>
      </c>
      <c r="H479" s="1">
        <f>_xlfn.XLOOKUP('Data Source 1_customer readings'!A479,'Data Source 1_customer readings'!A479:A2877,'Data Source 1_customer readings'!J479:J2877)</f>
        <v>0</v>
      </c>
    </row>
    <row r="480" spans="1:8" x14ac:dyDescent="0.2">
      <c r="A480" s="2" t="s">
        <v>73</v>
      </c>
      <c r="B480" s="2">
        <v>5</v>
      </c>
      <c r="C480" s="2">
        <v>3</v>
      </c>
      <c r="D480" s="2">
        <v>2021</v>
      </c>
      <c r="E480" s="2">
        <v>77.5</v>
      </c>
      <c r="F480" s="2">
        <v>92.07</v>
      </c>
      <c r="H480" s="1">
        <f>_xlfn.XLOOKUP('Data Source 1_customer readings'!A480,'Data Source 1_customer readings'!A480:A2878,'Data Source 1_customer readings'!J480:J2878)</f>
        <v>0</v>
      </c>
    </row>
    <row r="481" spans="1:8" x14ac:dyDescent="0.2">
      <c r="A481" s="2" t="s">
        <v>48</v>
      </c>
      <c r="B481" s="2">
        <v>24</v>
      </c>
      <c r="C481" s="2">
        <v>10</v>
      </c>
      <c r="D481" s="2">
        <v>2021</v>
      </c>
      <c r="E481" s="2">
        <v>77.5</v>
      </c>
      <c r="F481" s="2">
        <v>77.5</v>
      </c>
      <c r="H481" s="1">
        <f>_xlfn.XLOOKUP('Data Source 1_customer readings'!A481,'Data Source 1_customer readings'!A481:A2879,'Data Source 1_customer readings'!J481:J2879)</f>
        <v>0</v>
      </c>
    </row>
    <row r="482" spans="1:8" x14ac:dyDescent="0.2">
      <c r="A482" s="2" t="s">
        <v>62</v>
      </c>
      <c r="B482" s="2">
        <v>1</v>
      </c>
      <c r="C482" s="2">
        <v>10</v>
      </c>
      <c r="D482" s="2">
        <v>2021</v>
      </c>
      <c r="E482" s="2">
        <v>77.5</v>
      </c>
      <c r="F482" s="2">
        <v>75.64</v>
      </c>
      <c r="H482" s="1">
        <f>_xlfn.XLOOKUP('Data Source 1_customer readings'!A482,'Data Source 1_customer readings'!A482:A2880,'Data Source 1_customer readings'!J482:J2880)</f>
        <v>0</v>
      </c>
    </row>
    <row r="483" spans="1:8" x14ac:dyDescent="0.2">
      <c r="A483" s="2" t="s">
        <v>60</v>
      </c>
      <c r="B483" s="2">
        <v>20</v>
      </c>
      <c r="C483" s="2">
        <v>4</v>
      </c>
      <c r="D483" s="2">
        <v>2021</v>
      </c>
      <c r="E483" s="2">
        <v>77.400000000000006</v>
      </c>
      <c r="F483" s="2">
        <v>78.599999999999994</v>
      </c>
      <c r="H483" s="1">
        <f>_xlfn.XLOOKUP('Data Source 1_customer readings'!A483,'Data Source 1_customer readings'!A483:A2881,'Data Source 1_customer readings'!J483:J2881)</f>
        <v>0</v>
      </c>
    </row>
    <row r="484" spans="1:8" x14ac:dyDescent="0.2">
      <c r="A484" s="2" t="s">
        <v>87</v>
      </c>
      <c r="B484" s="2">
        <v>1</v>
      </c>
      <c r="C484" s="2">
        <v>9</v>
      </c>
      <c r="D484" s="2">
        <v>2021</v>
      </c>
      <c r="E484" s="2">
        <v>77.400000000000006</v>
      </c>
      <c r="F484" s="2">
        <v>78</v>
      </c>
      <c r="H484" s="1">
        <f>_xlfn.XLOOKUP('Data Source 1_customer readings'!A484,'Data Source 1_customer readings'!A484:A2882,'Data Source 1_customer readings'!J484:J2882)</f>
        <v>0</v>
      </c>
    </row>
    <row r="485" spans="1:8" x14ac:dyDescent="0.2">
      <c r="A485" s="2" t="s">
        <v>92</v>
      </c>
      <c r="B485" s="2">
        <v>7</v>
      </c>
      <c r="C485" s="2">
        <v>9</v>
      </c>
      <c r="D485" s="2">
        <v>2021</v>
      </c>
      <c r="E485" s="2">
        <v>77.400000000000006</v>
      </c>
      <c r="F485" s="2">
        <v>72.3</v>
      </c>
      <c r="H485" s="1">
        <f>_xlfn.XLOOKUP('Data Source 1_customer readings'!A485,'Data Source 1_customer readings'!A485:A2883,'Data Source 1_customer readings'!J485:J2883)</f>
        <v>0</v>
      </c>
    </row>
    <row r="486" spans="1:8" x14ac:dyDescent="0.2">
      <c r="A486" s="2" t="s">
        <v>69</v>
      </c>
      <c r="B486" s="2">
        <v>12</v>
      </c>
      <c r="C486" s="2">
        <v>10</v>
      </c>
      <c r="D486" s="2">
        <v>2021</v>
      </c>
      <c r="E486" s="2">
        <v>77.19</v>
      </c>
      <c r="F486" s="2">
        <v>106.02</v>
      </c>
      <c r="H486" s="1">
        <f>_xlfn.XLOOKUP('Data Source 1_customer readings'!A486,'Data Source 1_customer readings'!A486:A2884,'Data Source 1_customer readings'!J486:J2884)</f>
        <v>0</v>
      </c>
    </row>
    <row r="487" spans="1:8" x14ac:dyDescent="0.2">
      <c r="A487" s="2" t="s">
        <v>52</v>
      </c>
      <c r="B487" s="2">
        <v>1</v>
      </c>
      <c r="C487" s="2">
        <v>10</v>
      </c>
      <c r="D487" s="2">
        <v>2021</v>
      </c>
      <c r="E487" s="2">
        <v>76.88</v>
      </c>
      <c r="F487" s="2">
        <v>99.2</v>
      </c>
      <c r="H487" s="1">
        <f>_xlfn.XLOOKUP('Data Source 1_customer readings'!A487,'Data Source 1_customer readings'!A487:A2885,'Data Source 1_customer readings'!J487:J2885)</f>
        <v>0</v>
      </c>
    </row>
    <row r="488" spans="1:8" x14ac:dyDescent="0.2">
      <c r="A488" s="2" t="s">
        <v>67</v>
      </c>
      <c r="B488" s="2">
        <v>13</v>
      </c>
      <c r="C488" s="2">
        <v>10</v>
      </c>
      <c r="D488" s="2">
        <v>2021</v>
      </c>
      <c r="E488" s="2">
        <v>76.88</v>
      </c>
      <c r="F488" s="2">
        <v>83.08</v>
      </c>
      <c r="H488" s="1">
        <f>_xlfn.XLOOKUP('Data Source 1_customer readings'!A488,'Data Source 1_customer readings'!A488:A2886,'Data Source 1_customer readings'!J488:J2886)</f>
        <v>0</v>
      </c>
    </row>
    <row r="489" spans="1:8" x14ac:dyDescent="0.2">
      <c r="A489" s="2" t="s">
        <v>93</v>
      </c>
      <c r="B489" s="2">
        <v>3</v>
      </c>
      <c r="C489" s="2">
        <v>7</v>
      </c>
      <c r="D489" s="2">
        <v>2021</v>
      </c>
      <c r="E489" s="2">
        <v>76.88</v>
      </c>
      <c r="F489" s="2">
        <v>77.5</v>
      </c>
      <c r="H489" s="1">
        <f>_xlfn.XLOOKUP('Data Source 1_customer readings'!A489,'Data Source 1_customer readings'!A489:A2887,'Data Source 1_customer readings'!J489:J2887)</f>
        <v>0</v>
      </c>
    </row>
    <row r="490" spans="1:8" x14ac:dyDescent="0.2">
      <c r="A490" s="2" t="s">
        <v>39</v>
      </c>
      <c r="B490" s="2">
        <v>22</v>
      </c>
      <c r="C490" s="2">
        <v>11</v>
      </c>
      <c r="D490" s="2">
        <v>2021</v>
      </c>
      <c r="E490" s="2">
        <v>76.8</v>
      </c>
      <c r="F490" s="2">
        <v>69.900000000000006</v>
      </c>
      <c r="H490" s="1" t="b">
        <f>_xlfn.XLOOKUP('Data Source 1_customer readings'!A490,'Data Source 1_customer readings'!A490:A2888,'Data Source 1_customer readings'!J490:J2888)</f>
        <v>0</v>
      </c>
    </row>
    <row r="491" spans="1:8" x14ac:dyDescent="0.2">
      <c r="A491" s="2" t="s">
        <v>75</v>
      </c>
      <c r="B491" s="2">
        <v>2</v>
      </c>
      <c r="C491" s="2">
        <v>10</v>
      </c>
      <c r="D491" s="2">
        <v>2021</v>
      </c>
      <c r="E491" s="2">
        <v>76.569999999999993</v>
      </c>
      <c r="F491" s="2">
        <v>83.39</v>
      </c>
      <c r="H491" s="1">
        <f>_xlfn.XLOOKUP('Data Source 1_customer readings'!A491,'Data Source 1_customer readings'!A491:A2889,'Data Source 1_customer readings'!J491:J2889)</f>
        <v>0</v>
      </c>
    </row>
    <row r="492" spans="1:8" x14ac:dyDescent="0.2">
      <c r="A492" s="2" t="s">
        <v>60</v>
      </c>
      <c r="B492" s="2">
        <v>20</v>
      </c>
      <c r="C492" s="2">
        <v>10</v>
      </c>
      <c r="D492" s="2">
        <v>2021</v>
      </c>
      <c r="E492" s="2">
        <v>76.260000000000005</v>
      </c>
      <c r="F492" s="2">
        <v>99.82</v>
      </c>
      <c r="H492" s="1">
        <f>_xlfn.XLOOKUP('Data Source 1_customer readings'!A492,'Data Source 1_customer readings'!A492:A2890,'Data Source 1_customer readings'!J492:J2890)</f>
        <v>0</v>
      </c>
    </row>
    <row r="493" spans="1:8" x14ac:dyDescent="0.2">
      <c r="A493" s="2" t="s">
        <v>56</v>
      </c>
      <c r="B493" s="2">
        <v>14</v>
      </c>
      <c r="C493" s="2">
        <v>10</v>
      </c>
      <c r="D493" s="2">
        <v>2021</v>
      </c>
      <c r="E493" s="2">
        <v>75.64</v>
      </c>
      <c r="F493" s="2">
        <v>101.68</v>
      </c>
      <c r="H493" s="1">
        <f>_xlfn.XLOOKUP('Data Source 1_customer readings'!A493,'Data Source 1_customer readings'!A493:A2891,'Data Source 1_customer readings'!J493:J2891)</f>
        <v>0</v>
      </c>
    </row>
    <row r="494" spans="1:8" x14ac:dyDescent="0.2">
      <c r="A494" s="2" t="s">
        <v>44</v>
      </c>
      <c r="B494" s="2">
        <v>1</v>
      </c>
      <c r="C494" s="2">
        <v>3</v>
      </c>
      <c r="D494" s="2">
        <v>2021</v>
      </c>
      <c r="E494" s="2">
        <v>75.33</v>
      </c>
      <c r="F494" s="2">
        <v>102.3</v>
      </c>
      <c r="H494" s="1" t="b">
        <f>_xlfn.XLOOKUP('Data Source 1_customer readings'!A494,'Data Source 1_customer readings'!A494:A2892,'Data Source 1_customer readings'!J494:J2892)</f>
        <v>0</v>
      </c>
    </row>
    <row r="495" spans="1:8" x14ac:dyDescent="0.2">
      <c r="A495" s="2" t="s">
        <v>63</v>
      </c>
      <c r="B495" s="2">
        <v>25</v>
      </c>
      <c r="C495" s="2">
        <v>3</v>
      </c>
      <c r="D495" s="2">
        <v>2021</v>
      </c>
      <c r="E495" s="2">
        <v>75.33</v>
      </c>
      <c r="F495" s="2">
        <v>100.75</v>
      </c>
      <c r="H495" s="1">
        <f>_xlfn.XLOOKUP('Data Source 1_customer readings'!A495,'Data Source 1_customer readings'!A495:A2893,'Data Source 1_customer readings'!J495:J2893)</f>
        <v>0</v>
      </c>
    </row>
    <row r="496" spans="1:8" x14ac:dyDescent="0.2">
      <c r="A496" s="2" t="s">
        <v>88</v>
      </c>
      <c r="B496" s="2">
        <v>23</v>
      </c>
      <c r="C496" s="2">
        <v>5</v>
      </c>
      <c r="D496" s="2">
        <v>2021</v>
      </c>
      <c r="E496" s="2">
        <v>75.02</v>
      </c>
      <c r="F496" s="2">
        <v>99.82</v>
      </c>
      <c r="H496" s="1">
        <f>_xlfn.XLOOKUP('Data Source 1_customer readings'!A496,'Data Source 1_customer readings'!A496:A2894,'Data Source 1_customer readings'!J496:J2894)</f>
        <v>0</v>
      </c>
    </row>
    <row r="497" spans="1:8" x14ac:dyDescent="0.2">
      <c r="A497" s="2" t="s">
        <v>75</v>
      </c>
      <c r="B497" s="2">
        <v>2</v>
      </c>
      <c r="C497" s="2">
        <v>3</v>
      </c>
      <c r="D497" s="2">
        <v>2021</v>
      </c>
      <c r="E497" s="2">
        <v>75.02</v>
      </c>
      <c r="F497" s="2">
        <v>75.95</v>
      </c>
      <c r="H497" s="1">
        <f>_xlfn.XLOOKUP('Data Source 1_customer readings'!A497,'Data Source 1_customer readings'!A497:A2895,'Data Source 1_customer readings'!J497:J2895)</f>
        <v>0</v>
      </c>
    </row>
    <row r="498" spans="1:8" x14ac:dyDescent="0.2">
      <c r="A498" s="2" t="s">
        <v>74</v>
      </c>
      <c r="B498" s="2">
        <v>5</v>
      </c>
      <c r="C498" s="2">
        <v>4</v>
      </c>
      <c r="D498" s="2">
        <v>2021</v>
      </c>
      <c r="E498" s="2">
        <v>75</v>
      </c>
      <c r="F498" s="2">
        <v>99</v>
      </c>
      <c r="H498" s="1">
        <f>_xlfn.XLOOKUP('Data Source 1_customer readings'!A498,'Data Source 1_customer readings'!A498:A2896,'Data Source 1_customer readings'!J498:J2896)</f>
        <v>0</v>
      </c>
    </row>
    <row r="499" spans="1:8" x14ac:dyDescent="0.2">
      <c r="A499" s="2" t="s">
        <v>38</v>
      </c>
      <c r="B499" s="2">
        <v>21</v>
      </c>
      <c r="C499" s="2">
        <v>3</v>
      </c>
      <c r="D499" s="2">
        <v>2021</v>
      </c>
      <c r="E499" s="2">
        <v>74.400000000000006</v>
      </c>
      <c r="F499" s="2">
        <v>98.89</v>
      </c>
      <c r="H499" s="1">
        <f>_xlfn.XLOOKUP('Data Source 1_customer readings'!A499,'Data Source 1_customer readings'!A499:A2897,'Data Source 1_customer readings'!J499:J2897)</f>
        <v>0</v>
      </c>
    </row>
    <row r="500" spans="1:8" x14ac:dyDescent="0.2">
      <c r="A500" s="2" t="s">
        <v>51</v>
      </c>
      <c r="B500" s="2">
        <v>16</v>
      </c>
      <c r="C500" s="2">
        <v>10</v>
      </c>
      <c r="D500" s="2">
        <v>2021</v>
      </c>
      <c r="E500" s="2">
        <v>74.400000000000006</v>
      </c>
      <c r="F500" s="2">
        <v>74.709999999999994</v>
      </c>
      <c r="H500" s="1">
        <f>_xlfn.XLOOKUP('Data Source 1_customer readings'!A500,'Data Source 1_customer readings'!A500:A2898,'Data Source 1_customer readings'!J500:J2898)</f>
        <v>0</v>
      </c>
    </row>
    <row r="501" spans="1:8" x14ac:dyDescent="0.2">
      <c r="A501" s="2" t="s">
        <v>43</v>
      </c>
      <c r="B501" s="2">
        <v>15</v>
      </c>
      <c r="C501" s="2">
        <v>4</v>
      </c>
      <c r="D501" s="2">
        <v>2021</v>
      </c>
      <c r="E501" s="2">
        <v>74.099999999999994</v>
      </c>
      <c r="F501" s="2">
        <v>86.7</v>
      </c>
      <c r="H501" s="1">
        <f>_xlfn.XLOOKUP('Data Source 1_customer readings'!A501,'Data Source 1_customer readings'!A501:A2899,'Data Source 1_customer readings'!J501:J2899)</f>
        <v>0</v>
      </c>
    </row>
    <row r="502" spans="1:8" x14ac:dyDescent="0.2">
      <c r="A502" s="2" t="s">
        <v>63</v>
      </c>
      <c r="B502" s="2">
        <v>25</v>
      </c>
      <c r="C502" s="2">
        <v>4</v>
      </c>
      <c r="D502" s="2">
        <v>2021</v>
      </c>
      <c r="E502" s="2">
        <v>74.099999999999994</v>
      </c>
      <c r="F502" s="2">
        <v>84.6</v>
      </c>
      <c r="H502" s="1">
        <f>_xlfn.XLOOKUP('Data Source 1_customer readings'!A502,'Data Source 1_customer readings'!A502:A2900,'Data Source 1_customer readings'!J502:J2900)</f>
        <v>0</v>
      </c>
    </row>
    <row r="503" spans="1:8" x14ac:dyDescent="0.2">
      <c r="A503" s="2" t="s">
        <v>57</v>
      </c>
      <c r="B503" s="2">
        <v>17</v>
      </c>
      <c r="C503" s="2">
        <v>3</v>
      </c>
      <c r="D503" s="2">
        <v>2021</v>
      </c>
      <c r="E503" s="2">
        <v>74.09</v>
      </c>
      <c r="F503" s="2">
        <v>94.55</v>
      </c>
      <c r="H503" s="1">
        <f>_xlfn.XLOOKUP('Data Source 1_customer readings'!A503,'Data Source 1_customer readings'!A503:A2901,'Data Source 1_customer readings'!J503:J2901)</f>
        <v>0</v>
      </c>
    </row>
    <row r="504" spans="1:8" x14ac:dyDescent="0.2">
      <c r="A504" s="2" t="s">
        <v>54</v>
      </c>
      <c r="B504" s="2">
        <v>5</v>
      </c>
      <c r="C504" s="2">
        <v>3</v>
      </c>
      <c r="D504" s="2">
        <v>2021</v>
      </c>
      <c r="E504" s="2">
        <v>74.09</v>
      </c>
      <c r="F504" s="2">
        <v>88.66</v>
      </c>
      <c r="H504" s="1">
        <f>_xlfn.XLOOKUP('Data Source 1_customer readings'!A504,'Data Source 1_customer readings'!A504:A2902,'Data Source 1_customer readings'!J504:J2902)</f>
        <v>0</v>
      </c>
    </row>
    <row r="505" spans="1:8" x14ac:dyDescent="0.2">
      <c r="A505" s="2" t="s">
        <v>93</v>
      </c>
      <c r="B505" s="2">
        <v>3</v>
      </c>
      <c r="C505" s="2">
        <v>8</v>
      </c>
      <c r="D505" s="2">
        <v>2021</v>
      </c>
      <c r="E505" s="2">
        <v>74.09</v>
      </c>
      <c r="F505" s="2">
        <v>73.47</v>
      </c>
      <c r="H505" s="1">
        <f>_xlfn.XLOOKUP('Data Source 1_customer readings'!A505,'Data Source 1_customer readings'!A505:A2903,'Data Source 1_customer readings'!J505:J2903)</f>
        <v>0</v>
      </c>
    </row>
    <row r="506" spans="1:8" x14ac:dyDescent="0.2">
      <c r="A506" s="2" t="s">
        <v>58</v>
      </c>
      <c r="B506" s="2">
        <v>16</v>
      </c>
      <c r="C506" s="2">
        <v>10</v>
      </c>
      <c r="D506" s="2">
        <v>2021</v>
      </c>
      <c r="E506" s="2">
        <v>74.09</v>
      </c>
      <c r="F506" s="2">
        <v>66.959999999999994</v>
      </c>
      <c r="H506" s="1">
        <f>_xlfn.XLOOKUP('Data Source 1_customer readings'!A506,'Data Source 1_customer readings'!A506:A2904,'Data Source 1_customer readings'!J506:J2904)</f>
        <v>0</v>
      </c>
    </row>
    <row r="507" spans="1:8" x14ac:dyDescent="0.2">
      <c r="A507" s="2" t="s">
        <v>82</v>
      </c>
      <c r="B507" s="2">
        <v>8</v>
      </c>
      <c r="C507" s="2">
        <v>4</v>
      </c>
      <c r="D507" s="2">
        <v>2021</v>
      </c>
      <c r="E507" s="2">
        <v>73.8</v>
      </c>
      <c r="F507" s="2">
        <v>63</v>
      </c>
      <c r="H507" s="1">
        <f>_xlfn.XLOOKUP('Data Source 1_customer readings'!A507,'Data Source 1_customer readings'!A507:A2905,'Data Source 1_customer readings'!J507:J2905)</f>
        <v>0</v>
      </c>
    </row>
    <row r="508" spans="1:8" x14ac:dyDescent="0.2">
      <c r="A508" s="2" t="s">
        <v>56</v>
      </c>
      <c r="B508" s="2">
        <v>14</v>
      </c>
      <c r="C508" s="2">
        <v>3</v>
      </c>
      <c r="D508" s="2">
        <v>2021</v>
      </c>
      <c r="E508" s="2">
        <v>73.47</v>
      </c>
      <c r="F508" s="2">
        <v>100.75</v>
      </c>
      <c r="H508" s="1">
        <f>_xlfn.XLOOKUP('Data Source 1_customer readings'!A508,'Data Source 1_customer readings'!A508:A2906,'Data Source 1_customer readings'!J508:J2906)</f>
        <v>0</v>
      </c>
    </row>
    <row r="509" spans="1:8" x14ac:dyDescent="0.2">
      <c r="A509" s="2" t="s">
        <v>61</v>
      </c>
      <c r="B509" s="2">
        <v>23</v>
      </c>
      <c r="C509" s="2">
        <v>3</v>
      </c>
      <c r="D509" s="2">
        <v>2021</v>
      </c>
      <c r="E509" s="2">
        <v>73.16</v>
      </c>
      <c r="F509" s="2">
        <v>93.31</v>
      </c>
      <c r="H509" s="1">
        <f>_xlfn.XLOOKUP('Data Source 1_customer readings'!A509,'Data Source 1_customer readings'!A509:A2907,'Data Source 1_customer readings'!J509:J2907)</f>
        <v>0</v>
      </c>
    </row>
    <row r="510" spans="1:8" x14ac:dyDescent="0.2">
      <c r="A510" s="2" t="s">
        <v>53</v>
      </c>
      <c r="B510" s="2">
        <v>18</v>
      </c>
      <c r="C510" s="2">
        <v>3</v>
      </c>
      <c r="D510" s="2">
        <v>2021</v>
      </c>
      <c r="E510" s="2">
        <v>73.16</v>
      </c>
      <c r="F510" s="2">
        <v>87.42</v>
      </c>
      <c r="H510" s="1">
        <f>_xlfn.XLOOKUP('Data Source 1_customer readings'!A510,'Data Source 1_customer readings'!A510:A2908,'Data Source 1_customer readings'!J510:J2908)</f>
        <v>0</v>
      </c>
    </row>
    <row r="511" spans="1:8" x14ac:dyDescent="0.2">
      <c r="A511" s="2" t="s">
        <v>93</v>
      </c>
      <c r="B511" s="2">
        <v>3</v>
      </c>
      <c r="C511" s="2">
        <v>5</v>
      </c>
      <c r="D511" s="2">
        <v>2021</v>
      </c>
      <c r="E511" s="2">
        <v>73.16</v>
      </c>
      <c r="F511" s="2">
        <v>84.94</v>
      </c>
      <c r="H511" s="1" t="b">
        <f>_xlfn.XLOOKUP('Data Source 1_customer readings'!A511,'Data Source 1_customer readings'!A511:A2909,'Data Source 1_customer readings'!J511:J2909)</f>
        <v>0</v>
      </c>
    </row>
    <row r="512" spans="1:8" x14ac:dyDescent="0.2">
      <c r="A512" s="2" t="s">
        <v>90</v>
      </c>
      <c r="B512" s="2">
        <v>18</v>
      </c>
      <c r="C512" s="2">
        <v>9</v>
      </c>
      <c r="D512" s="2">
        <v>2021</v>
      </c>
      <c r="E512" s="2">
        <v>72.900000000000006</v>
      </c>
      <c r="F512" s="2">
        <v>94.8</v>
      </c>
      <c r="H512" s="1">
        <f>_xlfn.XLOOKUP('Data Source 1_customer readings'!A512,'Data Source 1_customer readings'!A512:A2910,'Data Source 1_customer readings'!J512:J2910)</f>
        <v>0</v>
      </c>
    </row>
    <row r="513" spans="1:8" x14ac:dyDescent="0.2">
      <c r="A513" s="2" t="s">
        <v>43</v>
      </c>
      <c r="B513" s="2">
        <v>15</v>
      </c>
      <c r="C513" s="2">
        <v>3</v>
      </c>
      <c r="D513" s="2">
        <v>2021</v>
      </c>
      <c r="E513" s="2">
        <v>72.849999999999994</v>
      </c>
      <c r="F513" s="2">
        <v>94.86</v>
      </c>
      <c r="H513" s="1">
        <f>_xlfn.XLOOKUP('Data Source 1_customer readings'!A513,'Data Source 1_customer readings'!A513:A2911,'Data Source 1_customer readings'!J513:J2911)</f>
        <v>0</v>
      </c>
    </row>
    <row r="514" spans="1:8" x14ac:dyDescent="0.2">
      <c r="A514" s="2" t="s">
        <v>87</v>
      </c>
      <c r="B514" s="2">
        <v>1</v>
      </c>
      <c r="C514" s="2">
        <v>8</v>
      </c>
      <c r="D514" s="2">
        <v>2021</v>
      </c>
      <c r="E514" s="2">
        <v>72.849999999999994</v>
      </c>
      <c r="F514" s="2">
        <v>79.36</v>
      </c>
      <c r="H514" s="1">
        <f>_xlfn.XLOOKUP('Data Source 1_customer readings'!A514,'Data Source 1_customer readings'!A514:A2912,'Data Source 1_customer readings'!J514:J2912)</f>
        <v>0</v>
      </c>
    </row>
    <row r="515" spans="1:8" x14ac:dyDescent="0.2">
      <c r="A515" s="2" t="s">
        <v>85</v>
      </c>
      <c r="B515" s="2">
        <v>3</v>
      </c>
      <c r="C515" s="2">
        <v>9</v>
      </c>
      <c r="D515" s="2">
        <v>2021</v>
      </c>
      <c r="E515" s="2">
        <v>72.599999999999994</v>
      </c>
      <c r="F515" s="2">
        <v>76.5</v>
      </c>
      <c r="H515" s="1">
        <f>_xlfn.XLOOKUP('Data Source 1_customer readings'!A515,'Data Source 1_customer readings'!A515:A2913,'Data Source 1_customer readings'!J515:J2913)</f>
        <v>0</v>
      </c>
    </row>
    <row r="516" spans="1:8" x14ac:dyDescent="0.2">
      <c r="A516" s="2" t="s">
        <v>93</v>
      </c>
      <c r="B516" s="2">
        <v>3</v>
      </c>
      <c r="C516" s="2">
        <v>6</v>
      </c>
      <c r="D516" s="2">
        <v>2021</v>
      </c>
      <c r="E516" s="2">
        <v>72.3</v>
      </c>
      <c r="F516" s="2">
        <v>72.900000000000006</v>
      </c>
      <c r="H516" s="1">
        <f>_xlfn.XLOOKUP('Data Source 1_customer readings'!A516,'Data Source 1_customer readings'!A516:A2914,'Data Source 1_customer readings'!J516:J2914)</f>
        <v>0</v>
      </c>
    </row>
    <row r="517" spans="1:8" x14ac:dyDescent="0.2">
      <c r="A517" s="2" t="s">
        <v>92</v>
      </c>
      <c r="B517" s="2">
        <v>7</v>
      </c>
      <c r="C517" s="2">
        <v>8</v>
      </c>
      <c r="D517" s="2">
        <v>2021</v>
      </c>
      <c r="E517" s="2">
        <v>72.23</v>
      </c>
      <c r="F517" s="2">
        <v>92.07</v>
      </c>
      <c r="H517" s="1">
        <f>_xlfn.XLOOKUP('Data Source 1_customer readings'!A517,'Data Source 1_customer readings'!A517:A2915,'Data Source 1_customer readings'!J517:J2915)</f>
        <v>0</v>
      </c>
    </row>
    <row r="518" spans="1:8" x14ac:dyDescent="0.2">
      <c r="A518" s="2" t="s">
        <v>64</v>
      </c>
      <c r="B518" s="2">
        <v>21</v>
      </c>
      <c r="C518" s="2">
        <v>3</v>
      </c>
      <c r="D518" s="2">
        <v>2021</v>
      </c>
      <c r="E518" s="2">
        <v>72.23</v>
      </c>
      <c r="F518" s="2">
        <v>78.739999999999995</v>
      </c>
      <c r="H518" s="1">
        <f>_xlfn.XLOOKUP('Data Source 1_customer readings'!A518,'Data Source 1_customer readings'!A518:A2916,'Data Source 1_customer readings'!J518:J2916)</f>
        <v>0</v>
      </c>
    </row>
    <row r="519" spans="1:8" x14ac:dyDescent="0.2">
      <c r="A519" s="2" t="s">
        <v>52</v>
      </c>
      <c r="B519" s="2">
        <v>1</v>
      </c>
      <c r="C519" s="2">
        <v>3</v>
      </c>
      <c r="D519" s="2">
        <v>2021</v>
      </c>
      <c r="E519" s="2">
        <v>71.92</v>
      </c>
      <c r="F519" s="2">
        <v>95.48</v>
      </c>
      <c r="H519" s="1">
        <f>_xlfn.XLOOKUP('Data Source 1_customer readings'!A519,'Data Source 1_customer readings'!A519:A2917,'Data Source 1_customer readings'!J519:J2917)</f>
        <v>0</v>
      </c>
    </row>
    <row r="520" spans="1:8" x14ac:dyDescent="0.2">
      <c r="A520" s="2" t="s">
        <v>64</v>
      </c>
      <c r="B520" s="2">
        <v>21</v>
      </c>
      <c r="C520" s="2">
        <v>4</v>
      </c>
      <c r="D520" s="2">
        <v>2021</v>
      </c>
      <c r="E520" s="2">
        <v>71.7</v>
      </c>
      <c r="F520" s="2">
        <v>88.5</v>
      </c>
      <c r="H520" s="1">
        <f>_xlfn.XLOOKUP('Data Source 1_customer readings'!A520,'Data Source 1_customer readings'!A520:A2918,'Data Source 1_customer readings'!J520:J2918)</f>
        <v>0</v>
      </c>
    </row>
    <row r="521" spans="1:8" x14ac:dyDescent="0.2">
      <c r="A521" s="2" t="s">
        <v>55</v>
      </c>
      <c r="B521" s="2">
        <v>18</v>
      </c>
      <c r="C521" s="2">
        <v>4</v>
      </c>
      <c r="D521" s="2">
        <v>2021</v>
      </c>
      <c r="E521" s="2">
        <v>71.7</v>
      </c>
      <c r="F521" s="2">
        <v>84.9</v>
      </c>
      <c r="H521" s="1">
        <f>_xlfn.XLOOKUP('Data Source 1_customer readings'!A521,'Data Source 1_customer readings'!A521:A2919,'Data Source 1_customer readings'!J521:J2919)</f>
        <v>0</v>
      </c>
    </row>
    <row r="522" spans="1:8" x14ac:dyDescent="0.2">
      <c r="A522" s="2" t="s">
        <v>55</v>
      </c>
      <c r="B522" s="2">
        <v>18</v>
      </c>
      <c r="C522" s="2">
        <v>3</v>
      </c>
      <c r="D522" s="2">
        <v>2021</v>
      </c>
      <c r="E522" s="2">
        <v>71.61</v>
      </c>
      <c r="F522" s="2">
        <v>87.73</v>
      </c>
      <c r="H522" s="1">
        <f>_xlfn.XLOOKUP('Data Source 1_customer readings'!A522,'Data Source 1_customer readings'!A522:A2920,'Data Source 1_customer readings'!J522:J2920)</f>
        <v>0</v>
      </c>
    </row>
    <row r="523" spans="1:8" x14ac:dyDescent="0.2">
      <c r="A523" s="2" t="s">
        <v>41</v>
      </c>
      <c r="B523" s="2">
        <v>15</v>
      </c>
      <c r="C523" s="2">
        <v>4</v>
      </c>
      <c r="D523" s="2">
        <v>2021</v>
      </c>
      <c r="E523" s="2">
        <v>71.400000000000006</v>
      </c>
      <c r="F523" s="2">
        <v>92.7</v>
      </c>
      <c r="H523" s="1" t="b">
        <f>_xlfn.XLOOKUP('Data Source 1_customer readings'!A523,'Data Source 1_customer readings'!A523:A2921,'Data Source 1_customer readings'!J523:J2921)</f>
        <v>0</v>
      </c>
    </row>
    <row r="524" spans="1:8" x14ac:dyDescent="0.2">
      <c r="A524" s="2" t="s">
        <v>49</v>
      </c>
      <c r="B524" s="2">
        <v>3</v>
      </c>
      <c r="C524" s="2">
        <v>4</v>
      </c>
      <c r="D524" s="2">
        <v>2021</v>
      </c>
      <c r="E524" s="2">
        <v>71.400000000000006</v>
      </c>
      <c r="F524" s="2">
        <v>57</v>
      </c>
      <c r="H524" s="1" t="b">
        <f>_xlfn.XLOOKUP('Data Source 1_customer readings'!A524,'Data Source 1_customer readings'!A524:A2922,'Data Source 1_customer readings'!J524:J2922)</f>
        <v>0</v>
      </c>
    </row>
    <row r="525" spans="1:8" x14ac:dyDescent="0.2">
      <c r="A525" s="2" t="s">
        <v>67</v>
      </c>
      <c r="B525" s="2">
        <v>13</v>
      </c>
      <c r="C525" s="2">
        <v>3</v>
      </c>
      <c r="D525" s="2">
        <v>2021</v>
      </c>
      <c r="E525" s="2">
        <v>71.3</v>
      </c>
      <c r="F525" s="2">
        <v>98.89</v>
      </c>
      <c r="H525" s="1">
        <f>_xlfn.XLOOKUP('Data Source 1_customer readings'!A525,'Data Source 1_customer readings'!A525:A2923,'Data Source 1_customer readings'!J525:J2923)</f>
        <v>0</v>
      </c>
    </row>
    <row r="526" spans="1:8" x14ac:dyDescent="0.2">
      <c r="A526" s="2" t="s">
        <v>53</v>
      </c>
      <c r="B526" s="2">
        <v>18</v>
      </c>
      <c r="C526" s="2">
        <v>4</v>
      </c>
      <c r="D526" s="2">
        <v>2021</v>
      </c>
      <c r="E526" s="2">
        <v>71.099999999999994</v>
      </c>
      <c r="F526" s="2">
        <v>86.4</v>
      </c>
      <c r="H526" s="1">
        <f>_xlfn.XLOOKUP('Data Source 1_customer readings'!A526,'Data Source 1_customer readings'!A526:A2924,'Data Source 1_customer readings'!J526:J2924)</f>
        <v>0</v>
      </c>
    </row>
    <row r="527" spans="1:8" x14ac:dyDescent="0.2">
      <c r="A527" s="2" t="s">
        <v>58</v>
      </c>
      <c r="B527" s="2">
        <v>16</v>
      </c>
      <c r="C527" s="2">
        <v>4</v>
      </c>
      <c r="D527" s="2">
        <v>2021</v>
      </c>
      <c r="E527" s="2">
        <v>71.099999999999994</v>
      </c>
      <c r="F527" s="2">
        <v>73.5</v>
      </c>
      <c r="H527" s="1">
        <f>_xlfn.XLOOKUP('Data Source 1_customer readings'!A527,'Data Source 1_customer readings'!A527:A2925,'Data Source 1_customer readings'!J527:J2925)</f>
        <v>0</v>
      </c>
    </row>
    <row r="528" spans="1:8" x14ac:dyDescent="0.2">
      <c r="A528" s="2" t="s">
        <v>81</v>
      </c>
      <c r="B528" s="2">
        <v>19</v>
      </c>
      <c r="C528" s="2">
        <v>5</v>
      </c>
      <c r="D528" s="2">
        <v>2021</v>
      </c>
      <c r="E528" s="2">
        <v>70.989999999999995</v>
      </c>
      <c r="F528" s="2">
        <v>97.96</v>
      </c>
      <c r="H528" s="1">
        <f>_xlfn.XLOOKUP('Data Source 1_customer readings'!A528,'Data Source 1_customer readings'!A528:A2926,'Data Source 1_customer readings'!J528:J2926)</f>
        <v>0</v>
      </c>
    </row>
    <row r="529" spans="1:8" x14ac:dyDescent="0.2">
      <c r="A529" s="2" t="s">
        <v>48</v>
      </c>
      <c r="B529" s="2">
        <v>24</v>
      </c>
      <c r="C529" s="2">
        <v>3</v>
      </c>
      <c r="D529" s="2">
        <v>2021</v>
      </c>
      <c r="E529" s="2">
        <v>70.989999999999995</v>
      </c>
      <c r="F529" s="2">
        <v>77.5</v>
      </c>
      <c r="H529" s="1">
        <f>_xlfn.XLOOKUP('Data Source 1_customer readings'!A529,'Data Source 1_customer readings'!A529:A2927,'Data Source 1_customer readings'!J529:J2927)</f>
        <v>0</v>
      </c>
    </row>
    <row r="530" spans="1:8" x14ac:dyDescent="0.2">
      <c r="A530" s="2" t="s">
        <v>52</v>
      </c>
      <c r="B530" s="2">
        <v>1</v>
      </c>
      <c r="C530" s="2">
        <v>4</v>
      </c>
      <c r="D530" s="2">
        <v>2021</v>
      </c>
      <c r="E530" s="2">
        <v>70.8</v>
      </c>
      <c r="F530" s="2">
        <v>97.2</v>
      </c>
      <c r="H530" s="1" t="b">
        <f>_xlfn.XLOOKUP('Data Source 1_customer readings'!A530,'Data Source 1_customer readings'!A530:A2928,'Data Source 1_customer readings'!J530:J2928)</f>
        <v>0</v>
      </c>
    </row>
    <row r="531" spans="1:8" x14ac:dyDescent="0.2">
      <c r="A531" s="2" t="s">
        <v>51</v>
      </c>
      <c r="B531" s="2">
        <v>16</v>
      </c>
      <c r="C531" s="2">
        <v>4</v>
      </c>
      <c r="D531" s="2">
        <v>2021</v>
      </c>
      <c r="E531" s="2">
        <v>70.8</v>
      </c>
      <c r="F531" s="2">
        <v>75.3</v>
      </c>
      <c r="H531" s="1">
        <f>_xlfn.XLOOKUP('Data Source 1_customer readings'!A531,'Data Source 1_customer readings'!A531:A2929,'Data Source 1_customer readings'!J531:J2929)</f>
        <v>0</v>
      </c>
    </row>
    <row r="532" spans="1:8" x14ac:dyDescent="0.2">
      <c r="A532" s="2" t="s">
        <v>90</v>
      </c>
      <c r="B532" s="2">
        <v>18</v>
      </c>
      <c r="C532" s="2">
        <v>7</v>
      </c>
      <c r="D532" s="2">
        <v>2021</v>
      </c>
      <c r="E532" s="2">
        <v>70.680000000000007</v>
      </c>
      <c r="F532" s="2">
        <v>84.63</v>
      </c>
      <c r="H532" s="1">
        <f>_xlfn.XLOOKUP('Data Source 1_customer readings'!A532,'Data Source 1_customer readings'!A532:A2930,'Data Source 1_customer readings'!J532:J2930)</f>
        <v>0</v>
      </c>
    </row>
    <row r="533" spans="1:8" x14ac:dyDescent="0.2">
      <c r="A533" s="2" t="s">
        <v>40</v>
      </c>
      <c r="B533" s="2">
        <v>15</v>
      </c>
      <c r="C533" s="2">
        <v>4</v>
      </c>
      <c r="D533" s="2">
        <v>2021</v>
      </c>
      <c r="E533" s="2">
        <v>70.5</v>
      </c>
      <c r="F533" s="2">
        <v>76.8</v>
      </c>
      <c r="H533" s="1">
        <f>_xlfn.XLOOKUP('Data Source 1_customer readings'!A533,'Data Source 1_customer readings'!A533:A2931,'Data Source 1_customer readings'!J533:J2931)</f>
        <v>0</v>
      </c>
    </row>
    <row r="534" spans="1:8" x14ac:dyDescent="0.2">
      <c r="A534" s="2" t="s">
        <v>91</v>
      </c>
      <c r="B534" s="2">
        <v>5</v>
      </c>
      <c r="C534" s="2">
        <v>8</v>
      </c>
      <c r="D534" s="2">
        <v>2021</v>
      </c>
      <c r="E534" s="2">
        <v>70.37</v>
      </c>
      <c r="F534" s="2">
        <v>79.05</v>
      </c>
      <c r="H534" s="1" t="b">
        <f>_xlfn.XLOOKUP('Data Source 1_customer readings'!A534,'Data Source 1_customer readings'!A534:A2932,'Data Source 1_customer readings'!J534:J2932)</f>
        <v>0</v>
      </c>
    </row>
    <row r="535" spans="1:8" x14ac:dyDescent="0.2">
      <c r="A535" s="2" t="s">
        <v>41</v>
      </c>
      <c r="B535" s="2">
        <v>15</v>
      </c>
      <c r="C535" s="2">
        <v>10</v>
      </c>
      <c r="D535" s="2">
        <v>2021</v>
      </c>
      <c r="E535" s="2">
        <v>70.06</v>
      </c>
      <c r="F535" s="2">
        <v>109.43</v>
      </c>
      <c r="H535" s="1">
        <f>_xlfn.XLOOKUP('Data Source 1_customer readings'!A535,'Data Source 1_customer readings'!A535:A2933,'Data Source 1_customer readings'!J535:J2933)</f>
        <v>0</v>
      </c>
    </row>
    <row r="536" spans="1:8" x14ac:dyDescent="0.2">
      <c r="A536" s="2" t="s">
        <v>73</v>
      </c>
      <c r="B536" s="2">
        <v>5</v>
      </c>
      <c r="C536" s="2">
        <v>10</v>
      </c>
      <c r="D536" s="2">
        <v>2021</v>
      </c>
      <c r="E536" s="2">
        <v>70.06</v>
      </c>
      <c r="F536" s="2">
        <v>92.07</v>
      </c>
      <c r="H536" s="1" t="b">
        <f>_xlfn.XLOOKUP('Data Source 1_customer readings'!A536,'Data Source 1_customer readings'!A536:A2934,'Data Source 1_customer readings'!J536:J2934)</f>
        <v>1</v>
      </c>
    </row>
    <row r="537" spans="1:8" x14ac:dyDescent="0.2">
      <c r="A537" s="2" t="s">
        <v>38</v>
      </c>
      <c r="B537" s="2">
        <v>21</v>
      </c>
      <c r="C537" s="2">
        <v>10</v>
      </c>
      <c r="D537" s="2">
        <v>2021</v>
      </c>
      <c r="E537" s="2">
        <v>70.06</v>
      </c>
      <c r="F537" s="2">
        <v>89.59</v>
      </c>
      <c r="H537" s="1" t="b">
        <f>_xlfn.XLOOKUP('Data Source 1_customer readings'!A537,'Data Source 1_customer readings'!A537:A2935,'Data Source 1_customer readings'!J537:J2935)</f>
        <v>0</v>
      </c>
    </row>
    <row r="538" spans="1:8" x14ac:dyDescent="0.2">
      <c r="A538" s="2" t="s">
        <v>92</v>
      </c>
      <c r="B538" s="2">
        <v>7</v>
      </c>
      <c r="C538" s="2">
        <v>5</v>
      </c>
      <c r="D538" s="2">
        <v>2021</v>
      </c>
      <c r="E538" s="2">
        <v>69.75</v>
      </c>
      <c r="F538" s="2">
        <v>74.709999999999994</v>
      </c>
      <c r="H538" s="1">
        <f>_xlfn.XLOOKUP('Data Source 1_customer readings'!A538,'Data Source 1_customer readings'!A538:A2936,'Data Source 1_customer readings'!J538:J2936)</f>
        <v>0</v>
      </c>
    </row>
    <row r="539" spans="1:8" x14ac:dyDescent="0.2">
      <c r="A539" s="2" t="s">
        <v>85</v>
      </c>
      <c r="B539" s="2">
        <v>3</v>
      </c>
      <c r="C539" s="2">
        <v>5</v>
      </c>
      <c r="D539" s="2">
        <v>2021</v>
      </c>
      <c r="E539" s="2">
        <v>69.13</v>
      </c>
      <c r="F539" s="2">
        <v>89.59</v>
      </c>
      <c r="H539" s="1">
        <f>_xlfn.XLOOKUP('Data Source 1_customer readings'!A539,'Data Source 1_customer readings'!A539:A2937,'Data Source 1_customer readings'!J539:J2937)</f>
        <v>0</v>
      </c>
    </row>
    <row r="540" spans="1:8" x14ac:dyDescent="0.2">
      <c r="A540" s="2" t="s">
        <v>88</v>
      </c>
      <c r="B540" s="2">
        <v>23</v>
      </c>
      <c r="C540" s="2">
        <v>9</v>
      </c>
      <c r="D540" s="2">
        <v>2021</v>
      </c>
      <c r="E540" s="2">
        <v>69</v>
      </c>
      <c r="F540" s="2">
        <v>90.3</v>
      </c>
      <c r="H540" s="1">
        <f>_xlfn.XLOOKUP('Data Source 1_customer readings'!A540,'Data Source 1_customer readings'!A540:A2938,'Data Source 1_customer readings'!J540:J2938)</f>
        <v>0</v>
      </c>
    </row>
    <row r="541" spans="1:8" x14ac:dyDescent="0.2">
      <c r="A541" s="2" t="s">
        <v>63</v>
      </c>
      <c r="B541" s="2">
        <v>25</v>
      </c>
      <c r="C541" s="2">
        <v>10</v>
      </c>
      <c r="D541" s="2">
        <v>2021</v>
      </c>
      <c r="E541" s="2">
        <v>68.819999999999993</v>
      </c>
      <c r="F541" s="2">
        <v>91.45</v>
      </c>
      <c r="H541" s="1">
        <f>_xlfn.XLOOKUP('Data Source 1_customer readings'!A541,'Data Source 1_customer readings'!A541:A2939,'Data Source 1_customer readings'!J541:J2939)</f>
        <v>0</v>
      </c>
    </row>
    <row r="542" spans="1:8" x14ac:dyDescent="0.2">
      <c r="A542" s="2" t="s">
        <v>50</v>
      </c>
      <c r="B542" s="2">
        <v>24</v>
      </c>
      <c r="C542" s="2">
        <v>3</v>
      </c>
      <c r="D542" s="2">
        <v>2021</v>
      </c>
      <c r="E542" s="2">
        <v>68.819999999999993</v>
      </c>
      <c r="F542" s="2">
        <v>75.33</v>
      </c>
      <c r="H542" s="1">
        <f>_xlfn.XLOOKUP('Data Source 1_customer readings'!A542,'Data Source 1_customer readings'!A542:A2940,'Data Source 1_customer readings'!J542:J2940)</f>
        <v>0</v>
      </c>
    </row>
    <row r="543" spans="1:8" x14ac:dyDescent="0.2">
      <c r="A543" s="2" t="s">
        <v>36</v>
      </c>
      <c r="B543" s="2">
        <v>12</v>
      </c>
      <c r="C543" s="2">
        <v>3</v>
      </c>
      <c r="D543" s="2">
        <v>2021</v>
      </c>
      <c r="E543" s="2">
        <v>68.819999999999993</v>
      </c>
      <c r="F543" s="2">
        <v>65.41</v>
      </c>
      <c r="H543" s="1">
        <f>_xlfn.XLOOKUP('Data Source 1_customer readings'!A543,'Data Source 1_customer readings'!A543:A2941,'Data Source 1_customer readings'!J543:J2941)</f>
        <v>0</v>
      </c>
    </row>
    <row r="544" spans="1:8" x14ac:dyDescent="0.2">
      <c r="A544" s="2" t="s">
        <v>85</v>
      </c>
      <c r="B544" s="2">
        <v>3</v>
      </c>
      <c r="C544" s="2">
        <v>7</v>
      </c>
      <c r="D544" s="2">
        <v>2021</v>
      </c>
      <c r="E544" s="2">
        <v>68.510000000000005</v>
      </c>
      <c r="F544" s="2">
        <v>80.91</v>
      </c>
      <c r="H544" s="1">
        <f>_xlfn.XLOOKUP('Data Source 1_customer readings'!A544,'Data Source 1_customer readings'!A544:A2942,'Data Source 1_customer readings'!J544:J2942)</f>
        <v>0</v>
      </c>
    </row>
    <row r="545" spans="1:8" x14ac:dyDescent="0.2">
      <c r="A545" s="2" t="s">
        <v>79</v>
      </c>
      <c r="B545" s="2">
        <v>3</v>
      </c>
      <c r="C545" s="2">
        <v>9</v>
      </c>
      <c r="D545" s="2">
        <v>2021</v>
      </c>
      <c r="E545" s="2">
        <v>68.400000000000006</v>
      </c>
      <c r="F545" s="2">
        <v>107.7</v>
      </c>
      <c r="H545" s="1" t="b">
        <f>_xlfn.XLOOKUP('Data Source 1_customer readings'!A545,'Data Source 1_customer readings'!A545:A2943,'Data Source 1_customer readings'!J545:J2943)</f>
        <v>0</v>
      </c>
    </row>
    <row r="546" spans="1:8" x14ac:dyDescent="0.2">
      <c r="A546" s="2" t="s">
        <v>77</v>
      </c>
      <c r="B546" s="2">
        <v>16</v>
      </c>
      <c r="C546" s="2">
        <v>5</v>
      </c>
      <c r="D546" s="2">
        <v>2021</v>
      </c>
      <c r="E546" s="2">
        <v>68.2</v>
      </c>
      <c r="F546" s="2">
        <v>116.87</v>
      </c>
      <c r="H546" s="1">
        <f>_xlfn.XLOOKUP('Data Source 1_customer readings'!A546,'Data Source 1_customer readings'!A546:A2944,'Data Source 1_customer readings'!J546:J2944)</f>
        <v>0</v>
      </c>
    </row>
    <row r="547" spans="1:8" x14ac:dyDescent="0.2">
      <c r="A547" s="2" t="s">
        <v>49</v>
      </c>
      <c r="B547" s="2">
        <v>3</v>
      </c>
      <c r="C547" s="2">
        <v>3</v>
      </c>
      <c r="D547" s="2">
        <v>2021</v>
      </c>
      <c r="E547" s="2">
        <v>68.2</v>
      </c>
      <c r="F547" s="2">
        <v>67.27</v>
      </c>
      <c r="H547" s="1">
        <f>_xlfn.XLOOKUP('Data Source 1_customer readings'!A547,'Data Source 1_customer readings'!A547:A2945,'Data Source 1_customer readings'!J547:J2945)</f>
        <v>0</v>
      </c>
    </row>
    <row r="548" spans="1:8" x14ac:dyDescent="0.2">
      <c r="A548" s="2" t="s">
        <v>50</v>
      </c>
      <c r="B548" s="2">
        <v>24</v>
      </c>
      <c r="C548" s="2">
        <v>10</v>
      </c>
      <c r="D548" s="2">
        <v>2021</v>
      </c>
      <c r="E548" s="2">
        <v>67.58</v>
      </c>
      <c r="F548" s="2">
        <v>83.08</v>
      </c>
      <c r="H548" s="1">
        <f>_xlfn.XLOOKUP('Data Source 1_customer readings'!A548,'Data Source 1_customer readings'!A548:A2946,'Data Source 1_customer readings'!J548:J2946)</f>
        <v>0</v>
      </c>
    </row>
    <row r="549" spans="1:8" x14ac:dyDescent="0.2">
      <c r="A549" s="2" t="s">
        <v>58</v>
      </c>
      <c r="B549" s="2">
        <v>16</v>
      </c>
      <c r="C549" s="2">
        <v>3</v>
      </c>
      <c r="D549" s="2">
        <v>2021</v>
      </c>
      <c r="E549" s="2">
        <v>67.58</v>
      </c>
      <c r="F549" s="2">
        <v>68.819999999999993</v>
      </c>
      <c r="H549" s="1">
        <f>_xlfn.XLOOKUP('Data Source 1_customer readings'!A549,'Data Source 1_customer readings'!A549:A2947,'Data Source 1_customer readings'!J549:J2947)</f>
        <v>0</v>
      </c>
    </row>
    <row r="550" spans="1:8" x14ac:dyDescent="0.2">
      <c r="A550" s="2" t="s">
        <v>85</v>
      </c>
      <c r="B550" s="2">
        <v>3</v>
      </c>
      <c r="C550" s="2">
        <v>6</v>
      </c>
      <c r="D550" s="2">
        <v>2021</v>
      </c>
      <c r="E550" s="2">
        <v>67.5</v>
      </c>
      <c r="F550" s="2">
        <v>69.599999999999994</v>
      </c>
      <c r="H550" s="1">
        <f>_xlfn.XLOOKUP('Data Source 1_customer readings'!A550,'Data Source 1_customer readings'!A550:A2948,'Data Source 1_customer readings'!J550:J2948)</f>
        <v>0</v>
      </c>
    </row>
    <row r="551" spans="1:8" x14ac:dyDescent="0.2">
      <c r="A551" s="2" t="s">
        <v>84</v>
      </c>
      <c r="B551" s="2">
        <v>20</v>
      </c>
      <c r="C551" s="2">
        <v>5</v>
      </c>
      <c r="D551" s="2">
        <v>2021</v>
      </c>
      <c r="E551" s="2">
        <v>66.650000000000006</v>
      </c>
      <c r="F551" s="2">
        <v>101.68</v>
      </c>
      <c r="H551" s="1">
        <f>_xlfn.XLOOKUP('Data Source 1_customer readings'!A551,'Data Source 1_customer readings'!A551:A2949,'Data Source 1_customer readings'!J551:J2949)</f>
        <v>0</v>
      </c>
    </row>
    <row r="552" spans="1:8" x14ac:dyDescent="0.2">
      <c r="A552" s="2" t="s">
        <v>90</v>
      </c>
      <c r="B552" s="2">
        <v>18</v>
      </c>
      <c r="C552" s="2">
        <v>8</v>
      </c>
      <c r="D552" s="2">
        <v>2021</v>
      </c>
      <c r="E552" s="2">
        <v>66.650000000000006</v>
      </c>
      <c r="F552" s="2">
        <v>99.82</v>
      </c>
      <c r="H552" s="1">
        <f>_xlfn.XLOOKUP('Data Source 1_customer readings'!A552,'Data Source 1_customer readings'!A552:A2950,'Data Source 1_customer readings'!J552:J2950)</f>
        <v>0</v>
      </c>
    </row>
    <row r="553" spans="1:8" x14ac:dyDescent="0.2">
      <c r="A553" s="2" t="s">
        <v>89</v>
      </c>
      <c r="B553" s="2">
        <v>2</v>
      </c>
      <c r="C553" s="2">
        <v>5</v>
      </c>
      <c r="D553" s="2">
        <v>2021</v>
      </c>
      <c r="E553" s="2">
        <v>66.650000000000006</v>
      </c>
      <c r="F553" s="2">
        <v>82.15</v>
      </c>
      <c r="H553" s="1">
        <f>_xlfn.XLOOKUP('Data Source 1_customer readings'!A553,'Data Source 1_customer readings'!A553:A2951,'Data Source 1_customer readings'!J553:J2951)</f>
        <v>0</v>
      </c>
    </row>
    <row r="554" spans="1:8" x14ac:dyDescent="0.2">
      <c r="A554" s="2" t="s">
        <v>42</v>
      </c>
      <c r="B554" s="2">
        <v>12</v>
      </c>
      <c r="C554" s="2">
        <v>3</v>
      </c>
      <c r="D554" s="2">
        <v>2021</v>
      </c>
      <c r="E554" s="2">
        <v>66.650000000000006</v>
      </c>
      <c r="F554" s="2">
        <v>75.95</v>
      </c>
      <c r="H554" s="1">
        <f>_xlfn.XLOOKUP('Data Source 1_customer readings'!A554,'Data Source 1_customer readings'!A554:A2952,'Data Source 1_customer readings'!J554:J2952)</f>
        <v>0</v>
      </c>
    </row>
    <row r="555" spans="1:8" x14ac:dyDescent="0.2">
      <c r="A555" s="2" t="s">
        <v>90</v>
      </c>
      <c r="B555" s="2">
        <v>18</v>
      </c>
      <c r="C555" s="2">
        <v>6</v>
      </c>
      <c r="D555" s="2">
        <v>2021</v>
      </c>
      <c r="E555" s="2">
        <v>66.599999999999994</v>
      </c>
      <c r="F555" s="2">
        <v>83.4</v>
      </c>
      <c r="H555" s="1">
        <f>_xlfn.XLOOKUP('Data Source 1_customer readings'!A555,'Data Source 1_customer readings'!A555:A2953,'Data Source 1_customer readings'!J555:J2953)</f>
        <v>0</v>
      </c>
    </row>
    <row r="556" spans="1:8" x14ac:dyDescent="0.2">
      <c r="A556" s="2" t="s">
        <v>43</v>
      </c>
      <c r="B556" s="2">
        <v>15</v>
      </c>
      <c r="C556" s="2">
        <v>10</v>
      </c>
      <c r="D556" s="2">
        <v>2021</v>
      </c>
      <c r="E556" s="2">
        <v>66.34</v>
      </c>
      <c r="F556" s="2">
        <v>87.11</v>
      </c>
      <c r="H556" s="1">
        <f>_xlfn.XLOOKUP('Data Source 1_customer readings'!A556,'Data Source 1_customer readings'!A556:A2954,'Data Source 1_customer readings'!J556:J2954)</f>
        <v>0</v>
      </c>
    </row>
    <row r="557" spans="1:8" x14ac:dyDescent="0.2">
      <c r="A557" s="2" t="s">
        <v>46</v>
      </c>
      <c r="B557" s="2">
        <v>9</v>
      </c>
      <c r="C557" s="2">
        <v>4</v>
      </c>
      <c r="D557" s="2">
        <v>2021</v>
      </c>
      <c r="E557" s="2">
        <v>66.3</v>
      </c>
      <c r="F557" s="2">
        <v>90</v>
      </c>
      <c r="H557" s="1">
        <f>_xlfn.XLOOKUP('Data Source 1_customer readings'!A557,'Data Source 1_customer readings'!A557:A2955,'Data Source 1_customer readings'!J557:J2955)</f>
        <v>0</v>
      </c>
    </row>
    <row r="558" spans="1:8" x14ac:dyDescent="0.2">
      <c r="A558" s="2" t="s">
        <v>92</v>
      </c>
      <c r="B558" s="2">
        <v>7</v>
      </c>
      <c r="C558" s="2">
        <v>6</v>
      </c>
      <c r="D558" s="2">
        <v>2021</v>
      </c>
      <c r="E558" s="2">
        <v>66.3</v>
      </c>
      <c r="F558" s="2">
        <v>80.400000000000006</v>
      </c>
      <c r="H558" s="1">
        <f>_xlfn.XLOOKUP('Data Source 1_customer readings'!A558,'Data Source 1_customer readings'!A558:A2956,'Data Source 1_customer readings'!J558:J2956)</f>
        <v>0</v>
      </c>
    </row>
    <row r="559" spans="1:8" x14ac:dyDescent="0.2">
      <c r="A559" s="2" t="s">
        <v>47</v>
      </c>
      <c r="B559" s="2">
        <v>19</v>
      </c>
      <c r="C559" s="2">
        <v>4</v>
      </c>
      <c r="D559" s="2">
        <v>2021</v>
      </c>
      <c r="E559" s="2">
        <v>66.3</v>
      </c>
      <c r="F559" s="2">
        <v>69.3</v>
      </c>
      <c r="H559" s="1">
        <f>_xlfn.XLOOKUP('Data Source 1_customer readings'!A559,'Data Source 1_customer readings'!A559:A2957,'Data Source 1_customer readings'!J559:J2957)</f>
        <v>0</v>
      </c>
    </row>
    <row r="560" spans="1:8" x14ac:dyDescent="0.2">
      <c r="A560" s="2" t="s">
        <v>48</v>
      </c>
      <c r="B560" s="2">
        <v>24</v>
      </c>
      <c r="C560" s="2">
        <v>4</v>
      </c>
      <c r="D560" s="2">
        <v>2021</v>
      </c>
      <c r="E560" s="2">
        <v>66.3</v>
      </c>
      <c r="F560" s="2">
        <v>61.5</v>
      </c>
      <c r="H560" s="1">
        <f>_xlfn.XLOOKUP('Data Source 1_customer readings'!A560,'Data Source 1_customer readings'!A560:A2958,'Data Source 1_customer readings'!J560:J2958)</f>
        <v>0</v>
      </c>
    </row>
    <row r="561" spans="1:8" x14ac:dyDescent="0.2">
      <c r="A561" s="2" t="s">
        <v>51</v>
      </c>
      <c r="B561" s="2">
        <v>16</v>
      </c>
      <c r="C561" s="2">
        <v>3</v>
      </c>
      <c r="D561" s="2">
        <v>2021</v>
      </c>
      <c r="E561" s="2">
        <v>66.03</v>
      </c>
      <c r="F561" s="2">
        <v>89.28</v>
      </c>
      <c r="H561" s="1">
        <f>_xlfn.XLOOKUP('Data Source 1_customer readings'!A561,'Data Source 1_customer readings'!A561:A2959,'Data Source 1_customer readings'!J561:J2959)</f>
        <v>0</v>
      </c>
    </row>
    <row r="562" spans="1:8" x14ac:dyDescent="0.2">
      <c r="A562" s="2" t="s">
        <v>91</v>
      </c>
      <c r="B562" s="2">
        <v>5</v>
      </c>
      <c r="C562" s="2">
        <v>5</v>
      </c>
      <c r="D562" s="2">
        <v>2021</v>
      </c>
      <c r="E562" s="2">
        <v>66.03</v>
      </c>
      <c r="F562" s="2">
        <v>85.56</v>
      </c>
      <c r="H562" s="1">
        <f>_xlfn.XLOOKUP('Data Source 1_customer readings'!A562,'Data Source 1_customer readings'!A562:A2960,'Data Source 1_customer readings'!J562:J2960)</f>
        <v>0</v>
      </c>
    </row>
    <row r="563" spans="1:8" x14ac:dyDescent="0.2">
      <c r="A563" s="2" t="s">
        <v>35</v>
      </c>
      <c r="B563" s="2">
        <v>9</v>
      </c>
      <c r="C563" s="2">
        <v>4</v>
      </c>
      <c r="D563" s="2">
        <v>2021</v>
      </c>
      <c r="E563" s="2">
        <v>66</v>
      </c>
      <c r="F563" s="2">
        <v>79.2</v>
      </c>
      <c r="H563" s="1">
        <f>_xlfn.XLOOKUP('Data Source 1_customer readings'!A563,'Data Source 1_customer readings'!A563:A2961,'Data Source 1_customer readings'!J563:J2961)</f>
        <v>0</v>
      </c>
    </row>
    <row r="564" spans="1:8" x14ac:dyDescent="0.2">
      <c r="A564" s="2" t="s">
        <v>40</v>
      </c>
      <c r="B564" s="2">
        <v>15</v>
      </c>
      <c r="C564" s="2">
        <v>3</v>
      </c>
      <c r="D564" s="2">
        <v>2021</v>
      </c>
      <c r="E564" s="2">
        <v>65.72</v>
      </c>
      <c r="F564" s="2">
        <v>87.11</v>
      </c>
      <c r="H564" s="1">
        <f>_xlfn.XLOOKUP('Data Source 1_customer readings'!A564,'Data Source 1_customer readings'!A564:A2962,'Data Source 1_customer readings'!J564:J2962)</f>
        <v>0</v>
      </c>
    </row>
    <row r="565" spans="1:8" x14ac:dyDescent="0.2">
      <c r="A565" s="2" t="s">
        <v>80</v>
      </c>
      <c r="B565" s="2">
        <v>12</v>
      </c>
      <c r="C565" s="2">
        <v>5</v>
      </c>
      <c r="D565" s="2">
        <v>2021</v>
      </c>
      <c r="E565" s="2">
        <v>65.72</v>
      </c>
      <c r="F565" s="2">
        <v>86.8</v>
      </c>
      <c r="H565" s="1">
        <f>_xlfn.XLOOKUP('Data Source 1_customer readings'!A565,'Data Source 1_customer readings'!A565:A2963,'Data Source 1_customer readings'!J565:J2963)</f>
        <v>0</v>
      </c>
    </row>
    <row r="566" spans="1:8" x14ac:dyDescent="0.2">
      <c r="A566" s="2" t="s">
        <v>49</v>
      </c>
      <c r="B566" s="2">
        <v>3</v>
      </c>
      <c r="C566" s="2">
        <v>10</v>
      </c>
      <c r="D566" s="2">
        <v>2021</v>
      </c>
      <c r="E566" s="2">
        <v>65.72</v>
      </c>
      <c r="F566" s="2">
        <v>74.709999999999994</v>
      </c>
      <c r="H566" s="1">
        <f>_xlfn.XLOOKUP('Data Source 1_customer readings'!A566,'Data Source 1_customer readings'!A566:A2964,'Data Source 1_customer readings'!J566:J2964)</f>
        <v>0</v>
      </c>
    </row>
    <row r="567" spans="1:8" x14ac:dyDescent="0.2">
      <c r="A567" s="2" t="s">
        <v>77</v>
      </c>
      <c r="B567" s="2">
        <v>16</v>
      </c>
      <c r="C567" s="2">
        <v>8</v>
      </c>
      <c r="D567" s="2">
        <v>2021</v>
      </c>
      <c r="E567" s="2">
        <v>65.41</v>
      </c>
      <c r="F567" s="2">
        <v>114.7</v>
      </c>
      <c r="H567" s="1" t="b">
        <f>_xlfn.XLOOKUP('Data Source 1_customer readings'!A567,'Data Source 1_customer readings'!A567:A2965,'Data Source 1_customer readings'!J567:J2965)</f>
        <v>0</v>
      </c>
    </row>
    <row r="568" spans="1:8" x14ac:dyDescent="0.2">
      <c r="A568" s="2" t="s">
        <v>41</v>
      </c>
      <c r="B568" s="2">
        <v>15</v>
      </c>
      <c r="C568" s="2">
        <v>3</v>
      </c>
      <c r="D568" s="2">
        <v>2021</v>
      </c>
      <c r="E568" s="2">
        <v>65.41</v>
      </c>
      <c r="F568" s="2">
        <v>80.290000000000006</v>
      </c>
      <c r="H568" s="1">
        <f>_xlfn.XLOOKUP('Data Source 1_customer readings'!A568,'Data Source 1_customer readings'!A568:A2966,'Data Source 1_customer readings'!J568:J2966)</f>
        <v>0</v>
      </c>
    </row>
    <row r="569" spans="1:8" x14ac:dyDescent="0.2">
      <c r="A569" s="2" t="s">
        <v>91</v>
      </c>
      <c r="B569" s="2">
        <v>5</v>
      </c>
      <c r="C569" s="2">
        <v>9</v>
      </c>
      <c r="D569" s="2">
        <v>2021</v>
      </c>
      <c r="E569" s="2">
        <v>65.099999999999994</v>
      </c>
      <c r="F569" s="2">
        <v>64.2</v>
      </c>
      <c r="H569" s="1">
        <f>_xlfn.XLOOKUP('Data Source 1_customer readings'!A569,'Data Source 1_customer readings'!A569:A2967,'Data Source 1_customer readings'!J569:J2967)</f>
        <v>0</v>
      </c>
    </row>
    <row r="570" spans="1:8" x14ac:dyDescent="0.2">
      <c r="A570" s="2" t="s">
        <v>50</v>
      </c>
      <c r="B570" s="2">
        <v>24</v>
      </c>
      <c r="C570" s="2">
        <v>4</v>
      </c>
      <c r="D570" s="2">
        <v>2021</v>
      </c>
      <c r="E570" s="2">
        <v>64.8</v>
      </c>
      <c r="F570" s="2">
        <v>66.900000000000006</v>
      </c>
      <c r="H570" s="1">
        <f>_xlfn.XLOOKUP('Data Source 1_customer readings'!A570,'Data Source 1_customer readings'!A570:A2968,'Data Source 1_customer readings'!J570:J2968)</f>
        <v>0</v>
      </c>
    </row>
    <row r="571" spans="1:8" x14ac:dyDescent="0.2">
      <c r="A571" s="2" t="s">
        <v>42</v>
      </c>
      <c r="B571" s="2">
        <v>12</v>
      </c>
      <c r="C571" s="2">
        <v>10</v>
      </c>
      <c r="D571" s="2">
        <v>2021</v>
      </c>
      <c r="E571" s="2">
        <v>64.790000000000006</v>
      </c>
      <c r="F571" s="2">
        <v>67.58</v>
      </c>
      <c r="H571" s="1">
        <f>_xlfn.XLOOKUP('Data Source 1_customer readings'!A571,'Data Source 1_customer readings'!A571:A2969,'Data Source 1_customer readings'!J571:J2969)</f>
        <v>0</v>
      </c>
    </row>
    <row r="572" spans="1:8" x14ac:dyDescent="0.2">
      <c r="A572" s="2" t="s">
        <v>40</v>
      </c>
      <c r="B572" s="2">
        <v>15</v>
      </c>
      <c r="C572" s="2">
        <v>10</v>
      </c>
      <c r="D572" s="2">
        <v>2021</v>
      </c>
      <c r="E572" s="2">
        <v>64.48</v>
      </c>
      <c r="F572" s="2">
        <v>72.23</v>
      </c>
      <c r="H572" s="1">
        <f>_xlfn.XLOOKUP('Data Source 1_customer readings'!A572,'Data Source 1_customer readings'!A572:A2970,'Data Source 1_customer readings'!J572:J2970)</f>
        <v>0</v>
      </c>
    </row>
    <row r="573" spans="1:8" x14ac:dyDescent="0.2">
      <c r="A573" s="2" t="s">
        <v>83</v>
      </c>
      <c r="B573" s="2">
        <v>25</v>
      </c>
      <c r="C573" s="2">
        <v>9</v>
      </c>
      <c r="D573" s="2">
        <v>2021</v>
      </c>
      <c r="E573" s="2">
        <v>64.2</v>
      </c>
      <c r="F573" s="2">
        <v>94.2</v>
      </c>
      <c r="H573" s="1">
        <f>_xlfn.XLOOKUP('Data Source 1_customer readings'!A573,'Data Source 1_customer readings'!A573:A2971,'Data Source 1_customer readings'!J573:J2971)</f>
        <v>0</v>
      </c>
    </row>
    <row r="574" spans="1:8" x14ac:dyDescent="0.2">
      <c r="A574" s="2" t="s">
        <v>83</v>
      </c>
      <c r="B574" s="2">
        <v>25</v>
      </c>
      <c r="C574" s="2">
        <v>5</v>
      </c>
      <c r="D574" s="2">
        <v>2021</v>
      </c>
      <c r="E574" s="2">
        <v>64.17</v>
      </c>
      <c r="F574" s="2">
        <v>105.09</v>
      </c>
      <c r="H574" s="1">
        <f>_xlfn.XLOOKUP('Data Source 1_customer readings'!A574,'Data Source 1_customer readings'!A574:A2972,'Data Source 1_customer readings'!J574:J2972)</f>
        <v>0</v>
      </c>
    </row>
    <row r="575" spans="1:8" x14ac:dyDescent="0.2">
      <c r="A575" s="2" t="s">
        <v>35</v>
      </c>
      <c r="B575" s="2">
        <v>9</v>
      </c>
      <c r="C575" s="2">
        <v>10</v>
      </c>
      <c r="D575" s="2">
        <v>2021</v>
      </c>
      <c r="E575" s="2">
        <v>64.17</v>
      </c>
      <c r="F575" s="2">
        <v>75.64</v>
      </c>
      <c r="H575" s="1" t="b">
        <f>_xlfn.XLOOKUP('Data Source 1_customer readings'!A575,'Data Source 1_customer readings'!A575:A2973,'Data Source 1_customer readings'!J575:J2973)</f>
        <v>0</v>
      </c>
    </row>
    <row r="576" spans="1:8" x14ac:dyDescent="0.2">
      <c r="A576" s="2" t="s">
        <v>88</v>
      </c>
      <c r="B576" s="2">
        <v>23</v>
      </c>
      <c r="C576" s="2">
        <v>6</v>
      </c>
      <c r="D576" s="2">
        <v>2021</v>
      </c>
      <c r="E576" s="2">
        <v>63.9</v>
      </c>
      <c r="F576" s="2">
        <v>92.4</v>
      </c>
      <c r="H576" s="1">
        <f>_xlfn.XLOOKUP('Data Source 1_customer readings'!A576,'Data Source 1_customer readings'!A576:A2974,'Data Source 1_customer readings'!J576:J2974)</f>
        <v>0</v>
      </c>
    </row>
    <row r="577" spans="1:8" x14ac:dyDescent="0.2">
      <c r="A577" s="2" t="s">
        <v>87</v>
      </c>
      <c r="B577" s="2">
        <v>1</v>
      </c>
      <c r="C577" s="2">
        <v>7</v>
      </c>
      <c r="D577" s="2">
        <v>2021</v>
      </c>
      <c r="E577" s="2">
        <v>63.86</v>
      </c>
      <c r="F577" s="2">
        <v>85.25</v>
      </c>
      <c r="H577" s="1" t="b">
        <f>_xlfn.XLOOKUP('Data Source 1_customer readings'!A577,'Data Source 1_customer readings'!A577:A2975,'Data Source 1_customer readings'!J577:J2975)</f>
        <v>0</v>
      </c>
    </row>
    <row r="578" spans="1:8" x14ac:dyDescent="0.2">
      <c r="A578" s="2" t="s">
        <v>46</v>
      </c>
      <c r="B578" s="2">
        <v>9</v>
      </c>
      <c r="C578" s="2">
        <v>10</v>
      </c>
      <c r="D578" s="2">
        <v>2021</v>
      </c>
      <c r="E578" s="2">
        <v>63.86</v>
      </c>
      <c r="F578" s="2">
        <v>79.36</v>
      </c>
      <c r="H578" s="1">
        <f>_xlfn.XLOOKUP('Data Source 1_customer readings'!A578,'Data Source 1_customer readings'!A578:A2976,'Data Source 1_customer readings'!J578:J2976)</f>
        <v>0</v>
      </c>
    </row>
    <row r="579" spans="1:8" x14ac:dyDescent="0.2">
      <c r="A579" s="2" t="s">
        <v>37</v>
      </c>
      <c r="B579" s="2">
        <v>12</v>
      </c>
      <c r="C579" s="2">
        <v>3</v>
      </c>
      <c r="D579" s="2">
        <v>2021</v>
      </c>
      <c r="E579" s="2">
        <v>63.86</v>
      </c>
      <c r="F579" s="2">
        <v>76.260000000000005</v>
      </c>
      <c r="H579" s="1" t="b">
        <f>_xlfn.XLOOKUP('Data Source 1_customer readings'!A579,'Data Source 1_customer readings'!A579:A2977,'Data Source 1_customer readings'!J579:J2977)</f>
        <v>0</v>
      </c>
    </row>
    <row r="580" spans="1:8" x14ac:dyDescent="0.2">
      <c r="A580" s="2" t="s">
        <v>91</v>
      </c>
      <c r="B580" s="2">
        <v>5</v>
      </c>
      <c r="C580" s="2">
        <v>6</v>
      </c>
      <c r="D580" s="2">
        <v>2021</v>
      </c>
      <c r="E580" s="2">
        <v>63.6</v>
      </c>
      <c r="F580" s="2">
        <v>78.900000000000006</v>
      </c>
      <c r="H580" s="1">
        <f>_xlfn.XLOOKUP('Data Source 1_customer readings'!A580,'Data Source 1_customer readings'!A580:A2978,'Data Source 1_customer readings'!J580:J2978)</f>
        <v>0</v>
      </c>
    </row>
    <row r="581" spans="1:8" x14ac:dyDescent="0.2">
      <c r="A581" s="2" t="s">
        <v>38</v>
      </c>
      <c r="B581" s="2">
        <v>21</v>
      </c>
      <c r="C581" s="2">
        <v>4</v>
      </c>
      <c r="D581" s="2">
        <v>2021</v>
      </c>
      <c r="E581" s="2">
        <v>63.6</v>
      </c>
      <c r="F581" s="2">
        <v>75.900000000000006</v>
      </c>
      <c r="H581" s="1">
        <f>_xlfn.XLOOKUP('Data Source 1_customer readings'!A581,'Data Source 1_customer readings'!A581:A2979,'Data Source 1_customer readings'!J581:J2979)</f>
        <v>0</v>
      </c>
    </row>
    <row r="582" spans="1:8" x14ac:dyDescent="0.2">
      <c r="A582" s="2" t="s">
        <v>91</v>
      </c>
      <c r="B582" s="2">
        <v>5</v>
      </c>
      <c r="C582" s="2">
        <v>7</v>
      </c>
      <c r="D582" s="2">
        <v>2021</v>
      </c>
      <c r="E582" s="2">
        <v>63.55</v>
      </c>
      <c r="F582" s="2">
        <v>77.81</v>
      </c>
      <c r="H582" s="1">
        <f>_xlfn.XLOOKUP('Data Source 1_customer readings'!A582,'Data Source 1_customer readings'!A582:A2980,'Data Source 1_customer readings'!J582:J2980)</f>
        <v>0</v>
      </c>
    </row>
    <row r="583" spans="1:8" x14ac:dyDescent="0.2">
      <c r="A583" s="2" t="s">
        <v>87</v>
      </c>
      <c r="B583" s="2">
        <v>1</v>
      </c>
      <c r="C583" s="2">
        <v>6</v>
      </c>
      <c r="D583" s="2">
        <v>2021</v>
      </c>
      <c r="E583" s="2">
        <v>63.3</v>
      </c>
      <c r="F583" s="2">
        <v>92.4</v>
      </c>
      <c r="H583" s="1">
        <f>_xlfn.XLOOKUP('Data Source 1_customer readings'!A583,'Data Source 1_customer readings'!A583:A2981,'Data Source 1_customer readings'!J583:J2981)</f>
        <v>0</v>
      </c>
    </row>
    <row r="584" spans="1:8" x14ac:dyDescent="0.2">
      <c r="A584" s="2" t="s">
        <v>42</v>
      </c>
      <c r="B584" s="2">
        <v>12</v>
      </c>
      <c r="C584" s="2">
        <v>4</v>
      </c>
      <c r="D584" s="2">
        <v>2021</v>
      </c>
      <c r="E584" s="2">
        <v>63.3</v>
      </c>
      <c r="F584" s="2">
        <v>73.5</v>
      </c>
      <c r="H584" s="1" t="b">
        <f>_xlfn.XLOOKUP('Data Source 1_customer readings'!A584,'Data Source 1_customer readings'!A584:A2982,'Data Source 1_customer readings'!J584:J2982)</f>
        <v>0</v>
      </c>
    </row>
    <row r="585" spans="1:8" x14ac:dyDescent="0.2">
      <c r="A585" s="2" t="s">
        <v>89</v>
      </c>
      <c r="B585" s="2">
        <v>2</v>
      </c>
      <c r="C585" s="2">
        <v>7</v>
      </c>
      <c r="D585" s="2">
        <v>2021</v>
      </c>
      <c r="E585" s="2">
        <v>63.24</v>
      </c>
      <c r="F585" s="2">
        <v>83.7</v>
      </c>
      <c r="H585" s="1">
        <f>_xlfn.XLOOKUP('Data Source 1_customer readings'!A585,'Data Source 1_customer readings'!A585:A2983,'Data Source 1_customer readings'!J585:J2983)</f>
        <v>0</v>
      </c>
    </row>
    <row r="586" spans="1:8" x14ac:dyDescent="0.2">
      <c r="A586" s="2" t="s">
        <v>53</v>
      </c>
      <c r="B586" s="2">
        <v>18</v>
      </c>
      <c r="C586" s="2">
        <v>10</v>
      </c>
      <c r="D586" s="2">
        <v>2021</v>
      </c>
      <c r="E586" s="2">
        <v>63.24</v>
      </c>
      <c r="F586" s="2">
        <v>80.91</v>
      </c>
      <c r="H586" s="1">
        <f>_xlfn.XLOOKUP('Data Source 1_customer readings'!A586,'Data Source 1_customer readings'!A586:A2984,'Data Source 1_customer readings'!J586:J2984)</f>
        <v>0</v>
      </c>
    </row>
    <row r="587" spans="1:8" x14ac:dyDescent="0.2">
      <c r="A587" s="2" t="s">
        <v>92</v>
      </c>
      <c r="B587" s="2">
        <v>7</v>
      </c>
      <c r="C587" s="2">
        <v>7</v>
      </c>
      <c r="D587" s="2">
        <v>2021</v>
      </c>
      <c r="E587" s="2">
        <v>63.24</v>
      </c>
      <c r="F587" s="2">
        <v>79.36</v>
      </c>
      <c r="H587" s="1">
        <f>_xlfn.XLOOKUP('Data Source 1_customer readings'!A587,'Data Source 1_customer readings'!A587:A2985,'Data Source 1_customer readings'!J587:J2985)</f>
        <v>0</v>
      </c>
    </row>
    <row r="588" spans="1:8" x14ac:dyDescent="0.2">
      <c r="A588" s="2" t="s">
        <v>36</v>
      </c>
      <c r="B588" s="2">
        <v>12</v>
      </c>
      <c r="C588" s="2">
        <v>10</v>
      </c>
      <c r="D588" s="2">
        <v>2021</v>
      </c>
      <c r="E588" s="2">
        <v>63.24</v>
      </c>
      <c r="F588" s="2">
        <v>64.790000000000006</v>
      </c>
      <c r="H588" s="1">
        <f>_xlfn.XLOOKUP('Data Source 1_customer readings'!A588,'Data Source 1_customer readings'!A588:A2986,'Data Source 1_customer readings'!J588:J2986)</f>
        <v>0</v>
      </c>
    </row>
    <row r="589" spans="1:8" x14ac:dyDescent="0.2">
      <c r="A589" s="2" t="s">
        <v>47</v>
      </c>
      <c r="B589" s="2">
        <v>19</v>
      </c>
      <c r="C589" s="2">
        <v>10</v>
      </c>
      <c r="D589" s="2">
        <v>2021</v>
      </c>
      <c r="E589" s="2">
        <v>62.93</v>
      </c>
      <c r="F589" s="2">
        <v>78.430000000000007</v>
      </c>
      <c r="H589" s="1">
        <f>_xlfn.XLOOKUP('Data Source 1_customer readings'!A589,'Data Source 1_customer readings'!A589:A2987,'Data Source 1_customer readings'!J589:J2987)</f>
        <v>0</v>
      </c>
    </row>
    <row r="590" spans="1:8" x14ac:dyDescent="0.2">
      <c r="A590" s="2" t="s">
        <v>79</v>
      </c>
      <c r="B590" s="2">
        <v>3</v>
      </c>
      <c r="C590" s="2">
        <v>8</v>
      </c>
      <c r="D590" s="2">
        <v>2021</v>
      </c>
      <c r="E590" s="2">
        <v>62.62</v>
      </c>
      <c r="F590" s="2">
        <v>98.27</v>
      </c>
      <c r="H590" s="1">
        <f>_xlfn.XLOOKUP('Data Source 1_customer readings'!A590,'Data Source 1_customer readings'!A590:A2988,'Data Source 1_customer readings'!J590:J2988)</f>
        <v>0</v>
      </c>
    </row>
    <row r="591" spans="1:8" x14ac:dyDescent="0.2">
      <c r="A591" s="2" t="s">
        <v>47</v>
      </c>
      <c r="B591" s="2">
        <v>19</v>
      </c>
      <c r="C591" s="2">
        <v>3</v>
      </c>
      <c r="D591" s="2">
        <v>2021</v>
      </c>
      <c r="E591" s="2">
        <v>62.62</v>
      </c>
      <c r="F591" s="2">
        <v>79.98</v>
      </c>
      <c r="H591" s="1">
        <f>_xlfn.XLOOKUP('Data Source 1_customer readings'!A591,'Data Source 1_customer readings'!A591:A2989,'Data Source 1_customer readings'!J591:J2989)</f>
        <v>0</v>
      </c>
    </row>
    <row r="592" spans="1:8" x14ac:dyDescent="0.2">
      <c r="A592" s="2" t="s">
        <v>33</v>
      </c>
      <c r="B592" s="2">
        <v>21</v>
      </c>
      <c r="C592" s="2">
        <v>3</v>
      </c>
      <c r="D592" s="2">
        <v>2021</v>
      </c>
      <c r="E592" s="2">
        <v>62.62</v>
      </c>
      <c r="F592" s="2">
        <v>78.739999999999995</v>
      </c>
      <c r="H592" s="1">
        <f>_xlfn.XLOOKUP('Data Source 1_customer readings'!A592,'Data Source 1_customer readings'!A592:A2990,'Data Source 1_customer readings'!J592:J2990)</f>
        <v>0</v>
      </c>
    </row>
    <row r="593" spans="1:8" x14ac:dyDescent="0.2">
      <c r="A593" s="2" t="s">
        <v>77</v>
      </c>
      <c r="B593" s="2">
        <v>16</v>
      </c>
      <c r="C593" s="2">
        <v>9</v>
      </c>
      <c r="D593" s="2">
        <v>2021</v>
      </c>
      <c r="E593" s="2">
        <v>62.1</v>
      </c>
      <c r="F593" s="2">
        <v>112.2</v>
      </c>
      <c r="H593" s="1">
        <f>_xlfn.XLOOKUP('Data Source 1_customer readings'!A593,'Data Source 1_customer readings'!A593:A2991,'Data Source 1_customer readings'!J593:J2991)</f>
        <v>0</v>
      </c>
    </row>
    <row r="594" spans="1:8" x14ac:dyDescent="0.2">
      <c r="A594" s="2" t="s">
        <v>45</v>
      </c>
      <c r="B594" s="2">
        <v>18</v>
      </c>
      <c r="C594" s="2">
        <v>4</v>
      </c>
      <c r="D594" s="2">
        <v>2021</v>
      </c>
      <c r="E594" s="2">
        <v>62.1</v>
      </c>
      <c r="F594" s="2">
        <v>70.8</v>
      </c>
      <c r="H594" s="1">
        <f>_xlfn.XLOOKUP('Data Source 1_customer readings'!A594,'Data Source 1_customer readings'!A594:A2992,'Data Source 1_customer readings'!J594:J2992)</f>
        <v>0</v>
      </c>
    </row>
    <row r="595" spans="1:8" x14ac:dyDescent="0.2">
      <c r="A595" s="2" t="s">
        <v>33</v>
      </c>
      <c r="B595" s="2">
        <v>21</v>
      </c>
      <c r="C595" s="2">
        <v>10</v>
      </c>
      <c r="D595" s="2">
        <v>2021</v>
      </c>
      <c r="E595" s="2">
        <v>62</v>
      </c>
      <c r="F595" s="2">
        <v>82.15</v>
      </c>
      <c r="H595" s="1" t="b">
        <f>_xlfn.XLOOKUP('Data Source 1_customer readings'!A595,'Data Source 1_customer readings'!A595:A2993,'Data Source 1_customer readings'!J595:J2993)</f>
        <v>0</v>
      </c>
    </row>
    <row r="596" spans="1:8" x14ac:dyDescent="0.2">
      <c r="A596" s="2" t="s">
        <v>45</v>
      </c>
      <c r="B596" s="2">
        <v>18</v>
      </c>
      <c r="C596" s="2">
        <v>3</v>
      </c>
      <c r="D596" s="2">
        <v>2021</v>
      </c>
      <c r="E596" s="2">
        <v>62</v>
      </c>
      <c r="F596" s="2">
        <v>79.67</v>
      </c>
      <c r="H596" s="1">
        <f>_xlfn.XLOOKUP('Data Source 1_customer readings'!A596,'Data Source 1_customer readings'!A596:A2994,'Data Source 1_customer readings'!J596:J2994)</f>
        <v>0</v>
      </c>
    </row>
    <row r="597" spans="1:8" x14ac:dyDescent="0.2">
      <c r="A597" s="2" t="s">
        <v>83</v>
      </c>
      <c r="B597" s="2">
        <v>25</v>
      </c>
      <c r="C597" s="2">
        <v>8</v>
      </c>
      <c r="D597" s="2">
        <v>2021</v>
      </c>
      <c r="E597" s="2">
        <v>61.07</v>
      </c>
      <c r="F597" s="2">
        <v>97.96</v>
      </c>
      <c r="H597" s="1">
        <f>_xlfn.XLOOKUP('Data Source 1_customer readings'!A597,'Data Source 1_customer readings'!A597:A2995,'Data Source 1_customer readings'!J597:J2995)</f>
        <v>0</v>
      </c>
    </row>
    <row r="598" spans="1:8" x14ac:dyDescent="0.2">
      <c r="A598" s="2" t="s">
        <v>81</v>
      </c>
      <c r="B598" s="2">
        <v>19</v>
      </c>
      <c r="C598" s="2">
        <v>8</v>
      </c>
      <c r="D598" s="2">
        <v>2021</v>
      </c>
      <c r="E598" s="2">
        <v>60.76</v>
      </c>
      <c r="F598" s="2">
        <v>83.7</v>
      </c>
      <c r="H598" s="1">
        <f>_xlfn.XLOOKUP('Data Source 1_customer readings'!A598,'Data Source 1_customer readings'!A598:A2996,'Data Source 1_customer readings'!J598:J2996)</f>
        <v>0</v>
      </c>
    </row>
    <row r="599" spans="1:8" x14ac:dyDescent="0.2">
      <c r="A599" s="2" t="s">
        <v>45</v>
      </c>
      <c r="B599" s="2">
        <v>18</v>
      </c>
      <c r="C599" s="2">
        <v>10</v>
      </c>
      <c r="D599" s="2">
        <v>2021</v>
      </c>
      <c r="E599" s="2">
        <v>60.76</v>
      </c>
      <c r="F599" s="2">
        <v>76.88</v>
      </c>
      <c r="H599" s="1">
        <f>_xlfn.XLOOKUP('Data Source 1_customer readings'!A599,'Data Source 1_customer readings'!A599:A2997,'Data Source 1_customer readings'!J599:J2997)</f>
        <v>0</v>
      </c>
    </row>
    <row r="600" spans="1:8" x14ac:dyDescent="0.2">
      <c r="A600" s="2" t="s">
        <v>68</v>
      </c>
      <c r="B600" s="2">
        <v>11</v>
      </c>
      <c r="C600" s="2">
        <v>9</v>
      </c>
      <c r="D600" s="2">
        <v>2021</v>
      </c>
      <c r="E600" s="2">
        <v>60.6</v>
      </c>
      <c r="F600" s="2">
        <v>105.9</v>
      </c>
      <c r="H600" s="1">
        <f>_xlfn.XLOOKUP('Data Source 1_customer readings'!A600,'Data Source 1_customer readings'!A600:A2998,'Data Source 1_customer readings'!J600:J2998)</f>
        <v>0</v>
      </c>
    </row>
    <row r="601" spans="1:8" x14ac:dyDescent="0.2">
      <c r="A601" s="2" t="s">
        <v>86</v>
      </c>
      <c r="B601" s="2">
        <v>6</v>
      </c>
      <c r="C601" s="2">
        <v>8</v>
      </c>
      <c r="D601" s="2">
        <v>2021</v>
      </c>
      <c r="E601" s="2">
        <v>60.45</v>
      </c>
      <c r="F601" s="2">
        <v>89.28</v>
      </c>
      <c r="H601" s="1">
        <f>_xlfn.XLOOKUP('Data Source 1_customer readings'!A601,'Data Source 1_customer readings'!A601:A2999,'Data Source 1_customer readings'!J601:J2999)</f>
        <v>0</v>
      </c>
    </row>
    <row r="602" spans="1:8" x14ac:dyDescent="0.2">
      <c r="A602" s="2" t="s">
        <v>89</v>
      </c>
      <c r="B602" s="2">
        <v>2</v>
      </c>
      <c r="C602" s="2">
        <v>8</v>
      </c>
      <c r="D602" s="2">
        <v>2021</v>
      </c>
      <c r="E602" s="2">
        <v>60.45</v>
      </c>
      <c r="F602" s="2">
        <v>65.099999999999994</v>
      </c>
      <c r="H602" s="1">
        <f>_xlfn.XLOOKUP('Data Source 1_customer readings'!A602,'Data Source 1_customer readings'!A602:A3000,'Data Source 1_customer readings'!J602:J3000)</f>
        <v>0</v>
      </c>
    </row>
    <row r="603" spans="1:8" x14ac:dyDescent="0.2">
      <c r="A603" s="2" t="s">
        <v>88</v>
      </c>
      <c r="B603" s="2">
        <v>23</v>
      </c>
      <c r="C603" s="2">
        <v>8</v>
      </c>
      <c r="D603" s="2">
        <v>2021</v>
      </c>
      <c r="E603" s="2">
        <v>60.14</v>
      </c>
      <c r="F603" s="2">
        <v>114.08</v>
      </c>
      <c r="H603" s="1">
        <f>_xlfn.XLOOKUP('Data Source 1_customer readings'!A603,'Data Source 1_customer readings'!A603:A3001,'Data Source 1_customer readings'!J603:J3001)</f>
        <v>0</v>
      </c>
    </row>
    <row r="604" spans="1:8" x14ac:dyDescent="0.2">
      <c r="A604" s="2" t="s">
        <v>37</v>
      </c>
      <c r="B604" s="2">
        <v>12</v>
      </c>
      <c r="C604" s="2">
        <v>10</v>
      </c>
      <c r="D604" s="2">
        <v>2021</v>
      </c>
      <c r="E604" s="2">
        <v>60.14</v>
      </c>
      <c r="F604" s="2">
        <v>71.3</v>
      </c>
      <c r="H604" s="1">
        <f>_xlfn.XLOOKUP('Data Source 1_customer readings'!A604,'Data Source 1_customer readings'!A604:A3002,'Data Source 1_customer readings'!J604:J3002)</f>
        <v>0</v>
      </c>
    </row>
    <row r="605" spans="1:8" x14ac:dyDescent="0.2">
      <c r="A605" s="2" t="s">
        <v>84</v>
      </c>
      <c r="B605" s="2">
        <v>20</v>
      </c>
      <c r="C605" s="2">
        <v>9</v>
      </c>
      <c r="D605" s="2">
        <v>2021</v>
      </c>
      <c r="E605" s="2">
        <v>60</v>
      </c>
      <c r="F605" s="2">
        <v>99</v>
      </c>
      <c r="H605" s="1">
        <f>_xlfn.XLOOKUP('Data Source 1_customer readings'!A605,'Data Source 1_customer readings'!A605:A3003,'Data Source 1_customer readings'!J605:J3003)</f>
        <v>0</v>
      </c>
    </row>
    <row r="606" spans="1:8" x14ac:dyDescent="0.2">
      <c r="A606" s="2" t="s">
        <v>34</v>
      </c>
      <c r="B606" s="2">
        <v>4</v>
      </c>
      <c r="C606" s="2">
        <v>3</v>
      </c>
      <c r="D606" s="2">
        <v>2021</v>
      </c>
      <c r="E606" s="2">
        <v>59.83</v>
      </c>
      <c r="F606" s="2">
        <v>93.31</v>
      </c>
      <c r="H606" s="1">
        <f>_xlfn.XLOOKUP('Data Source 1_customer readings'!A606,'Data Source 1_customer readings'!A606:A3004,'Data Source 1_customer readings'!J606:J3004)</f>
        <v>0</v>
      </c>
    </row>
    <row r="607" spans="1:8" x14ac:dyDescent="0.2">
      <c r="A607" s="2" t="s">
        <v>80</v>
      </c>
      <c r="B607" s="2">
        <v>12</v>
      </c>
      <c r="C607" s="2">
        <v>7</v>
      </c>
      <c r="D607" s="2">
        <v>2021</v>
      </c>
      <c r="E607" s="2">
        <v>59.52</v>
      </c>
      <c r="F607" s="2">
        <v>97.96</v>
      </c>
      <c r="H607" s="1">
        <f>_xlfn.XLOOKUP('Data Source 1_customer readings'!A607,'Data Source 1_customer readings'!A607:A3005,'Data Source 1_customer readings'!J607:J3005)</f>
        <v>0</v>
      </c>
    </row>
    <row r="608" spans="1:8" x14ac:dyDescent="0.2">
      <c r="A608" s="2" t="s">
        <v>82</v>
      </c>
      <c r="B608" s="2">
        <v>8</v>
      </c>
      <c r="C608" s="2">
        <v>5</v>
      </c>
      <c r="D608" s="2">
        <v>2021</v>
      </c>
      <c r="E608" s="2">
        <v>59.52</v>
      </c>
      <c r="F608" s="2">
        <v>67.27</v>
      </c>
      <c r="H608" s="1">
        <f>_xlfn.XLOOKUP('Data Source 1_customer readings'!A608,'Data Source 1_customer readings'!A608:A3006,'Data Source 1_customer readings'!J608:J3006)</f>
        <v>0</v>
      </c>
    </row>
    <row r="609" spans="1:8" x14ac:dyDescent="0.2">
      <c r="A609" s="2" t="s">
        <v>86</v>
      </c>
      <c r="B609" s="2">
        <v>6</v>
      </c>
      <c r="C609" s="2">
        <v>9</v>
      </c>
      <c r="D609" s="2">
        <v>2021</v>
      </c>
      <c r="E609" s="2">
        <v>59.4</v>
      </c>
      <c r="F609" s="2">
        <v>88.2</v>
      </c>
      <c r="H609" s="1">
        <f>_xlfn.XLOOKUP('Data Source 1_customer readings'!A609,'Data Source 1_customer readings'!A609:A3007,'Data Source 1_customer readings'!J609:J3007)</f>
        <v>0</v>
      </c>
    </row>
    <row r="610" spans="1:8" x14ac:dyDescent="0.2">
      <c r="A610" s="2" t="s">
        <v>68</v>
      </c>
      <c r="B610" s="2">
        <v>11</v>
      </c>
      <c r="C610" s="2">
        <v>5</v>
      </c>
      <c r="D610" s="2">
        <v>2021</v>
      </c>
      <c r="E610" s="2">
        <v>59.21</v>
      </c>
      <c r="F610" s="2">
        <v>101.68</v>
      </c>
      <c r="H610" s="1">
        <f>_xlfn.XLOOKUP('Data Source 1_customer readings'!A610,'Data Source 1_customer readings'!A610:A3008,'Data Source 1_customer readings'!J610:J3008)</f>
        <v>0</v>
      </c>
    </row>
    <row r="611" spans="1:8" x14ac:dyDescent="0.2">
      <c r="A611" s="2" t="s">
        <v>46</v>
      </c>
      <c r="B611" s="2">
        <v>9</v>
      </c>
      <c r="C611" s="2">
        <v>3</v>
      </c>
      <c r="D611" s="2">
        <v>2021</v>
      </c>
      <c r="E611" s="2">
        <v>59.21</v>
      </c>
      <c r="F611" s="2">
        <v>88.04</v>
      </c>
      <c r="H611" s="1">
        <f>_xlfn.XLOOKUP('Data Source 1_customer readings'!A611,'Data Source 1_customer readings'!A611:A3009,'Data Source 1_customer readings'!J611:J3009)</f>
        <v>0</v>
      </c>
    </row>
    <row r="612" spans="1:8" x14ac:dyDescent="0.2">
      <c r="A612" s="2" t="s">
        <v>79</v>
      </c>
      <c r="B612" s="2">
        <v>3</v>
      </c>
      <c r="C612" s="2">
        <v>6</v>
      </c>
      <c r="D612" s="2">
        <v>2021</v>
      </c>
      <c r="E612" s="2">
        <v>59.1</v>
      </c>
      <c r="F612" s="2">
        <v>88.8</v>
      </c>
      <c r="H612" s="1">
        <f>_xlfn.XLOOKUP('Data Source 1_customer readings'!A612,'Data Source 1_customer readings'!A612:A3010,'Data Source 1_customer readings'!J612:J3010)</f>
        <v>0</v>
      </c>
    </row>
    <row r="613" spans="1:8" x14ac:dyDescent="0.2">
      <c r="A613" s="2" t="s">
        <v>79</v>
      </c>
      <c r="B613" s="2">
        <v>3</v>
      </c>
      <c r="C613" s="2">
        <v>7</v>
      </c>
      <c r="D613" s="2">
        <v>2021</v>
      </c>
      <c r="E613" s="2">
        <v>58.9</v>
      </c>
      <c r="F613" s="2">
        <v>104.47</v>
      </c>
      <c r="H613" s="1">
        <f>_xlfn.XLOOKUP('Data Source 1_customer readings'!A613,'Data Source 1_customer readings'!A613:A3011,'Data Source 1_customer readings'!J613:J3011)</f>
        <v>0</v>
      </c>
    </row>
    <row r="614" spans="1:8" x14ac:dyDescent="0.2">
      <c r="A614" s="2" t="s">
        <v>84</v>
      </c>
      <c r="B614" s="2">
        <v>20</v>
      </c>
      <c r="C614" s="2">
        <v>8</v>
      </c>
      <c r="D614" s="2">
        <v>2021</v>
      </c>
      <c r="E614" s="2">
        <v>58.9</v>
      </c>
      <c r="F614" s="2">
        <v>97.34</v>
      </c>
      <c r="H614" s="1">
        <f>_xlfn.XLOOKUP('Data Source 1_customer readings'!A614,'Data Source 1_customer readings'!A614:A3012,'Data Source 1_customer readings'!J614:J3012)</f>
        <v>0</v>
      </c>
    </row>
    <row r="615" spans="1:8" x14ac:dyDescent="0.2">
      <c r="A615" s="2" t="s">
        <v>88</v>
      </c>
      <c r="B615" s="2">
        <v>23</v>
      </c>
      <c r="C615" s="2">
        <v>7</v>
      </c>
      <c r="D615" s="2">
        <v>2021</v>
      </c>
      <c r="E615" s="2">
        <v>58.59</v>
      </c>
      <c r="F615" s="2">
        <v>95.79</v>
      </c>
      <c r="H615" s="1">
        <f>_xlfn.XLOOKUP('Data Source 1_customer readings'!A615,'Data Source 1_customer readings'!A615:A3013,'Data Source 1_customer readings'!J615:J3013)</f>
        <v>0</v>
      </c>
    </row>
    <row r="616" spans="1:8" x14ac:dyDescent="0.2">
      <c r="A616" s="2" t="s">
        <v>85</v>
      </c>
      <c r="B616" s="2">
        <v>3</v>
      </c>
      <c r="C616" s="2">
        <v>8</v>
      </c>
      <c r="D616" s="2">
        <v>2021</v>
      </c>
      <c r="E616" s="2">
        <v>58.59</v>
      </c>
      <c r="F616" s="2">
        <v>74.400000000000006</v>
      </c>
      <c r="H616" s="1">
        <f>_xlfn.XLOOKUP('Data Source 1_customer readings'!A616,'Data Source 1_customer readings'!A616:A3014,'Data Source 1_customer readings'!J616:J3014)</f>
        <v>0</v>
      </c>
    </row>
    <row r="617" spans="1:8" x14ac:dyDescent="0.2">
      <c r="A617" s="2" t="s">
        <v>36</v>
      </c>
      <c r="B617" s="2">
        <v>12</v>
      </c>
      <c r="C617" s="2">
        <v>4</v>
      </c>
      <c r="D617" s="2">
        <v>2021</v>
      </c>
      <c r="E617" s="2">
        <v>58.5</v>
      </c>
      <c r="F617" s="2">
        <v>74.7</v>
      </c>
      <c r="H617" s="1">
        <f>_xlfn.XLOOKUP('Data Source 1_customer readings'!A617,'Data Source 1_customer readings'!A617:A3015,'Data Source 1_customer readings'!J617:J3015)</f>
        <v>0</v>
      </c>
    </row>
    <row r="618" spans="1:8" x14ac:dyDescent="0.2">
      <c r="A618" s="2" t="s">
        <v>84</v>
      </c>
      <c r="B618" s="2">
        <v>20</v>
      </c>
      <c r="C618" s="2">
        <v>7</v>
      </c>
      <c r="D618" s="2">
        <v>2021</v>
      </c>
      <c r="E618" s="2">
        <v>58.28</v>
      </c>
      <c r="F618" s="2">
        <v>87.73</v>
      </c>
      <c r="H618" s="1">
        <f>_xlfn.XLOOKUP('Data Source 1_customer readings'!A618,'Data Source 1_customer readings'!A618:A3016,'Data Source 1_customer readings'!J618:J3016)</f>
        <v>0</v>
      </c>
    </row>
    <row r="619" spans="1:8" x14ac:dyDescent="0.2">
      <c r="A619" s="2" t="s">
        <v>89</v>
      </c>
      <c r="B619" s="2">
        <v>2</v>
      </c>
      <c r="C619" s="2">
        <v>9</v>
      </c>
      <c r="D619" s="2">
        <v>2021</v>
      </c>
      <c r="E619" s="2">
        <v>58.2</v>
      </c>
      <c r="F619" s="2">
        <v>72.900000000000006</v>
      </c>
      <c r="H619" s="1">
        <f>_xlfn.XLOOKUP('Data Source 1_customer readings'!A619,'Data Source 1_customer readings'!A619:A3017,'Data Source 1_customer readings'!J619:J3017)</f>
        <v>0</v>
      </c>
    </row>
    <row r="620" spans="1:8" x14ac:dyDescent="0.2">
      <c r="A620" s="2" t="s">
        <v>83</v>
      </c>
      <c r="B620" s="2">
        <v>25</v>
      </c>
      <c r="C620" s="2">
        <v>7</v>
      </c>
      <c r="D620" s="2">
        <v>2021</v>
      </c>
      <c r="E620" s="2">
        <v>57.66</v>
      </c>
      <c r="F620" s="2">
        <v>115.32</v>
      </c>
      <c r="H620" s="1">
        <f>_xlfn.XLOOKUP('Data Source 1_customer readings'!A620,'Data Source 1_customer readings'!A620:A3018,'Data Source 1_customer readings'!J620:J3018)</f>
        <v>0</v>
      </c>
    </row>
    <row r="621" spans="1:8" x14ac:dyDescent="0.2">
      <c r="A621" s="2" t="s">
        <v>39</v>
      </c>
      <c r="B621" s="2">
        <v>22</v>
      </c>
      <c r="C621" s="2">
        <v>10</v>
      </c>
      <c r="D621" s="2">
        <v>2021</v>
      </c>
      <c r="E621" s="2">
        <v>57.66</v>
      </c>
      <c r="F621" s="2">
        <v>77.81</v>
      </c>
      <c r="H621" s="1">
        <f>_xlfn.XLOOKUP('Data Source 1_customer readings'!A621,'Data Source 1_customer readings'!A621:A3019,'Data Source 1_customer readings'!J621:J3019)</f>
        <v>0</v>
      </c>
    </row>
    <row r="622" spans="1:8" x14ac:dyDescent="0.2">
      <c r="A622" s="2" t="s">
        <v>60</v>
      </c>
      <c r="B622" s="2">
        <v>20</v>
      </c>
      <c r="C622" s="2">
        <v>5</v>
      </c>
      <c r="D622" s="2">
        <v>2021</v>
      </c>
      <c r="E622" s="2">
        <v>57.04</v>
      </c>
      <c r="F622" s="2">
        <v>79.05</v>
      </c>
      <c r="H622" s="1" t="b">
        <f>_xlfn.XLOOKUP('Data Source 1_customer readings'!A622,'Data Source 1_customer readings'!A622:A3020,'Data Source 1_customer readings'!J622:J3020)</f>
        <v>0</v>
      </c>
    </row>
    <row r="623" spans="1:8" x14ac:dyDescent="0.2">
      <c r="A623" s="2" t="s">
        <v>35</v>
      </c>
      <c r="B623" s="2">
        <v>9</v>
      </c>
      <c r="C623" s="2">
        <v>3</v>
      </c>
      <c r="D623" s="2">
        <v>2021</v>
      </c>
      <c r="E623" s="2">
        <v>56.73</v>
      </c>
      <c r="F623" s="2">
        <v>81.84</v>
      </c>
      <c r="H623" s="1">
        <f>_xlfn.XLOOKUP('Data Source 1_customer readings'!A623,'Data Source 1_customer readings'!A623:A3021,'Data Source 1_customer readings'!J623:J3021)</f>
        <v>0</v>
      </c>
    </row>
    <row r="624" spans="1:8" x14ac:dyDescent="0.2">
      <c r="A624" s="2" t="s">
        <v>34</v>
      </c>
      <c r="B624" s="2">
        <v>4</v>
      </c>
      <c r="C624" s="2">
        <v>4</v>
      </c>
      <c r="D624" s="2">
        <v>2021</v>
      </c>
      <c r="E624" s="2">
        <v>56.7</v>
      </c>
      <c r="F624" s="2">
        <v>76.8</v>
      </c>
      <c r="H624" s="1" t="b">
        <f>_xlfn.XLOOKUP('Data Source 1_customer readings'!A624,'Data Source 1_customer readings'!A624:A3022,'Data Source 1_customer readings'!J624:J3022)</f>
        <v>0</v>
      </c>
    </row>
    <row r="625" spans="1:8" x14ac:dyDescent="0.2">
      <c r="A625" s="2" t="s">
        <v>76</v>
      </c>
      <c r="B625" s="2">
        <v>9</v>
      </c>
      <c r="C625" s="2">
        <v>5</v>
      </c>
      <c r="D625" s="2">
        <v>2021</v>
      </c>
      <c r="E625" s="2">
        <v>56.42</v>
      </c>
      <c r="F625" s="2">
        <v>85.56</v>
      </c>
      <c r="H625" s="1">
        <f>_xlfn.XLOOKUP('Data Source 1_customer readings'!A625,'Data Source 1_customer readings'!A625:A3023,'Data Source 1_customer readings'!J625:J3023)</f>
        <v>0</v>
      </c>
    </row>
    <row r="626" spans="1:8" x14ac:dyDescent="0.2">
      <c r="A626" s="2" t="s">
        <v>81</v>
      </c>
      <c r="B626" s="2">
        <v>19</v>
      </c>
      <c r="C626" s="2">
        <v>9</v>
      </c>
      <c r="D626" s="2">
        <v>2021</v>
      </c>
      <c r="E626" s="2">
        <v>56.4</v>
      </c>
      <c r="F626" s="2">
        <v>86.4</v>
      </c>
      <c r="H626" s="1">
        <f>_xlfn.XLOOKUP('Data Source 1_customer readings'!A626,'Data Source 1_customer readings'!A626:A3024,'Data Source 1_customer readings'!J626:J3024)</f>
        <v>0</v>
      </c>
    </row>
    <row r="627" spans="1:8" x14ac:dyDescent="0.2">
      <c r="A627" s="2" t="s">
        <v>81</v>
      </c>
      <c r="B627" s="2">
        <v>19</v>
      </c>
      <c r="C627" s="2">
        <v>6</v>
      </c>
      <c r="D627" s="2">
        <v>2021</v>
      </c>
      <c r="E627" s="2">
        <v>56.4</v>
      </c>
      <c r="F627" s="2">
        <v>81</v>
      </c>
      <c r="H627" s="1">
        <f>_xlfn.XLOOKUP('Data Source 1_customer readings'!A627,'Data Source 1_customer readings'!A627:A3025,'Data Source 1_customer readings'!J627:J3025)</f>
        <v>0</v>
      </c>
    </row>
    <row r="628" spans="1:8" x14ac:dyDescent="0.2">
      <c r="A628" s="2" t="s">
        <v>34</v>
      </c>
      <c r="B628" s="2">
        <v>4</v>
      </c>
      <c r="C628" s="2">
        <v>10</v>
      </c>
      <c r="D628" s="2">
        <v>2021</v>
      </c>
      <c r="E628" s="2">
        <v>56.11</v>
      </c>
      <c r="F628" s="2">
        <v>78.430000000000007</v>
      </c>
      <c r="H628" s="1">
        <f>_xlfn.XLOOKUP('Data Source 1_customer readings'!A628,'Data Source 1_customer readings'!A628:A3026,'Data Source 1_customer readings'!J628:J3026)</f>
        <v>0</v>
      </c>
    </row>
    <row r="629" spans="1:8" x14ac:dyDescent="0.2">
      <c r="A629" s="2" t="s">
        <v>72</v>
      </c>
      <c r="B629" s="2">
        <v>22</v>
      </c>
      <c r="C629" s="2">
        <v>9</v>
      </c>
      <c r="D629" s="2">
        <v>2021</v>
      </c>
      <c r="E629" s="2">
        <v>56.1</v>
      </c>
      <c r="F629" s="2">
        <v>103.8</v>
      </c>
      <c r="H629" s="1">
        <f>_xlfn.XLOOKUP('Data Source 1_customer readings'!A629,'Data Source 1_customer readings'!A629:A3027,'Data Source 1_customer readings'!J629:J3027)</f>
        <v>0</v>
      </c>
    </row>
    <row r="630" spans="1:8" x14ac:dyDescent="0.2">
      <c r="A630" s="2" t="s">
        <v>39</v>
      </c>
      <c r="B630" s="2">
        <v>22</v>
      </c>
      <c r="C630" s="2">
        <v>4</v>
      </c>
      <c r="D630" s="2">
        <v>2021</v>
      </c>
      <c r="E630" s="2">
        <v>55.8</v>
      </c>
      <c r="F630" s="2">
        <v>70.2</v>
      </c>
      <c r="H630" s="1">
        <f>_xlfn.XLOOKUP('Data Source 1_customer readings'!A630,'Data Source 1_customer readings'!A630:A3028,'Data Source 1_customer readings'!J630:J3028)</f>
        <v>0</v>
      </c>
    </row>
    <row r="631" spans="1:8" x14ac:dyDescent="0.2">
      <c r="A631" s="2" t="s">
        <v>72</v>
      </c>
      <c r="B631" s="2">
        <v>22</v>
      </c>
      <c r="C631" s="2">
        <v>8</v>
      </c>
      <c r="D631" s="2">
        <v>2021</v>
      </c>
      <c r="E631" s="2">
        <v>55.49</v>
      </c>
      <c r="F631" s="2">
        <v>103.23</v>
      </c>
      <c r="H631" s="1">
        <f>_xlfn.XLOOKUP('Data Source 1_customer readings'!A631,'Data Source 1_customer readings'!A631:A3029,'Data Source 1_customer readings'!J631:J3029)</f>
        <v>0</v>
      </c>
    </row>
    <row r="632" spans="1:8" x14ac:dyDescent="0.2">
      <c r="A632" s="2" t="s">
        <v>80</v>
      </c>
      <c r="B632" s="2">
        <v>12</v>
      </c>
      <c r="C632" s="2">
        <v>9</v>
      </c>
      <c r="D632" s="2">
        <v>2021</v>
      </c>
      <c r="E632" s="2">
        <v>54.9</v>
      </c>
      <c r="F632" s="2">
        <v>76.8</v>
      </c>
      <c r="H632" s="1">
        <f>_xlfn.XLOOKUP('Data Source 1_customer readings'!A632,'Data Source 1_customer readings'!A632:A3030,'Data Source 1_customer readings'!J632:J3030)</f>
        <v>0</v>
      </c>
    </row>
    <row r="633" spans="1:8" x14ac:dyDescent="0.2">
      <c r="A633" s="2" t="s">
        <v>83</v>
      </c>
      <c r="B633" s="2">
        <v>25</v>
      </c>
      <c r="C633" s="2">
        <v>6</v>
      </c>
      <c r="D633" s="2">
        <v>2021</v>
      </c>
      <c r="E633" s="2">
        <v>54.6</v>
      </c>
      <c r="F633" s="2">
        <v>97.8</v>
      </c>
      <c r="H633" s="1" t="b">
        <f>_xlfn.XLOOKUP('Data Source 1_customer readings'!A633,'Data Source 1_customer readings'!A633:A3031,'Data Source 1_customer readings'!J633:J3031)</f>
        <v>0</v>
      </c>
    </row>
    <row r="634" spans="1:8" x14ac:dyDescent="0.2">
      <c r="A634" s="2" t="s">
        <v>79</v>
      </c>
      <c r="B634" s="2">
        <v>3</v>
      </c>
      <c r="C634" s="2">
        <v>5</v>
      </c>
      <c r="D634" s="2">
        <v>2021</v>
      </c>
      <c r="E634" s="2">
        <v>54.56</v>
      </c>
      <c r="F634" s="2">
        <v>113.15</v>
      </c>
      <c r="H634" s="1">
        <f>_xlfn.XLOOKUP('Data Source 1_customer readings'!A634,'Data Source 1_customer readings'!A634:A3032,'Data Source 1_customer readings'!J634:J3032)</f>
        <v>0</v>
      </c>
    </row>
    <row r="635" spans="1:8" x14ac:dyDescent="0.2">
      <c r="A635" s="2" t="s">
        <v>81</v>
      </c>
      <c r="B635" s="2">
        <v>19</v>
      </c>
      <c r="C635" s="2">
        <v>7</v>
      </c>
      <c r="D635" s="2">
        <v>2021</v>
      </c>
      <c r="E635" s="2">
        <v>54.56</v>
      </c>
      <c r="F635" s="2">
        <v>104.78</v>
      </c>
      <c r="H635" s="1">
        <f>_xlfn.XLOOKUP('Data Source 1_customer readings'!A635,'Data Source 1_customer readings'!A635:A3033,'Data Source 1_customer readings'!J635:J3033)</f>
        <v>0</v>
      </c>
    </row>
    <row r="636" spans="1:8" x14ac:dyDescent="0.2">
      <c r="A636" s="2" t="s">
        <v>56</v>
      </c>
      <c r="B636" s="2">
        <v>14</v>
      </c>
      <c r="C636" s="2">
        <v>9</v>
      </c>
      <c r="D636" s="2">
        <v>2021</v>
      </c>
      <c r="E636" s="2">
        <v>54.3</v>
      </c>
      <c r="F636" s="2">
        <v>86.1</v>
      </c>
      <c r="H636" s="1">
        <f>_xlfn.XLOOKUP('Data Source 1_customer readings'!A636,'Data Source 1_customer readings'!A636:A3034,'Data Source 1_customer readings'!J636:J3034)</f>
        <v>0</v>
      </c>
    </row>
    <row r="637" spans="1:8" x14ac:dyDescent="0.2">
      <c r="A637" s="2" t="s">
        <v>80</v>
      </c>
      <c r="B637" s="2">
        <v>12</v>
      </c>
      <c r="C637" s="2">
        <v>6</v>
      </c>
      <c r="D637" s="2">
        <v>2021</v>
      </c>
      <c r="E637" s="2">
        <v>54.3</v>
      </c>
      <c r="F637" s="2">
        <v>84.6</v>
      </c>
      <c r="H637" s="1" t="b">
        <f>_xlfn.XLOOKUP('Data Source 1_customer readings'!A637,'Data Source 1_customer readings'!A637:A3035,'Data Source 1_customer readings'!J637:J3035)</f>
        <v>0</v>
      </c>
    </row>
    <row r="638" spans="1:8" x14ac:dyDescent="0.2">
      <c r="A638" s="2" t="s">
        <v>86</v>
      </c>
      <c r="B638" s="2">
        <v>6</v>
      </c>
      <c r="C638" s="2">
        <v>5</v>
      </c>
      <c r="D638" s="2">
        <v>2021</v>
      </c>
      <c r="E638" s="2">
        <v>54.25</v>
      </c>
      <c r="F638" s="2">
        <v>92.07</v>
      </c>
      <c r="H638" s="1">
        <f>_xlfn.XLOOKUP('Data Source 1_customer readings'!A638,'Data Source 1_customer readings'!A638:A3036,'Data Source 1_customer readings'!J638:J3036)</f>
        <v>0</v>
      </c>
    </row>
    <row r="639" spans="1:8" x14ac:dyDescent="0.2">
      <c r="A639" s="2" t="s">
        <v>65</v>
      </c>
      <c r="B639" s="2">
        <v>11</v>
      </c>
      <c r="C639" s="2">
        <v>5</v>
      </c>
      <c r="D639" s="2">
        <v>2021</v>
      </c>
      <c r="E639" s="2">
        <v>53.94</v>
      </c>
      <c r="F639" s="2">
        <v>88.35</v>
      </c>
      <c r="H639" s="1">
        <f>_xlfn.XLOOKUP('Data Source 1_customer readings'!A639,'Data Source 1_customer readings'!A639:A3037,'Data Source 1_customer readings'!J639:J3037)</f>
        <v>0</v>
      </c>
    </row>
    <row r="640" spans="1:8" x14ac:dyDescent="0.2">
      <c r="A640" s="2" t="s">
        <v>59</v>
      </c>
      <c r="B640" s="2">
        <v>11</v>
      </c>
      <c r="C640" s="2">
        <v>5</v>
      </c>
      <c r="D640" s="2">
        <v>2021</v>
      </c>
      <c r="E640" s="2">
        <v>53.63</v>
      </c>
      <c r="F640" s="2">
        <v>102.61</v>
      </c>
      <c r="H640" s="1">
        <f>_xlfn.XLOOKUP('Data Source 1_customer readings'!A640,'Data Source 1_customer readings'!A640:A3038,'Data Source 1_customer readings'!J640:J3038)</f>
        <v>0</v>
      </c>
    </row>
    <row r="641" spans="1:8" x14ac:dyDescent="0.2">
      <c r="A641" s="2" t="s">
        <v>62</v>
      </c>
      <c r="B641" s="2">
        <v>1</v>
      </c>
      <c r="C641" s="2">
        <v>5</v>
      </c>
      <c r="D641" s="2">
        <v>2021</v>
      </c>
      <c r="E641" s="2">
        <v>53.32</v>
      </c>
      <c r="F641" s="2">
        <v>75.33</v>
      </c>
      <c r="H641" s="1">
        <f>_xlfn.XLOOKUP('Data Source 1_customer readings'!A641,'Data Source 1_customer readings'!A641:A3039,'Data Source 1_customer readings'!J641:J3039)</f>
        <v>0</v>
      </c>
    </row>
    <row r="642" spans="1:8" x14ac:dyDescent="0.2">
      <c r="A642" s="2" t="s">
        <v>78</v>
      </c>
      <c r="B642" s="2">
        <v>18</v>
      </c>
      <c r="C642" s="2">
        <v>7</v>
      </c>
      <c r="D642" s="2">
        <v>2021</v>
      </c>
      <c r="E642" s="2">
        <v>53.01</v>
      </c>
      <c r="F642" s="2">
        <v>86.49</v>
      </c>
      <c r="H642" s="1">
        <f>_xlfn.XLOOKUP('Data Source 1_customer readings'!A642,'Data Source 1_customer readings'!A642:A3040,'Data Source 1_customer readings'!J642:J3040)</f>
        <v>0</v>
      </c>
    </row>
    <row r="643" spans="1:8" x14ac:dyDescent="0.2">
      <c r="A643" s="2" t="s">
        <v>33</v>
      </c>
      <c r="B643" s="2">
        <v>21</v>
      </c>
      <c r="C643" s="2">
        <v>4</v>
      </c>
      <c r="D643" s="2">
        <v>2021</v>
      </c>
      <c r="E643" s="2">
        <v>52.8</v>
      </c>
      <c r="F643" s="2">
        <v>82.5</v>
      </c>
      <c r="H643" s="1">
        <f>_xlfn.XLOOKUP('Data Source 1_customer readings'!A643,'Data Source 1_customer readings'!A643:A3041,'Data Source 1_customer readings'!J643:J3041)</f>
        <v>0</v>
      </c>
    </row>
    <row r="644" spans="1:8" x14ac:dyDescent="0.2">
      <c r="A644" s="2" t="s">
        <v>89</v>
      </c>
      <c r="B644" s="2">
        <v>2</v>
      </c>
      <c r="C644" s="2">
        <v>6</v>
      </c>
      <c r="D644" s="2">
        <v>2021</v>
      </c>
      <c r="E644" s="2">
        <v>52.8</v>
      </c>
      <c r="F644" s="2">
        <v>68.099999999999994</v>
      </c>
      <c r="H644" s="1">
        <f>_xlfn.XLOOKUP('Data Source 1_customer readings'!A644,'Data Source 1_customer readings'!A644:A3042,'Data Source 1_customer readings'!J644:J3042)</f>
        <v>0</v>
      </c>
    </row>
    <row r="645" spans="1:8" x14ac:dyDescent="0.2">
      <c r="A645" s="2" t="s">
        <v>65</v>
      </c>
      <c r="B645" s="2">
        <v>11</v>
      </c>
      <c r="C645" s="2">
        <v>9</v>
      </c>
      <c r="D645" s="2">
        <v>2021</v>
      </c>
      <c r="E645" s="2">
        <v>52.5</v>
      </c>
      <c r="F645" s="2">
        <v>105.3</v>
      </c>
      <c r="H645" s="1">
        <f>_xlfn.XLOOKUP('Data Source 1_customer readings'!A645,'Data Source 1_customer readings'!A645:A3043,'Data Source 1_customer readings'!J645:J3043)</f>
        <v>0</v>
      </c>
    </row>
    <row r="646" spans="1:8" x14ac:dyDescent="0.2">
      <c r="A646" s="2" t="s">
        <v>71</v>
      </c>
      <c r="B646" s="2">
        <v>21</v>
      </c>
      <c r="C646" s="2">
        <v>8</v>
      </c>
      <c r="D646" s="2">
        <v>2021</v>
      </c>
      <c r="E646" s="2">
        <v>52.39</v>
      </c>
      <c r="F646" s="2">
        <v>107.88</v>
      </c>
      <c r="H646" s="1">
        <f>_xlfn.XLOOKUP('Data Source 1_customer readings'!A646,'Data Source 1_customer readings'!A646:A3044,'Data Source 1_customer readings'!J646:J3044)</f>
        <v>0</v>
      </c>
    </row>
    <row r="647" spans="1:8" x14ac:dyDescent="0.2">
      <c r="A647" s="2" t="s">
        <v>54</v>
      </c>
      <c r="B647" s="2">
        <v>5</v>
      </c>
      <c r="C647" s="2">
        <v>5</v>
      </c>
      <c r="D647" s="2">
        <v>2021</v>
      </c>
      <c r="E647" s="2">
        <v>52.39</v>
      </c>
      <c r="F647" s="2">
        <v>96.1</v>
      </c>
      <c r="H647" s="1">
        <f>_xlfn.XLOOKUP('Data Source 1_customer readings'!A647,'Data Source 1_customer readings'!A647:A3045,'Data Source 1_customer readings'!J647:J3045)</f>
        <v>0</v>
      </c>
    </row>
    <row r="648" spans="1:8" x14ac:dyDescent="0.2">
      <c r="A648" s="2" t="s">
        <v>39</v>
      </c>
      <c r="B648" s="2">
        <v>22</v>
      </c>
      <c r="C648" s="2">
        <v>3</v>
      </c>
      <c r="D648" s="2">
        <v>2021</v>
      </c>
      <c r="E648" s="2">
        <v>52.39</v>
      </c>
      <c r="F648" s="2">
        <v>82.46</v>
      </c>
      <c r="H648" s="1">
        <f>_xlfn.XLOOKUP('Data Source 1_customer readings'!A648,'Data Source 1_customer readings'!A648:A3046,'Data Source 1_customer readings'!J648:J3046)</f>
        <v>0</v>
      </c>
    </row>
    <row r="649" spans="1:8" x14ac:dyDescent="0.2">
      <c r="A649" s="2" t="s">
        <v>66</v>
      </c>
      <c r="B649" s="2">
        <v>23</v>
      </c>
      <c r="C649" s="2">
        <v>9</v>
      </c>
      <c r="D649" s="2">
        <v>2021</v>
      </c>
      <c r="E649" s="2">
        <v>52.2</v>
      </c>
      <c r="F649" s="2">
        <v>69.900000000000006</v>
      </c>
      <c r="H649" s="1">
        <f>_xlfn.XLOOKUP('Data Source 1_customer readings'!A649,'Data Source 1_customer readings'!A649:A3047,'Data Source 1_customer readings'!J649:J3047)</f>
        <v>0</v>
      </c>
    </row>
    <row r="650" spans="1:8" x14ac:dyDescent="0.2">
      <c r="A650" s="2" t="s">
        <v>80</v>
      </c>
      <c r="B650" s="2">
        <v>12</v>
      </c>
      <c r="C650" s="2">
        <v>8</v>
      </c>
      <c r="D650" s="2">
        <v>2021</v>
      </c>
      <c r="E650" s="2">
        <v>52.08</v>
      </c>
      <c r="F650" s="2">
        <v>86.8</v>
      </c>
      <c r="H650" s="1">
        <f>_xlfn.XLOOKUP('Data Source 1_customer readings'!A650,'Data Source 1_customer readings'!A650:A3048,'Data Source 1_customer readings'!J650:J3048)</f>
        <v>0</v>
      </c>
    </row>
    <row r="651" spans="1:8" x14ac:dyDescent="0.2">
      <c r="A651" s="2" t="s">
        <v>78</v>
      </c>
      <c r="B651" s="2">
        <v>18</v>
      </c>
      <c r="C651" s="2">
        <v>9</v>
      </c>
      <c r="D651" s="2">
        <v>2021</v>
      </c>
      <c r="E651" s="2">
        <v>51.9</v>
      </c>
      <c r="F651" s="2">
        <v>100.5</v>
      </c>
      <c r="H651" s="1">
        <f>_xlfn.XLOOKUP('Data Source 1_customer readings'!A651,'Data Source 1_customer readings'!A651:A3049,'Data Source 1_customer readings'!J651:J3049)</f>
        <v>0</v>
      </c>
    </row>
    <row r="652" spans="1:8" x14ac:dyDescent="0.2">
      <c r="A652" s="2" t="s">
        <v>64</v>
      </c>
      <c r="B652" s="2">
        <v>21</v>
      </c>
      <c r="C652" s="2">
        <v>9</v>
      </c>
      <c r="D652" s="2">
        <v>2021</v>
      </c>
      <c r="E652" s="2">
        <v>51.9</v>
      </c>
      <c r="F652" s="2">
        <v>82.5</v>
      </c>
      <c r="H652" s="1">
        <f>_xlfn.XLOOKUP('Data Source 1_customer readings'!A652,'Data Source 1_customer readings'!A652:A3050,'Data Source 1_customer readings'!J652:J3050)</f>
        <v>0</v>
      </c>
    </row>
    <row r="653" spans="1:8" x14ac:dyDescent="0.2">
      <c r="A653" s="2" t="s">
        <v>54</v>
      </c>
      <c r="B653" s="2">
        <v>5</v>
      </c>
      <c r="C653" s="2">
        <v>9</v>
      </c>
      <c r="D653" s="2">
        <v>2021</v>
      </c>
      <c r="E653" s="2">
        <v>51.9</v>
      </c>
      <c r="F653" s="2">
        <v>81.599999999999994</v>
      </c>
      <c r="H653" s="1">
        <f>_xlfn.XLOOKUP('Data Source 1_customer readings'!A653,'Data Source 1_customer readings'!A653:A3051,'Data Source 1_customer readings'!J653:J3051)</f>
        <v>0</v>
      </c>
    </row>
    <row r="654" spans="1:8" x14ac:dyDescent="0.2">
      <c r="A654" s="2" t="s">
        <v>37</v>
      </c>
      <c r="B654" s="2">
        <v>12</v>
      </c>
      <c r="C654" s="2">
        <v>4</v>
      </c>
      <c r="D654" s="2">
        <v>2021</v>
      </c>
      <c r="E654" s="2">
        <v>51.9</v>
      </c>
      <c r="F654" s="2">
        <v>72.3</v>
      </c>
      <c r="H654" s="1">
        <f>_xlfn.XLOOKUP('Data Source 1_customer readings'!A654,'Data Source 1_customer readings'!A654:A3052,'Data Source 1_customer readings'!J654:J3052)</f>
        <v>0</v>
      </c>
    </row>
    <row r="655" spans="1:8" x14ac:dyDescent="0.2">
      <c r="A655" s="2" t="s">
        <v>57</v>
      </c>
      <c r="B655" s="2">
        <v>17</v>
      </c>
      <c r="C655" s="2">
        <v>5</v>
      </c>
      <c r="D655" s="2">
        <v>2021</v>
      </c>
      <c r="E655" s="2">
        <v>51.77</v>
      </c>
      <c r="F655" s="2">
        <v>80.91</v>
      </c>
      <c r="H655" s="1">
        <f>_xlfn.XLOOKUP('Data Source 1_customer readings'!A655,'Data Source 1_customer readings'!A655:A3053,'Data Source 1_customer readings'!J655:J3053)</f>
        <v>0</v>
      </c>
    </row>
    <row r="656" spans="1:8" x14ac:dyDescent="0.2">
      <c r="A656" s="2" t="s">
        <v>72</v>
      </c>
      <c r="B656" s="2">
        <v>22</v>
      </c>
      <c r="C656" s="2">
        <v>5</v>
      </c>
      <c r="D656" s="2">
        <v>2021</v>
      </c>
      <c r="E656" s="2">
        <v>51.46</v>
      </c>
      <c r="F656" s="2">
        <v>119.97</v>
      </c>
      <c r="H656" s="1">
        <f>_xlfn.XLOOKUP('Data Source 1_customer readings'!A656,'Data Source 1_customer readings'!A656:A3054,'Data Source 1_customer readings'!J656:J3054)</f>
        <v>0</v>
      </c>
    </row>
    <row r="657" spans="1:8" x14ac:dyDescent="0.2">
      <c r="A657" s="2" t="s">
        <v>68</v>
      </c>
      <c r="B657" s="2">
        <v>11</v>
      </c>
      <c r="C657" s="2">
        <v>8</v>
      </c>
      <c r="D657" s="2">
        <v>2021</v>
      </c>
      <c r="E657" s="2">
        <v>51.46</v>
      </c>
      <c r="F657" s="2">
        <v>105.4</v>
      </c>
      <c r="H657" s="1">
        <f>_xlfn.XLOOKUP('Data Source 1_customer readings'!A657,'Data Source 1_customer readings'!A657:A3055,'Data Source 1_customer readings'!J657:J3055)</f>
        <v>0</v>
      </c>
    </row>
    <row r="658" spans="1:8" x14ac:dyDescent="0.2">
      <c r="A658" s="2" t="s">
        <v>70</v>
      </c>
      <c r="B658" s="2">
        <v>16</v>
      </c>
      <c r="C658" s="2">
        <v>5</v>
      </c>
      <c r="D658" s="2">
        <v>2021</v>
      </c>
      <c r="E658" s="2">
        <v>51.46</v>
      </c>
      <c r="F658" s="2">
        <v>98.27</v>
      </c>
      <c r="H658" s="1">
        <f>_xlfn.XLOOKUP('Data Source 1_customer readings'!A658,'Data Source 1_customer readings'!A658:A3056,'Data Source 1_customer readings'!J658:J3056)</f>
        <v>0</v>
      </c>
    </row>
    <row r="659" spans="1:8" x14ac:dyDescent="0.2">
      <c r="A659" s="2" t="s">
        <v>68</v>
      </c>
      <c r="B659" s="2">
        <v>11</v>
      </c>
      <c r="C659" s="2">
        <v>7</v>
      </c>
      <c r="D659" s="2">
        <v>2021</v>
      </c>
      <c r="E659" s="2">
        <v>51.46</v>
      </c>
      <c r="F659" s="2">
        <v>97.65</v>
      </c>
      <c r="H659" s="1">
        <f>_xlfn.XLOOKUP('Data Source 1_customer readings'!A659,'Data Source 1_customer readings'!A659:A3057,'Data Source 1_customer readings'!J659:J3057)</f>
        <v>0</v>
      </c>
    </row>
    <row r="660" spans="1:8" x14ac:dyDescent="0.2">
      <c r="A660" s="2" t="s">
        <v>76</v>
      </c>
      <c r="B660" s="2">
        <v>9</v>
      </c>
      <c r="C660" s="2">
        <v>9</v>
      </c>
      <c r="D660" s="2">
        <v>2021</v>
      </c>
      <c r="E660" s="2">
        <v>51.3</v>
      </c>
      <c r="F660" s="2">
        <v>72.599999999999994</v>
      </c>
      <c r="H660" s="1" t="b">
        <f>_xlfn.XLOOKUP('Data Source 1_customer readings'!A660,'Data Source 1_customer readings'!A660:A3058,'Data Source 1_customer readings'!J660:J3058)</f>
        <v>0</v>
      </c>
    </row>
    <row r="661" spans="1:8" x14ac:dyDescent="0.2">
      <c r="A661" s="2" t="s">
        <v>77</v>
      </c>
      <c r="B661" s="2">
        <v>16</v>
      </c>
      <c r="C661" s="2">
        <v>7</v>
      </c>
      <c r="D661" s="2">
        <v>2021</v>
      </c>
      <c r="E661" s="2">
        <v>51.15</v>
      </c>
      <c r="F661" s="2">
        <v>108.19</v>
      </c>
      <c r="H661" s="1">
        <f>_xlfn.XLOOKUP('Data Source 1_customer readings'!A661,'Data Source 1_customer readings'!A661:A3059,'Data Source 1_customer readings'!J661:J3059)</f>
        <v>0</v>
      </c>
    </row>
    <row r="662" spans="1:8" x14ac:dyDescent="0.2">
      <c r="A662" s="2" t="s">
        <v>82</v>
      </c>
      <c r="B662" s="2">
        <v>8</v>
      </c>
      <c r="C662" s="2">
        <v>9</v>
      </c>
      <c r="D662" s="2">
        <v>2021</v>
      </c>
      <c r="E662" s="2">
        <v>51</v>
      </c>
      <c r="F662" s="2">
        <v>69.599999999999994</v>
      </c>
      <c r="H662" s="1">
        <f>_xlfn.XLOOKUP('Data Source 1_customer readings'!A662,'Data Source 1_customer readings'!A662:A3060,'Data Source 1_customer readings'!J662:J3060)</f>
        <v>0</v>
      </c>
    </row>
    <row r="663" spans="1:8" x14ac:dyDescent="0.2">
      <c r="A663" s="2" t="s">
        <v>55</v>
      </c>
      <c r="B663" s="2">
        <v>18</v>
      </c>
      <c r="C663" s="2">
        <v>9</v>
      </c>
      <c r="D663" s="2">
        <v>2021</v>
      </c>
      <c r="E663" s="2">
        <v>50.4</v>
      </c>
      <c r="F663" s="2">
        <v>69.599999999999994</v>
      </c>
      <c r="H663" s="1">
        <f>_xlfn.XLOOKUP('Data Source 1_customer readings'!A663,'Data Source 1_customer readings'!A663:A3061,'Data Source 1_customer readings'!J663:J3061)</f>
        <v>0</v>
      </c>
    </row>
    <row r="664" spans="1:8" x14ac:dyDescent="0.2">
      <c r="A664" s="2" t="s">
        <v>71</v>
      </c>
      <c r="B664" s="2">
        <v>21</v>
      </c>
      <c r="C664" s="2">
        <v>6</v>
      </c>
      <c r="D664" s="2">
        <v>2021</v>
      </c>
      <c r="E664" s="2">
        <v>50.1</v>
      </c>
      <c r="F664" s="2">
        <v>111.6</v>
      </c>
      <c r="H664" s="1">
        <f>_xlfn.XLOOKUP('Data Source 1_customer readings'!A664,'Data Source 1_customer readings'!A664:A3062,'Data Source 1_customer readings'!J664:J3062)</f>
        <v>0</v>
      </c>
    </row>
    <row r="665" spans="1:8" x14ac:dyDescent="0.2">
      <c r="A665" s="2" t="s">
        <v>68</v>
      </c>
      <c r="B665" s="2">
        <v>11</v>
      </c>
      <c r="C665" s="2">
        <v>6</v>
      </c>
      <c r="D665" s="2">
        <v>2021</v>
      </c>
      <c r="E665" s="2">
        <v>50.1</v>
      </c>
      <c r="F665" s="2">
        <v>99.9</v>
      </c>
      <c r="H665" s="1">
        <f>_xlfn.XLOOKUP('Data Source 1_customer readings'!A665,'Data Source 1_customer readings'!A665:A3063,'Data Source 1_customer readings'!J665:J3063)</f>
        <v>0</v>
      </c>
    </row>
    <row r="666" spans="1:8" x14ac:dyDescent="0.2">
      <c r="A666" s="2" t="s">
        <v>71</v>
      </c>
      <c r="B666" s="2">
        <v>21</v>
      </c>
      <c r="C666" s="2">
        <v>9</v>
      </c>
      <c r="D666" s="2">
        <v>2021</v>
      </c>
      <c r="E666" s="2">
        <v>49.8</v>
      </c>
      <c r="F666" s="2">
        <v>114.9</v>
      </c>
      <c r="H666" s="1" t="b">
        <f>_xlfn.XLOOKUP('Data Source 1_customer readings'!A666,'Data Source 1_customer readings'!A666:A3064,'Data Source 1_customer readings'!J666:J3064)</f>
        <v>0</v>
      </c>
    </row>
    <row r="667" spans="1:8" x14ac:dyDescent="0.2">
      <c r="A667" s="2" t="s">
        <v>86</v>
      </c>
      <c r="B667" s="2">
        <v>6</v>
      </c>
      <c r="C667" s="2">
        <v>6</v>
      </c>
      <c r="D667" s="2">
        <v>2021</v>
      </c>
      <c r="E667" s="2">
        <v>49.8</v>
      </c>
      <c r="F667" s="2">
        <v>90</v>
      </c>
      <c r="H667" s="1">
        <f>_xlfn.XLOOKUP('Data Source 1_customer readings'!A667,'Data Source 1_customer readings'!A667:A3065,'Data Source 1_customer readings'!J667:J3065)</f>
        <v>0</v>
      </c>
    </row>
    <row r="668" spans="1:8" x14ac:dyDescent="0.2">
      <c r="A668" s="2" t="s">
        <v>86</v>
      </c>
      <c r="B668" s="2">
        <v>6</v>
      </c>
      <c r="C668" s="2">
        <v>7</v>
      </c>
      <c r="D668" s="2">
        <v>2021</v>
      </c>
      <c r="E668" s="2">
        <v>49.6</v>
      </c>
      <c r="F668" s="2">
        <v>115.63</v>
      </c>
      <c r="H668" s="1">
        <f>_xlfn.XLOOKUP('Data Source 1_customer readings'!A668,'Data Source 1_customer readings'!A668:A3066,'Data Source 1_customer readings'!J668:J3066)</f>
        <v>0</v>
      </c>
    </row>
    <row r="669" spans="1:8" x14ac:dyDescent="0.2">
      <c r="A669" s="2" t="s">
        <v>72</v>
      </c>
      <c r="B669" s="2">
        <v>22</v>
      </c>
      <c r="C669" s="2">
        <v>7</v>
      </c>
      <c r="D669" s="2">
        <v>2021</v>
      </c>
      <c r="E669" s="2">
        <v>49.6</v>
      </c>
      <c r="F669" s="2">
        <v>115.63</v>
      </c>
      <c r="H669" s="1">
        <f>_xlfn.XLOOKUP('Data Source 1_customer readings'!A669,'Data Source 1_customer readings'!A669:A3067,'Data Source 1_customer readings'!J669:J3067)</f>
        <v>0</v>
      </c>
    </row>
    <row r="670" spans="1:8" x14ac:dyDescent="0.2">
      <c r="A670" s="2" t="s">
        <v>62</v>
      </c>
      <c r="B670" s="2">
        <v>1</v>
      </c>
      <c r="C670" s="2">
        <v>7</v>
      </c>
      <c r="D670" s="2">
        <v>2021</v>
      </c>
      <c r="E670" s="2">
        <v>49.6</v>
      </c>
      <c r="F670" s="2">
        <v>69.75</v>
      </c>
      <c r="H670" s="1" t="b">
        <f>_xlfn.XLOOKUP('Data Source 1_customer readings'!A670,'Data Source 1_customer readings'!A670:A3068,'Data Source 1_customer readings'!J670:J3068)</f>
        <v>0</v>
      </c>
    </row>
    <row r="671" spans="1:8" x14ac:dyDescent="0.2">
      <c r="A671" s="2" t="s">
        <v>76</v>
      </c>
      <c r="B671" s="2">
        <v>9</v>
      </c>
      <c r="C671" s="2">
        <v>6</v>
      </c>
      <c r="D671" s="2">
        <v>2021</v>
      </c>
      <c r="E671" s="2">
        <v>49.5</v>
      </c>
      <c r="F671" s="2">
        <v>92.4</v>
      </c>
      <c r="H671" s="1" t="b">
        <f>_xlfn.XLOOKUP('Data Source 1_customer readings'!A671,'Data Source 1_customer readings'!A671:A3069,'Data Source 1_customer readings'!J671:J3069)</f>
        <v>0</v>
      </c>
    </row>
    <row r="672" spans="1:8" x14ac:dyDescent="0.2">
      <c r="A672" s="2" t="s">
        <v>78</v>
      </c>
      <c r="B672" s="2">
        <v>18</v>
      </c>
      <c r="C672" s="2">
        <v>5</v>
      </c>
      <c r="D672" s="2">
        <v>2021</v>
      </c>
      <c r="E672" s="2">
        <v>49.29</v>
      </c>
      <c r="F672" s="2">
        <v>105.4</v>
      </c>
      <c r="H672" s="1">
        <f>_xlfn.XLOOKUP('Data Source 1_customer readings'!A672,'Data Source 1_customer readings'!A672:A3070,'Data Source 1_customer readings'!J672:J3070)</f>
        <v>0</v>
      </c>
    </row>
    <row r="673" spans="1:8" x14ac:dyDescent="0.2">
      <c r="A673" s="2" t="s">
        <v>72</v>
      </c>
      <c r="B673" s="2">
        <v>22</v>
      </c>
      <c r="C673" s="2">
        <v>6</v>
      </c>
      <c r="D673" s="2">
        <v>2021</v>
      </c>
      <c r="E673" s="2">
        <v>49.2</v>
      </c>
      <c r="F673" s="2">
        <v>117.3</v>
      </c>
      <c r="H673" s="1">
        <f>_xlfn.XLOOKUP('Data Source 1_customer readings'!A673,'Data Source 1_customer readings'!A673:A3071,'Data Source 1_customer readings'!J673:J3071)</f>
        <v>0</v>
      </c>
    </row>
    <row r="674" spans="1:8" x14ac:dyDescent="0.2">
      <c r="A674" s="2" t="s">
        <v>60</v>
      </c>
      <c r="B674" s="2">
        <v>20</v>
      </c>
      <c r="C674" s="2">
        <v>8</v>
      </c>
      <c r="D674" s="2">
        <v>2021</v>
      </c>
      <c r="E674" s="2">
        <v>48.98</v>
      </c>
      <c r="F674" s="2">
        <v>98.27</v>
      </c>
      <c r="H674" s="1">
        <f>_xlfn.XLOOKUP('Data Source 1_customer readings'!A674,'Data Source 1_customer readings'!A674:A3072,'Data Source 1_customer readings'!J674:J3072)</f>
        <v>0</v>
      </c>
    </row>
    <row r="675" spans="1:8" x14ac:dyDescent="0.2">
      <c r="A675" s="2" t="s">
        <v>66</v>
      </c>
      <c r="B675" s="2">
        <v>23</v>
      </c>
      <c r="C675" s="2">
        <v>5</v>
      </c>
      <c r="D675" s="2">
        <v>2021</v>
      </c>
      <c r="E675" s="2">
        <v>48.98</v>
      </c>
      <c r="F675" s="2">
        <v>77.5</v>
      </c>
      <c r="H675" s="1">
        <f>_xlfn.XLOOKUP('Data Source 1_customer readings'!A675,'Data Source 1_customer readings'!A675:A3073,'Data Source 1_customer readings'!J675:J3073)</f>
        <v>0</v>
      </c>
    </row>
    <row r="676" spans="1:8" x14ac:dyDescent="0.2">
      <c r="A676" s="2" t="s">
        <v>61</v>
      </c>
      <c r="B676" s="2">
        <v>23</v>
      </c>
      <c r="C676" s="2">
        <v>9</v>
      </c>
      <c r="D676" s="2">
        <v>2021</v>
      </c>
      <c r="E676" s="2">
        <v>48.9</v>
      </c>
      <c r="F676" s="2">
        <v>105.6</v>
      </c>
      <c r="H676" s="1">
        <f>_xlfn.XLOOKUP('Data Source 1_customer readings'!A676,'Data Source 1_customer readings'!A676:A3074,'Data Source 1_customer readings'!J676:J3074)</f>
        <v>0</v>
      </c>
    </row>
    <row r="677" spans="1:8" x14ac:dyDescent="0.2">
      <c r="A677" s="2" t="s">
        <v>60</v>
      </c>
      <c r="B677" s="2">
        <v>20</v>
      </c>
      <c r="C677" s="2">
        <v>6</v>
      </c>
      <c r="D677" s="2">
        <v>2021</v>
      </c>
      <c r="E677" s="2">
        <v>48.9</v>
      </c>
      <c r="F677" s="2">
        <v>93</v>
      </c>
      <c r="H677" s="1">
        <f>_xlfn.XLOOKUP('Data Source 1_customer readings'!A677,'Data Source 1_customer readings'!A677:A3075,'Data Source 1_customer readings'!J677:J3075)</f>
        <v>0</v>
      </c>
    </row>
    <row r="678" spans="1:8" x14ac:dyDescent="0.2">
      <c r="A678" s="2" t="s">
        <v>71</v>
      </c>
      <c r="B678" s="2">
        <v>21</v>
      </c>
      <c r="C678" s="2">
        <v>7</v>
      </c>
      <c r="D678" s="2">
        <v>2021</v>
      </c>
      <c r="E678" s="2">
        <v>48.67</v>
      </c>
      <c r="F678" s="2">
        <v>119.04</v>
      </c>
      <c r="H678" s="1">
        <f>_xlfn.XLOOKUP('Data Source 1_customer readings'!A678,'Data Source 1_customer readings'!A678:A3076,'Data Source 1_customer readings'!J678:J3076)</f>
        <v>0</v>
      </c>
    </row>
    <row r="679" spans="1:8" x14ac:dyDescent="0.2">
      <c r="A679" s="2" t="s">
        <v>70</v>
      </c>
      <c r="B679" s="2">
        <v>16</v>
      </c>
      <c r="C679" s="2">
        <v>9</v>
      </c>
      <c r="D679" s="2">
        <v>2021</v>
      </c>
      <c r="E679" s="2">
        <v>48.6</v>
      </c>
      <c r="F679" s="2">
        <v>94.2</v>
      </c>
      <c r="H679" s="1">
        <f>_xlfn.XLOOKUP('Data Source 1_customer readings'!A679,'Data Source 1_customer readings'!A679:A3077,'Data Source 1_customer readings'!J679:J3077)</f>
        <v>0</v>
      </c>
    </row>
    <row r="680" spans="1:8" x14ac:dyDescent="0.2">
      <c r="A680" s="2" t="s">
        <v>75</v>
      </c>
      <c r="B680" s="2">
        <v>2</v>
      </c>
      <c r="C680" s="2">
        <v>9</v>
      </c>
      <c r="D680" s="2">
        <v>2021</v>
      </c>
      <c r="E680" s="2">
        <v>48.3</v>
      </c>
      <c r="F680" s="2">
        <v>80.099999999999994</v>
      </c>
      <c r="H680" s="1">
        <f>_xlfn.XLOOKUP('Data Source 1_customer readings'!A680,'Data Source 1_customer readings'!A680:A3078,'Data Source 1_customer readings'!J680:J3078)</f>
        <v>0</v>
      </c>
    </row>
    <row r="681" spans="1:8" x14ac:dyDescent="0.2">
      <c r="A681" s="2" t="s">
        <v>59</v>
      </c>
      <c r="B681" s="2">
        <v>11</v>
      </c>
      <c r="C681" s="2">
        <v>7</v>
      </c>
      <c r="D681" s="2">
        <v>2021</v>
      </c>
      <c r="E681" s="2">
        <v>47.74</v>
      </c>
      <c r="F681" s="2">
        <v>101.37</v>
      </c>
      <c r="H681" s="1">
        <f>_xlfn.XLOOKUP('Data Source 1_customer readings'!A681,'Data Source 1_customer readings'!A681:A3079,'Data Source 1_customer readings'!J681:J3079)</f>
        <v>0</v>
      </c>
    </row>
    <row r="682" spans="1:8" x14ac:dyDescent="0.2">
      <c r="A682" s="2" t="s">
        <v>67</v>
      </c>
      <c r="B682" s="2">
        <v>13</v>
      </c>
      <c r="C682" s="2">
        <v>5</v>
      </c>
      <c r="D682" s="2">
        <v>2021</v>
      </c>
      <c r="E682" s="2">
        <v>47.74</v>
      </c>
      <c r="F682" s="2">
        <v>97.34</v>
      </c>
      <c r="H682" s="1">
        <f>_xlfn.XLOOKUP('Data Source 1_customer readings'!A682,'Data Source 1_customer readings'!A682:A3080,'Data Source 1_customer readings'!J682:J3080)</f>
        <v>0</v>
      </c>
    </row>
    <row r="683" spans="1:8" x14ac:dyDescent="0.2">
      <c r="A683" s="2" t="s">
        <v>61</v>
      </c>
      <c r="B683" s="2">
        <v>23</v>
      </c>
      <c r="C683" s="2">
        <v>8</v>
      </c>
      <c r="D683" s="2">
        <v>2021</v>
      </c>
      <c r="E683" s="2">
        <v>47.43</v>
      </c>
      <c r="F683" s="2">
        <v>109.43</v>
      </c>
      <c r="H683" s="1">
        <f>_xlfn.XLOOKUP('Data Source 1_customer readings'!A683,'Data Source 1_customer readings'!A683:A3081,'Data Source 1_customer readings'!J683:J3081)</f>
        <v>0</v>
      </c>
    </row>
    <row r="684" spans="1:8" x14ac:dyDescent="0.2">
      <c r="A684" s="2" t="s">
        <v>52</v>
      </c>
      <c r="B684" s="2">
        <v>1</v>
      </c>
      <c r="C684" s="2">
        <v>5</v>
      </c>
      <c r="D684" s="2">
        <v>2021</v>
      </c>
      <c r="E684" s="2">
        <v>47.43</v>
      </c>
      <c r="F684" s="2">
        <v>101.37</v>
      </c>
      <c r="H684" s="1">
        <f>_xlfn.XLOOKUP('Data Source 1_customer readings'!A684,'Data Source 1_customer readings'!A684:A3082,'Data Source 1_customer readings'!J684:J3082)</f>
        <v>0</v>
      </c>
    </row>
    <row r="685" spans="1:8" x14ac:dyDescent="0.2">
      <c r="A685" s="2" t="s">
        <v>76</v>
      </c>
      <c r="B685" s="2">
        <v>9</v>
      </c>
      <c r="C685" s="2">
        <v>8</v>
      </c>
      <c r="D685" s="2">
        <v>2021</v>
      </c>
      <c r="E685" s="2">
        <v>47.43</v>
      </c>
      <c r="F685" s="2">
        <v>98.27</v>
      </c>
      <c r="H685" s="1">
        <f>_xlfn.XLOOKUP('Data Source 1_customer readings'!A685,'Data Source 1_customer readings'!A685:A3083,'Data Source 1_customer readings'!J685:J3083)</f>
        <v>0</v>
      </c>
    </row>
    <row r="686" spans="1:8" x14ac:dyDescent="0.2">
      <c r="A686" s="2" t="s">
        <v>65</v>
      </c>
      <c r="B686" s="2">
        <v>11</v>
      </c>
      <c r="C686" s="2">
        <v>7</v>
      </c>
      <c r="D686" s="2">
        <v>2021</v>
      </c>
      <c r="E686" s="2">
        <v>47.43</v>
      </c>
      <c r="F686" s="2">
        <v>91.45</v>
      </c>
      <c r="H686" s="1">
        <f>_xlfn.XLOOKUP('Data Source 1_customer readings'!A686,'Data Source 1_customer readings'!A686:A3084,'Data Source 1_customer readings'!J686:J3084)</f>
        <v>0</v>
      </c>
    </row>
    <row r="687" spans="1:8" x14ac:dyDescent="0.2">
      <c r="A687" s="2" t="s">
        <v>69</v>
      </c>
      <c r="B687" s="2">
        <v>12</v>
      </c>
      <c r="C687" s="2">
        <v>5</v>
      </c>
      <c r="D687" s="2">
        <v>2021</v>
      </c>
      <c r="E687" s="2">
        <v>47.12</v>
      </c>
      <c r="F687" s="2">
        <v>90.52</v>
      </c>
      <c r="H687" s="1">
        <f>_xlfn.XLOOKUP('Data Source 1_customer readings'!A687,'Data Source 1_customer readings'!A687:A3085,'Data Source 1_customer readings'!J687:J3085)</f>
        <v>0</v>
      </c>
    </row>
    <row r="688" spans="1:8" x14ac:dyDescent="0.2">
      <c r="A688" s="2" t="s">
        <v>73</v>
      </c>
      <c r="B688" s="2">
        <v>5</v>
      </c>
      <c r="C688" s="2">
        <v>7</v>
      </c>
      <c r="D688" s="2">
        <v>2021</v>
      </c>
      <c r="E688" s="2">
        <v>47.12</v>
      </c>
      <c r="F688" s="2">
        <v>82.46</v>
      </c>
      <c r="H688" s="1">
        <f>_xlfn.XLOOKUP('Data Source 1_customer readings'!A688,'Data Source 1_customer readings'!A688:A3086,'Data Source 1_customer readings'!J688:J3086)</f>
        <v>0</v>
      </c>
    </row>
    <row r="689" spans="1:8" x14ac:dyDescent="0.2">
      <c r="A689" s="2" t="s">
        <v>75</v>
      </c>
      <c r="B689" s="2">
        <v>2</v>
      </c>
      <c r="C689" s="2">
        <v>5</v>
      </c>
      <c r="D689" s="2">
        <v>2021</v>
      </c>
      <c r="E689" s="2">
        <v>47.12</v>
      </c>
      <c r="F689" s="2">
        <v>81.53</v>
      </c>
      <c r="H689" s="1">
        <f>_xlfn.XLOOKUP('Data Source 1_customer readings'!A689,'Data Source 1_customer readings'!A689:A3087,'Data Source 1_customer readings'!J689:J3087)</f>
        <v>0</v>
      </c>
    </row>
    <row r="690" spans="1:8" x14ac:dyDescent="0.2">
      <c r="A690" s="2" t="s">
        <v>43</v>
      </c>
      <c r="B690" s="2">
        <v>15</v>
      </c>
      <c r="C690" s="2">
        <v>9</v>
      </c>
      <c r="D690" s="2">
        <v>2021</v>
      </c>
      <c r="E690" s="2">
        <v>47.1</v>
      </c>
      <c r="F690" s="2">
        <v>90.9</v>
      </c>
      <c r="H690" s="1" t="b">
        <f>_xlfn.XLOOKUP('Data Source 1_customer readings'!A690,'Data Source 1_customer readings'!A690:A3088,'Data Source 1_customer readings'!J690:J3088)</f>
        <v>0</v>
      </c>
    </row>
    <row r="691" spans="1:8" x14ac:dyDescent="0.2">
      <c r="A691" s="2" t="s">
        <v>73</v>
      </c>
      <c r="B691" s="2">
        <v>5</v>
      </c>
      <c r="C691" s="2">
        <v>9</v>
      </c>
      <c r="D691" s="2">
        <v>2021</v>
      </c>
      <c r="E691" s="2">
        <v>47.1</v>
      </c>
      <c r="F691" s="2">
        <v>88.8</v>
      </c>
      <c r="H691" s="1">
        <f>_xlfn.XLOOKUP('Data Source 1_customer readings'!A691,'Data Source 1_customer readings'!A691:A3089,'Data Source 1_customer readings'!J691:J3089)</f>
        <v>0</v>
      </c>
    </row>
    <row r="692" spans="1:8" x14ac:dyDescent="0.2">
      <c r="A692" s="2" t="s">
        <v>71</v>
      </c>
      <c r="B692" s="2">
        <v>21</v>
      </c>
      <c r="C692" s="2">
        <v>5</v>
      </c>
      <c r="D692" s="2">
        <v>2021</v>
      </c>
      <c r="E692" s="2">
        <v>46.81</v>
      </c>
      <c r="F692" s="2">
        <v>116.56</v>
      </c>
      <c r="H692" s="1">
        <f>_xlfn.XLOOKUP('Data Source 1_customer readings'!A692,'Data Source 1_customer readings'!A692:A3090,'Data Source 1_customer readings'!J692:J3090)</f>
        <v>0</v>
      </c>
    </row>
    <row r="693" spans="1:8" x14ac:dyDescent="0.2">
      <c r="A693" s="2" t="s">
        <v>56</v>
      </c>
      <c r="B693" s="2">
        <v>14</v>
      </c>
      <c r="C693" s="2">
        <v>6</v>
      </c>
      <c r="D693" s="2">
        <v>2021</v>
      </c>
      <c r="E693" s="2">
        <v>46.8</v>
      </c>
      <c r="F693" s="2">
        <v>94.8</v>
      </c>
      <c r="H693" s="1">
        <f>_xlfn.XLOOKUP('Data Source 1_customer readings'!A693,'Data Source 1_customer readings'!A693:A3091,'Data Source 1_customer readings'!J693:J3091)</f>
        <v>0</v>
      </c>
    </row>
    <row r="694" spans="1:8" x14ac:dyDescent="0.2">
      <c r="A694" s="2" t="s">
        <v>84</v>
      </c>
      <c r="B694" s="2">
        <v>20</v>
      </c>
      <c r="C694" s="2">
        <v>6</v>
      </c>
      <c r="D694" s="2">
        <v>2021</v>
      </c>
      <c r="E694" s="2">
        <v>46.8</v>
      </c>
      <c r="F694" s="2">
        <v>90.6</v>
      </c>
      <c r="H694" s="1">
        <f>_xlfn.XLOOKUP('Data Source 1_customer readings'!A694,'Data Source 1_customer readings'!A694:A3092,'Data Source 1_customer readings'!J694:J3092)</f>
        <v>0</v>
      </c>
    </row>
    <row r="695" spans="1:8" x14ac:dyDescent="0.2">
      <c r="A695" s="2" t="s">
        <v>48</v>
      </c>
      <c r="B695" s="2">
        <v>24</v>
      </c>
      <c r="C695" s="2">
        <v>9</v>
      </c>
      <c r="D695" s="2">
        <v>2021</v>
      </c>
      <c r="E695" s="2">
        <v>46.8</v>
      </c>
      <c r="F695" s="2">
        <v>77.7</v>
      </c>
      <c r="H695" s="1">
        <f>_xlfn.XLOOKUP('Data Source 1_customer readings'!A695,'Data Source 1_customer readings'!A695:A3093,'Data Source 1_customer readings'!J695:J3093)</f>
        <v>0</v>
      </c>
    </row>
    <row r="696" spans="1:8" x14ac:dyDescent="0.2">
      <c r="A696" s="2" t="s">
        <v>82</v>
      </c>
      <c r="B696" s="2">
        <v>8</v>
      </c>
      <c r="C696" s="2">
        <v>7</v>
      </c>
      <c r="D696" s="2">
        <v>2021</v>
      </c>
      <c r="E696" s="2">
        <v>46.5</v>
      </c>
      <c r="F696" s="2">
        <v>73.47</v>
      </c>
      <c r="H696" s="1">
        <f>_xlfn.XLOOKUP('Data Source 1_customer readings'!A696,'Data Source 1_customer readings'!A696:A3094,'Data Source 1_customer readings'!J696:J3094)</f>
        <v>0</v>
      </c>
    </row>
    <row r="697" spans="1:8" x14ac:dyDescent="0.2">
      <c r="A697" s="2" t="s">
        <v>70</v>
      </c>
      <c r="B697" s="2">
        <v>16</v>
      </c>
      <c r="C697" s="2">
        <v>8</v>
      </c>
      <c r="D697" s="2">
        <v>2021</v>
      </c>
      <c r="E697" s="2">
        <v>45.88</v>
      </c>
      <c r="F697" s="2">
        <v>100.44</v>
      </c>
      <c r="H697" s="1">
        <f>_xlfn.XLOOKUP('Data Source 1_customer readings'!A697,'Data Source 1_customer readings'!A697:A3095,'Data Source 1_customer readings'!J697:J3095)</f>
        <v>0</v>
      </c>
    </row>
    <row r="698" spans="1:8" x14ac:dyDescent="0.2">
      <c r="A698" s="2" t="s">
        <v>73</v>
      </c>
      <c r="B698" s="2">
        <v>5</v>
      </c>
      <c r="C698" s="2">
        <v>5</v>
      </c>
      <c r="D698" s="2">
        <v>2021</v>
      </c>
      <c r="E698" s="2">
        <v>45.88</v>
      </c>
      <c r="F698" s="2">
        <v>96.72</v>
      </c>
      <c r="H698" s="1" t="b">
        <f>_xlfn.XLOOKUP('Data Source 1_customer readings'!A698,'Data Source 1_customer readings'!A698:A3096,'Data Source 1_customer readings'!J698:J3096)</f>
        <v>0</v>
      </c>
    </row>
    <row r="699" spans="1:8" x14ac:dyDescent="0.2">
      <c r="A699" s="2" t="s">
        <v>69</v>
      </c>
      <c r="B699" s="2">
        <v>12</v>
      </c>
      <c r="C699" s="2">
        <v>6</v>
      </c>
      <c r="D699" s="2">
        <v>2021</v>
      </c>
      <c r="E699" s="2">
        <v>45.6</v>
      </c>
      <c r="F699" s="2">
        <v>103.5</v>
      </c>
      <c r="H699" s="1">
        <f>_xlfn.XLOOKUP('Data Source 1_customer readings'!A699,'Data Source 1_customer readings'!A699:A3097,'Data Source 1_customer readings'!J699:J3097)</f>
        <v>0</v>
      </c>
    </row>
    <row r="700" spans="1:8" x14ac:dyDescent="0.2">
      <c r="A700" s="2" t="s">
        <v>66</v>
      </c>
      <c r="B700" s="2">
        <v>23</v>
      </c>
      <c r="C700" s="2">
        <v>6</v>
      </c>
      <c r="D700" s="2">
        <v>2021</v>
      </c>
      <c r="E700" s="2">
        <v>45.6</v>
      </c>
      <c r="F700" s="2">
        <v>84.6</v>
      </c>
      <c r="H700" s="1" t="b">
        <f>_xlfn.XLOOKUP('Data Source 1_customer readings'!A700,'Data Source 1_customer readings'!A700:A3098,'Data Source 1_customer readings'!J700:J3098)</f>
        <v>0</v>
      </c>
    </row>
    <row r="701" spans="1:8" x14ac:dyDescent="0.2">
      <c r="A701" s="2" t="s">
        <v>82</v>
      </c>
      <c r="B701" s="2">
        <v>8</v>
      </c>
      <c r="C701" s="2">
        <v>6</v>
      </c>
      <c r="D701" s="2">
        <v>2021</v>
      </c>
      <c r="E701" s="2">
        <v>45.6</v>
      </c>
      <c r="F701" s="2">
        <v>64.2</v>
      </c>
      <c r="H701" s="1">
        <f>_xlfn.XLOOKUP('Data Source 1_customer readings'!A701,'Data Source 1_customer readings'!A701:A3099,'Data Source 1_customer readings'!J701:J3099)</f>
        <v>0</v>
      </c>
    </row>
    <row r="702" spans="1:8" x14ac:dyDescent="0.2">
      <c r="A702" s="2" t="s">
        <v>74</v>
      </c>
      <c r="B702" s="2">
        <v>5</v>
      </c>
      <c r="C702" s="2">
        <v>7</v>
      </c>
      <c r="D702" s="2">
        <v>2021</v>
      </c>
      <c r="E702" s="2">
        <v>45.57</v>
      </c>
      <c r="F702" s="2">
        <v>102.61</v>
      </c>
      <c r="H702" s="1">
        <f>_xlfn.XLOOKUP('Data Source 1_customer readings'!A702,'Data Source 1_customer readings'!A702:A3100,'Data Source 1_customer readings'!J702:J3100)</f>
        <v>0</v>
      </c>
    </row>
    <row r="703" spans="1:8" x14ac:dyDescent="0.2">
      <c r="A703" s="2" t="s">
        <v>70</v>
      </c>
      <c r="B703" s="2">
        <v>16</v>
      </c>
      <c r="C703" s="2">
        <v>7</v>
      </c>
      <c r="D703" s="2">
        <v>2021</v>
      </c>
      <c r="E703" s="2">
        <v>45.26</v>
      </c>
      <c r="F703" s="2">
        <v>88.04</v>
      </c>
      <c r="H703" s="1">
        <f>_xlfn.XLOOKUP('Data Source 1_customer readings'!A703,'Data Source 1_customer readings'!A703:A3101,'Data Source 1_customer readings'!J703:J3101)</f>
        <v>0</v>
      </c>
    </row>
    <row r="704" spans="1:8" x14ac:dyDescent="0.2">
      <c r="A704" s="2" t="s">
        <v>82</v>
      </c>
      <c r="B704" s="2">
        <v>8</v>
      </c>
      <c r="C704" s="2">
        <v>8</v>
      </c>
      <c r="D704" s="2">
        <v>2021</v>
      </c>
      <c r="E704" s="2">
        <v>45.26</v>
      </c>
      <c r="F704" s="2">
        <v>76.88</v>
      </c>
      <c r="H704" s="1">
        <f>_xlfn.XLOOKUP('Data Source 1_customer readings'!A704,'Data Source 1_customer readings'!A704:A3102,'Data Source 1_customer readings'!J704:J3102)</f>
        <v>0</v>
      </c>
    </row>
    <row r="705" spans="1:8" x14ac:dyDescent="0.2">
      <c r="A705" s="2" t="s">
        <v>59</v>
      </c>
      <c r="B705" s="2">
        <v>11</v>
      </c>
      <c r="C705" s="2">
        <v>9</v>
      </c>
      <c r="D705" s="2">
        <v>2021</v>
      </c>
      <c r="E705" s="2">
        <v>45</v>
      </c>
      <c r="F705" s="2">
        <v>81</v>
      </c>
      <c r="H705" s="1">
        <f>_xlfn.XLOOKUP('Data Source 1_customer readings'!A705,'Data Source 1_customer readings'!A705:A3103,'Data Source 1_customer readings'!J705:J3103)</f>
        <v>0</v>
      </c>
    </row>
    <row r="706" spans="1:8" x14ac:dyDescent="0.2">
      <c r="A706" s="2" t="s">
        <v>43</v>
      </c>
      <c r="B706" s="2">
        <v>15</v>
      </c>
      <c r="C706" s="2">
        <v>5</v>
      </c>
      <c r="D706" s="2">
        <v>2021</v>
      </c>
      <c r="E706" s="2">
        <v>44.95</v>
      </c>
      <c r="F706" s="2">
        <v>103.54</v>
      </c>
      <c r="H706" s="1">
        <f>_xlfn.XLOOKUP('Data Source 1_customer readings'!A706,'Data Source 1_customer readings'!A706:A3104,'Data Source 1_customer readings'!J706:J3104)</f>
        <v>0</v>
      </c>
    </row>
    <row r="707" spans="1:8" x14ac:dyDescent="0.2">
      <c r="A707" s="2" t="s">
        <v>56</v>
      </c>
      <c r="B707" s="2">
        <v>14</v>
      </c>
      <c r="C707" s="2">
        <v>5</v>
      </c>
      <c r="D707" s="2">
        <v>2021</v>
      </c>
      <c r="E707" s="2">
        <v>44.95</v>
      </c>
      <c r="F707" s="2">
        <v>86.18</v>
      </c>
      <c r="H707" s="1">
        <f>_xlfn.XLOOKUP('Data Source 1_customer readings'!A707,'Data Source 1_customer readings'!A707:A3105,'Data Source 1_customer readings'!J707:J3105)</f>
        <v>0</v>
      </c>
    </row>
    <row r="708" spans="1:8" x14ac:dyDescent="0.2">
      <c r="A708" s="2" t="s">
        <v>66</v>
      </c>
      <c r="B708" s="2">
        <v>23</v>
      </c>
      <c r="C708" s="2">
        <v>7</v>
      </c>
      <c r="D708" s="2">
        <v>2021</v>
      </c>
      <c r="E708" s="2">
        <v>44.64</v>
      </c>
      <c r="F708" s="2">
        <v>91.14</v>
      </c>
      <c r="H708" s="1">
        <f>_xlfn.XLOOKUP('Data Source 1_customer readings'!A708,'Data Source 1_customer readings'!A708:A3106,'Data Source 1_customer readings'!J708:J3106)</f>
        <v>0</v>
      </c>
    </row>
    <row r="709" spans="1:8" x14ac:dyDescent="0.2">
      <c r="A709" s="2" t="s">
        <v>76</v>
      </c>
      <c r="B709" s="2">
        <v>9</v>
      </c>
      <c r="C709" s="2">
        <v>7</v>
      </c>
      <c r="D709" s="2">
        <v>2021</v>
      </c>
      <c r="E709" s="2">
        <v>44.64</v>
      </c>
      <c r="F709" s="2">
        <v>90.83</v>
      </c>
      <c r="H709" s="1">
        <f>_xlfn.XLOOKUP('Data Source 1_customer readings'!A709,'Data Source 1_customer readings'!A709:A3107,'Data Source 1_customer readings'!J709:J3107)</f>
        <v>0</v>
      </c>
    </row>
    <row r="710" spans="1:8" x14ac:dyDescent="0.2">
      <c r="A710" s="2" t="s">
        <v>69</v>
      </c>
      <c r="B710" s="2">
        <v>12</v>
      </c>
      <c r="C710" s="2">
        <v>9</v>
      </c>
      <c r="D710" s="2">
        <v>2021</v>
      </c>
      <c r="E710" s="2">
        <v>44.4</v>
      </c>
      <c r="F710" s="2">
        <v>83.4</v>
      </c>
      <c r="H710" s="1">
        <f>_xlfn.XLOOKUP('Data Source 1_customer readings'!A710,'Data Source 1_customer readings'!A710:A3108,'Data Source 1_customer readings'!J710:J3108)</f>
        <v>0</v>
      </c>
    </row>
    <row r="711" spans="1:8" x14ac:dyDescent="0.2">
      <c r="A711" s="2" t="s">
        <v>77</v>
      </c>
      <c r="B711" s="2">
        <v>16</v>
      </c>
      <c r="C711" s="2">
        <v>6</v>
      </c>
      <c r="D711" s="2">
        <v>2021</v>
      </c>
      <c r="E711" s="2">
        <v>44.1</v>
      </c>
      <c r="F711" s="2">
        <v>105</v>
      </c>
      <c r="H711" s="1">
        <f>_xlfn.XLOOKUP('Data Source 1_customer readings'!A711,'Data Source 1_customer readings'!A711:A3109,'Data Source 1_customer readings'!J711:J3109)</f>
        <v>0</v>
      </c>
    </row>
    <row r="712" spans="1:8" x14ac:dyDescent="0.2">
      <c r="A712" s="2" t="s">
        <v>70</v>
      </c>
      <c r="B712" s="2">
        <v>16</v>
      </c>
      <c r="C712" s="2">
        <v>6</v>
      </c>
      <c r="D712" s="2">
        <v>2021</v>
      </c>
      <c r="E712" s="2">
        <v>44.1</v>
      </c>
      <c r="F712" s="2">
        <v>99.3</v>
      </c>
      <c r="H712" s="1" t="b">
        <f>_xlfn.XLOOKUP('Data Source 1_customer readings'!A712,'Data Source 1_customer readings'!A712:A3110,'Data Source 1_customer readings'!J712:J3110)</f>
        <v>0</v>
      </c>
    </row>
    <row r="713" spans="1:8" x14ac:dyDescent="0.2">
      <c r="A713" s="2" t="s">
        <v>61</v>
      </c>
      <c r="B713" s="2">
        <v>23</v>
      </c>
      <c r="C713" s="2">
        <v>7</v>
      </c>
      <c r="D713" s="2">
        <v>2021</v>
      </c>
      <c r="E713" s="2">
        <v>44.02</v>
      </c>
      <c r="F713" s="2">
        <v>98.58</v>
      </c>
      <c r="H713" s="1">
        <f>_xlfn.XLOOKUP('Data Source 1_customer readings'!A713,'Data Source 1_customer readings'!A713:A3111,'Data Source 1_customer readings'!J713:J3111)</f>
        <v>0</v>
      </c>
    </row>
    <row r="714" spans="1:8" x14ac:dyDescent="0.2">
      <c r="A714" s="2" t="s">
        <v>60</v>
      </c>
      <c r="B714" s="2">
        <v>20</v>
      </c>
      <c r="C714" s="2">
        <v>9</v>
      </c>
      <c r="D714" s="2">
        <v>2021</v>
      </c>
      <c r="E714" s="2">
        <v>43.8</v>
      </c>
      <c r="F714" s="2">
        <v>87.9</v>
      </c>
      <c r="H714" s="1">
        <f>_xlfn.XLOOKUP('Data Source 1_customer readings'!A714,'Data Source 1_customer readings'!A714:A3112,'Data Source 1_customer readings'!J714:J3112)</f>
        <v>0</v>
      </c>
    </row>
    <row r="715" spans="1:8" x14ac:dyDescent="0.2">
      <c r="A715" s="2" t="s">
        <v>64</v>
      </c>
      <c r="B715" s="2">
        <v>21</v>
      </c>
      <c r="C715" s="2">
        <v>6</v>
      </c>
      <c r="D715" s="2">
        <v>2021</v>
      </c>
      <c r="E715" s="2">
        <v>43.5</v>
      </c>
      <c r="F715" s="2">
        <v>95.1</v>
      </c>
      <c r="H715" s="1">
        <f>_xlfn.XLOOKUP('Data Source 1_customer readings'!A715,'Data Source 1_customer readings'!A715:A3113,'Data Source 1_customer readings'!J715:J3113)</f>
        <v>0</v>
      </c>
    </row>
    <row r="716" spans="1:8" x14ac:dyDescent="0.2">
      <c r="A716" s="2" t="s">
        <v>63</v>
      </c>
      <c r="B716" s="2">
        <v>25</v>
      </c>
      <c r="C716" s="2">
        <v>9</v>
      </c>
      <c r="D716" s="2">
        <v>2021</v>
      </c>
      <c r="E716" s="2">
        <v>43.5</v>
      </c>
      <c r="F716" s="2">
        <v>82.8</v>
      </c>
      <c r="H716" s="1">
        <f>_xlfn.XLOOKUP('Data Source 1_customer readings'!A716,'Data Source 1_customer readings'!A716:A3114,'Data Source 1_customer readings'!J716:J3114)</f>
        <v>0</v>
      </c>
    </row>
    <row r="717" spans="1:8" x14ac:dyDescent="0.2">
      <c r="A717" s="2" t="s">
        <v>74</v>
      </c>
      <c r="B717" s="2">
        <v>5</v>
      </c>
      <c r="C717" s="2">
        <v>5</v>
      </c>
      <c r="D717" s="2">
        <v>2021</v>
      </c>
      <c r="E717" s="2">
        <v>43.4</v>
      </c>
      <c r="F717" s="2">
        <v>94.55</v>
      </c>
      <c r="H717" s="1" t="b">
        <f>_xlfn.XLOOKUP('Data Source 1_customer readings'!A717,'Data Source 1_customer readings'!A717:A3115,'Data Source 1_customer readings'!J717:J3115)</f>
        <v>0</v>
      </c>
    </row>
    <row r="718" spans="1:8" x14ac:dyDescent="0.2">
      <c r="A718" s="2" t="s">
        <v>78</v>
      </c>
      <c r="B718" s="2">
        <v>18</v>
      </c>
      <c r="C718" s="2">
        <v>8</v>
      </c>
      <c r="D718" s="2">
        <v>2021</v>
      </c>
      <c r="E718" s="2">
        <v>43.4</v>
      </c>
      <c r="F718" s="2">
        <v>84.94</v>
      </c>
      <c r="H718" s="1">
        <f>_xlfn.XLOOKUP('Data Source 1_customer readings'!A718,'Data Source 1_customer readings'!A718:A3116,'Data Source 1_customer readings'!J718:J3116)</f>
        <v>0</v>
      </c>
    </row>
    <row r="719" spans="1:8" x14ac:dyDescent="0.2">
      <c r="A719" s="2" t="s">
        <v>67</v>
      </c>
      <c r="B719" s="2">
        <v>13</v>
      </c>
      <c r="C719" s="2">
        <v>6</v>
      </c>
      <c r="D719" s="2">
        <v>2021</v>
      </c>
      <c r="E719" s="2">
        <v>43.2</v>
      </c>
      <c r="F719" s="2">
        <v>95.1</v>
      </c>
      <c r="H719" s="1">
        <f>_xlfn.XLOOKUP('Data Source 1_customer readings'!A719,'Data Source 1_customer readings'!A719:A3117,'Data Source 1_customer readings'!J719:J3117)</f>
        <v>0</v>
      </c>
    </row>
    <row r="720" spans="1:8" x14ac:dyDescent="0.2">
      <c r="A720" s="2" t="s">
        <v>63</v>
      </c>
      <c r="B720" s="2">
        <v>25</v>
      </c>
      <c r="C720" s="2">
        <v>5</v>
      </c>
      <c r="D720" s="2">
        <v>2021</v>
      </c>
      <c r="E720" s="2">
        <v>43.09</v>
      </c>
      <c r="F720" s="2">
        <v>105.4</v>
      </c>
      <c r="H720" s="1">
        <f>_xlfn.XLOOKUP('Data Source 1_customer readings'!A720,'Data Source 1_customer readings'!A720:A3118,'Data Source 1_customer readings'!J720:J3118)</f>
        <v>0</v>
      </c>
    </row>
    <row r="721" spans="1:8" x14ac:dyDescent="0.2">
      <c r="A721" s="2" t="s">
        <v>61</v>
      </c>
      <c r="B721" s="2">
        <v>23</v>
      </c>
      <c r="C721" s="2">
        <v>5</v>
      </c>
      <c r="D721" s="2">
        <v>2021</v>
      </c>
      <c r="E721" s="2">
        <v>43.09</v>
      </c>
      <c r="F721" s="2">
        <v>97.03</v>
      </c>
      <c r="H721" s="1">
        <f>_xlfn.XLOOKUP('Data Source 1_customer readings'!A721,'Data Source 1_customer readings'!A721:A3119,'Data Source 1_customer readings'!J721:J3119)</f>
        <v>0</v>
      </c>
    </row>
    <row r="722" spans="1:8" x14ac:dyDescent="0.2">
      <c r="A722" s="2" t="s">
        <v>66</v>
      </c>
      <c r="B722" s="2">
        <v>23</v>
      </c>
      <c r="C722" s="2">
        <v>8</v>
      </c>
      <c r="D722" s="2">
        <v>2021</v>
      </c>
      <c r="E722" s="2">
        <v>43.09</v>
      </c>
      <c r="F722" s="2">
        <v>79.05</v>
      </c>
      <c r="H722" s="1">
        <f>_xlfn.XLOOKUP('Data Source 1_customer readings'!A722,'Data Source 1_customer readings'!A722:A3120,'Data Source 1_customer readings'!J722:J3120)</f>
        <v>0</v>
      </c>
    </row>
    <row r="723" spans="1:8" x14ac:dyDescent="0.2">
      <c r="A723" s="2" t="s">
        <v>53</v>
      </c>
      <c r="B723" s="2">
        <v>18</v>
      </c>
      <c r="C723" s="2">
        <v>5</v>
      </c>
      <c r="D723" s="2">
        <v>2021</v>
      </c>
      <c r="E723" s="2">
        <v>43.09</v>
      </c>
      <c r="F723" s="2">
        <v>70.06</v>
      </c>
      <c r="H723" s="1">
        <f>_xlfn.XLOOKUP('Data Source 1_customer readings'!A723,'Data Source 1_customer readings'!A723:A3121,'Data Source 1_customer readings'!J723:J3121)</f>
        <v>0</v>
      </c>
    </row>
    <row r="724" spans="1:8" x14ac:dyDescent="0.2">
      <c r="A724" s="2" t="s">
        <v>62</v>
      </c>
      <c r="B724" s="2">
        <v>1</v>
      </c>
      <c r="C724" s="2">
        <v>8</v>
      </c>
      <c r="D724" s="2">
        <v>2021</v>
      </c>
      <c r="E724" s="2">
        <v>42.78</v>
      </c>
      <c r="F724" s="2">
        <v>75.95</v>
      </c>
      <c r="H724" s="1">
        <f>_xlfn.XLOOKUP('Data Source 1_customer readings'!A724,'Data Source 1_customer readings'!A724:A3122,'Data Source 1_customer readings'!J724:J3122)</f>
        <v>0</v>
      </c>
    </row>
    <row r="725" spans="1:8" x14ac:dyDescent="0.2">
      <c r="A725" s="2" t="s">
        <v>41</v>
      </c>
      <c r="B725" s="2">
        <v>15</v>
      </c>
      <c r="C725" s="2">
        <v>9</v>
      </c>
      <c r="D725" s="2">
        <v>2021</v>
      </c>
      <c r="E725" s="2">
        <v>42.6</v>
      </c>
      <c r="F725" s="2">
        <v>104.1</v>
      </c>
      <c r="H725" s="1">
        <f>_xlfn.XLOOKUP('Data Source 1_customer readings'!A725,'Data Source 1_customer readings'!A725:A3123,'Data Source 1_customer readings'!J725:J3123)</f>
        <v>0</v>
      </c>
    </row>
    <row r="726" spans="1:8" x14ac:dyDescent="0.2">
      <c r="A726" s="2" t="s">
        <v>78</v>
      </c>
      <c r="B726" s="2">
        <v>18</v>
      </c>
      <c r="C726" s="2">
        <v>6</v>
      </c>
      <c r="D726" s="2">
        <v>2021</v>
      </c>
      <c r="E726" s="2">
        <v>42.3</v>
      </c>
      <c r="F726" s="2">
        <v>88.5</v>
      </c>
      <c r="H726" s="1">
        <f>_xlfn.XLOOKUP('Data Source 1_customer readings'!A726,'Data Source 1_customer readings'!A726:A3124,'Data Source 1_customer readings'!J726:J3124)</f>
        <v>0</v>
      </c>
    </row>
    <row r="727" spans="1:8" x14ac:dyDescent="0.2">
      <c r="A727" s="2" t="s">
        <v>65</v>
      </c>
      <c r="B727" s="2">
        <v>11</v>
      </c>
      <c r="C727" s="2">
        <v>6</v>
      </c>
      <c r="D727" s="2">
        <v>2021</v>
      </c>
      <c r="E727" s="2">
        <v>42.3</v>
      </c>
      <c r="F727" s="2">
        <v>84.3</v>
      </c>
      <c r="H727" s="1">
        <f>_xlfn.XLOOKUP('Data Source 1_customer readings'!A727,'Data Source 1_customer readings'!A727:A3125,'Data Source 1_customer readings'!J727:J3125)</f>
        <v>0</v>
      </c>
    </row>
    <row r="728" spans="1:8" x14ac:dyDescent="0.2">
      <c r="A728" s="2" t="s">
        <v>74</v>
      </c>
      <c r="B728" s="2">
        <v>5</v>
      </c>
      <c r="C728" s="2">
        <v>6</v>
      </c>
      <c r="D728" s="2">
        <v>2021</v>
      </c>
      <c r="E728" s="2">
        <v>42.3</v>
      </c>
      <c r="F728" s="2">
        <v>81.3</v>
      </c>
      <c r="H728" s="1">
        <f>_xlfn.XLOOKUP('Data Source 1_customer readings'!A728,'Data Source 1_customer readings'!A728:A3126,'Data Source 1_customer readings'!J728:J3126)</f>
        <v>0</v>
      </c>
    </row>
    <row r="729" spans="1:8" x14ac:dyDescent="0.2">
      <c r="A729" s="2" t="s">
        <v>62</v>
      </c>
      <c r="B729" s="2">
        <v>1</v>
      </c>
      <c r="C729" s="2">
        <v>9</v>
      </c>
      <c r="D729" s="2">
        <v>2021</v>
      </c>
      <c r="E729" s="2">
        <v>42.3</v>
      </c>
      <c r="F729" s="2">
        <v>66</v>
      </c>
      <c r="H729" s="1">
        <f>_xlfn.XLOOKUP('Data Source 1_customer readings'!A729,'Data Source 1_customer readings'!A729:A3127,'Data Source 1_customer readings'!J729:J3127)</f>
        <v>0</v>
      </c>
    </row>
    <row r="730" spans="1:8" x14ac:dyDescent="0.2">
      <c r="A730" s="2" t="s">
        <v>40</v>
      </c>
      <c r="B730" s="2">
        <v>15</v>
      </c>
      <c r="C730" s="2">
        <v>9</v>
      </c>
      <c r="D730" s="2">
        <v>2021</v>
      </c>
      <c r="E730" s="2">
        <v>42</v>
      </c>
      <c r="F730" s="2">
        <v>76.5</v>
      </c>
      <c r="H730" s="1">
        <f>_xlfn.XLOOKUP('Data Source 1_customer readings'!A730,'Data Source 1_customer readings'!A730:A3128,'Data Source 1_customer readings'!J730:J3128)</f>
        <v>0</v>
      </c>
    </row>
    <row r="731" spans="1:8" x14ac:dyDescent="0.2">
      <c r="A731" s="2" t="s">
        <v>67</v>
      </c>
      <c r="B731" s="2">
        <v>13</v>
      </c>
      <c r="C731" s="2">
        <v>7</v>
      </c>
      <c r="D731" s="2">
        <v>2021</v>
      </c>
      <c r="E731" s="2">
        <v>41.54</v>
      </c>
      <c r="F731" s="2">
        <v>101.68</v>
      </c>
      <c r="H731" s="1">
        <f>_xlfn.XLOOKUP('Data Source 1_customer readings'!A731,'Data Source 1_customer readings'!A731:A3129,'Data Source 1_customer readings'!J731:J3129)</f>
        <v>0</v>
      </c>
    </row>
    <row r="732" spans="1:8" x14ac:dyDescent="0.2">
      <c r="A732" s="2" t="s">
        <v>75</v>
      </c>
      <c r="B732" s="2">
        <v>2</v>
      </c>
      <c r="C732" s="2">
        <v>7</v>
      </c>
      <c r="D732" s="2">
        <v>2021</v>
      </c>
      <c r="E732" s="2">
        <v>41.23</v>
      </c>
      <c r="F732" s="2">
        <v>98.89</v>
      </c>
      <c r="H732" s="1">
        <f>_xlfn.XLOOKUP('Data Source 1_customer readings'!A732,'Data Source 1_customer readings'!A732:A3130,'Data Source 1_customer readings'!J732:J3130)</f>
        <v>0</v>
      </c>
    </row>
    <row r="733" spans="1:8" x14ac:dyDescent="0.2">
      <c r="A733" s="2" t="s">
        <v>75</v>
      </c>
      <c r="B733" s="2">
        <v>2</v>
      </c>
      <c r="C733" s="2">
        <v>8</v>
      </c>
      <c r="D733" s="2">
        <v>2021</v>
      </c>
      <c r="E733" s="2">
        <v>41.23</v>
      </c>
      <c r="F733" s="2">
        <v>78.12</v>
      </c>
      <c r="H733" s="1">
        <f>_xlfn.XLOOKUP('Data Source 1_customer readings'!A733,'Data Source 1_customer readings'!A733:A3131,'Data Source 1_customer readings'!J733:J3131)</f>
        <v>0</v>
      </c>
    </row>
    <row r="734" spans="1:8" x14ac:dyDescent="0.2">
      <c r="A734" s="2" t="s">
        <v>44</v>
      </c>
      <c r="B734" s="2">
        <v>1</v>
      </c>
      <c r="C734" s="2">
        <v>5</v>
      </c>
      <c r="D734" s="2">
        <v>2021</v>
      </c>
      <c r="E734" s="2">
        <v>40.92</v>
      </c>
      <c r="F734" s="2">
        <v>80.290000000000006</v>
      </c>
      <c r="H734" s="1">
        <f>_xlfn.XLOOKUP('Data Source 1_customer readings'!A734,'Data Source 1_customer readings'!A734:A3132,'Data Source 1_customer readings'!J734:J3132)</f>
        <v>0</v>
      </c>
    </row>
    <row r="735" spans="1:8" x14ac:dyDescent="0.2">
      <c r="A735" s="2" t="s">
        <v>45</v>
      </c>
      <c r="B735" s="2">
        <v>18</v>
      </c>
      <c r="C735" s="2">
        <v>9</v>
      </c>
      <c r="D735" s="2">
        <v>2021</v>
      </c>
      <c r="E735" s="2">
        <v>40.799999999999997</v>
      </c>
      <c r="F735" s="2">
        <v>90.3</v>
      </c>
      <c r="H735" s="1">
        <f>_xlfn.XLOOKUP('Data Source 1_customer readings'!A735,'Data Source 1_customer readings'!A735:A3133,'Data Source 1_customer readings'!J735:J3133)</f>
        <v>0</v>
      </c>
    </row>
    <row r="736" spans="1:8" x14ac:dyDescent="0.2">
      <c r="A736" s="2" t="s">
        <v>74</v>
      </c>
      <c r="B736" s="2">
        <v>5</v>
      </c>
      <c r="C736" s="2">
        <v>9</v>
      </c>
      <c r="D736" s="2">
        <v>2021</v>
      </c>
      <c r="E736" s="2">
        <v>40.799999999999997</v>
      </c>
      <c r="F736" s="2">
        <v>84.3</v>
      </c>
      <c r="H736" s="1">
        <f>_xlfn.XLOOKUP('Data Source 1_customer readings'!A736,'Data Source 1_customer readings'!A736:A3134,'Data Source 1_customer readings'!J736:J3134)</f>
        <v>0</v>
      </c>
    </row>
    <row r="737" spans="1:8" x14ac:dyDescent="0.2">
      <c r="A737" s="2" t="s">
        <v>64</v>
      </c>
      <c r="B737" s="2">
        <v>21</v>
      </c>
      <c r="C737" s="2">
        <v>5</v>
      </c>
      <c r="D737" s="2">
        <v>2021</v>
      </c>
      <c r="E737" s="2">
        <v>40.61</v>
      </c>
      <c r="F737" s="2">
        <v>87.42</v>
      </c>
      <c r="H737" s="1">
        <f>_xlfn.XLOOKUP('Data Source 1_customer readings'!A737,'Data Source 1_customer readings'!A737:A3135,'Data Source 1_customer readings'!J737:J3135)</f>
        <v>0</v>
      </c>
    </row>
    <row r="738" spans="1:8" x14ac:dyDescent="0.2">
      <c r="A738" s="2" t="s">
        <v>56</v>
      </c>
      <c r="B738" s="2">
        <v>14</v>
      </c>
      <c r="C738" s="2">
        <v>8</v>
      </c>
      <c r="D738" s="2">
        <v>2021</v>
      </c>
      <c r="E738" s="2">
        <v>40.299999999999997</v>
      </c>
      <c r="F738" s="2">
        <v>101.06</v>
      </c>
      <c r="H738" s="1">
        <f>_xlfn.XLOOKUP('Data Source 1_customer readings'!A738,'Data Source 1_customer readings'!A738:A3136,'Data Source 1_customer readings'!J738:J3136)</f>
        <v>0</v>
      </c>
    </row>
    <row r="739" spans="1:8" x14ac:dyDescent="0.2">
      <c r="A739" s="2" t="s">
        <v>48</v>
      </c>
      <c r="B739" s="2">
        <v>24</v>
      </c>
      <c r="C739" s="2">
        <v>8</v>
      </c>
      <c r="D739" s="2">
        <v>2021</v>
      </c>
      <c r="E739" s="2">
        <v>40.299999999999997</v>
      </c>
      <c r="F739" s="2">
        <v>63.55</v>
      </c>
      <c r="H739" s="1">
        <f>_xlfn.XLOOKUP('Data Source 1_customer readings'!A739,'Data Source 1_customer readings'!A739:A3137,'Data Source 1_customer readings'!J739:J3137)</f>
        <v>0</v>
      </c>
    </row>
    <row r="740" spans="1:8" x14ac:dyDescent="0.2">
      <c r="A740" s="2" t="s">
        <v>75</v>
      </c>
      <c r="B740" s="2">
        <v>2</v>
      </c>
      <c r="C740" s="2">
        <v>6</v>
      </c>
      <c r="D740" s="2">
        <v>2021</v>
      </c>
      <c r="E740" s="2">
        <v>40.200000000000003</v>
      </c>
      <c r="F740" s="2">
        <v>75</v>
      </c>
      <c r="H740" s="1">
        <f>_xlfn.XLOOKUP('Data Source 1_customer readings'!A740,'Data Source 1_customer readings'!A740:A3138,'Data Source 1_customer readings'!J740:J3138)</f>
        <v>0</v>
      </c>
    </row>
    <row r="741" spans="1:8" x14ac:dyDescent="0.2">
      <c r="A741" s="2" t="s">
        <v>46</v>
      </c>
      <c r="B741" s="2">
        <v>9</v>
      </c>
      <c r="C741" s="2">
        <v>5</v>
      </c>
      <c r="D741" s="2">
        <v>2021</v>
      </c>
      <c r="E741" s="2">
        <v>39.99</v>
      </c>
      <c r="F741" s="2">
        <v>84.32</v>
      </c>
      <c r="H741" s="1">
        <f>_xlfn.XLOOKUP('Data Source 1_customer readings'!A741,'Data Source 1_customer readings'!A741:A3139,'Data Source 1_customer readings'!J741:J3139)</f>
        <v>0</v>
      </c>
    </row>
    <row r="742" spans="1:8" x14ac:dyDescent="0.2">
      <c r="A742" s="2" t="s">
        <v>51</v>
      </c>
      <c r="B742" s="2">
        <v>16</v>
      </c>
      <c r="C742" s="2">
        <v>9</v>
      </c>
      <c r="D742" s="2">
        <v>2021</v>
      </c>
      <c r="E742" s="2">
        <v>39.9</v>
      </c>
      <c r="F742" s="2">
        <v>83.7</v>
      </c>
      <c r="H742" s="1">
        <f>_xlfn.XLOOKUP('Data Source 1_customer readings'!A742,'Data Source 1_customer readings'!A742:A3140,'Data Source 1_customer readings'!J742:J3140)</f>
        <v>0</v>
      </c>
    </row>
    <row r="743" spans="1:8" x14ac:dyDescent="0.2">
      <c r="A743" s="2" t="s">
        <v>65</v>
      </c>
      <c r="B743" s="2">
        <v>11</v>
      </c>
      <c r="C743" s="2">
        <v>8</v>
      </c>
      <c r="D743" s="2">
        <v>2021</v>
      </c>
      <c r="E743" s="2">
        <v>39.68</v>
      </c>
      <c r="F743" s="2">
        <v>108.5</v>
      </c>
      <c r="H743" s="1">
        <f>_xlfn.XLOOKUP('Data Source 1_customer readings'!A743,'Data Source 1_customer readings'!A743:A3141,'Data Source 1_customer readings'!J743:J3141)</f>
        <v>0</v>
      </c>
    </row>
    <row r="744" spans="1:8" x14ac:dyDescent="0.2">
      <c r="A744" s="2" t="s">
        <v>57</v>
      </c>
      <c r="B744" s="2">
        <v>17</v>
      </c>
      <c r="C744" s="2">
        <v>6</v>
      </c>
      <c r="D744" s="2">
        <v>2021</v>
      </c>
      <c r="E744" s="2">
        <v>39.6</v>
      </c>
      <c r="F744" s="2">
        <v>89.7</v>
      </c>
      <c r="H744" s="1">
        <f>_xlfn.XLOOKUP('Data Source 1_customer readings'!A744,'Data Source 1_customer readings'!A744:A3142,'Data Source 1_customer readings'!J744:J3142)</f>
        <v>0</v>
      </c>
    </row>
    <row r="745" spans="1:8" x14ac:dyDescent="0.2">
      <c r="A745" s="2" t="s">
        <v>55</v>
      </c>
      <c r="B745" s="2">
        <v>18</v>
      </c>
      <c r="C745" s="2">
        <v>8</v>
      </c>
      <c r="D745" s="2">
        <v>2021</v>
      </c>
      <c r="E745" s="2">
        <v>39.369999999999997</v>
      </c>
      <c r="F745" s="2">
        <v>80.599999999999994</v>
      </c>
      <c r="H745" s="1" t="b">
        <f>_xlfn.XLOOKUP('Data Source 1_customer readings'!A745,'Data Source 1_customer readings'!A745:A3143,'Data Source 1_customer readings'!J745:J3143)</f>
        <v>0</v>
      </c>
    </row>
    <row r="746" spans="1:8" x14ac:dyDescent="0.2">
      <c r="A746" s="2" t="s">
        <v>59</v>
      </c>
      <c r="B746" s="2">
        <v>11</v>
      </c>
      <c r="C746" s="2">
        <v>8</v>
      </c>
      <c r="D746" s="2">
        <v>2021</v>
      </c>
      <c r="E746" s="2">
        <v>39.369999999999997</v>
      </c>
      <c r="F746" s="2">
        <v>79.36</v>
      </c>
      <c r="H746" s="1">
        <f>_xlfn.XLOOKUP('Data Source 1_customer readings'!A746,'Data Source 1_customer readings'!A746:A3144,'Data Source 1_customer readings'!J746:J3144)</f>
        <v>0</v>
      </c>
    </row>
    <row r="747" spans="1:8" x14ac:dyDescent="0.2">
      <c r="A747" s="2" t="s">
        <v>48</v>
      </c>
      <c r="B747" s="2">
        <v>24</v>
      </c>
      <c r="C747" s="2">
        <v>7</v>
      </c>
      <c r="D747" s="2">
        <v>2021</v>
      </c>
      <c r="E747" s="2">
        <v>39.369999999999997</v>
      </c>
      <c r="F747" s="2">
        <v>60.14</v>
      </c>
      <c r="H747" s="1">
        <f>_xlfn.XLOOKUP('Data Source 1_customer readings'!A747,'Data Source 1_customer readings'!A747:A3145,'Data Source 1_customer readings'!J747:J3145)</f>
        <v>0</v>
      </c>
    </row>
    <row r="748" spans="1:8" x14ac:dyDescent="0.2">
      <c r="A748" s="2" t="s">
        <v>59</v>
      </c>
      <c r="B748" s="2">
        <v>11</v>
      </c>
      <c r="C748" s="2">
        <v>6</v>
      </c>
      <c r="D748" s="2">
        <v>2021</v>
      </c>
      <c r="E748" s="2">
        <v>39.299999999999997</v>
      </c>
      <c r="F748" s="2">
        <v>84</v>
      </c>
      <c r="H748" s="1">
        <f>_xlfn.XLOOKUP('Data Source 1_customer readings'!A748,'Data Source 1_customer readings'!A748:A3146,'Data Source 1_customer readings'!J748:J3146)</f>
        <v>0</v>
      </c>
    </row>
    <row r="749" spans="1:8" x14ac:dyDescent="0.2">
      <c r="A749" s="2" t="s">
        <v>57</v>
      </c>
      <c r="B749" s="2">
        <v>17</v>
      </c>
      <c r="C749" s="2">
        <v>9</v>
      </c>
      <c r="D749" s="2">
        <v>2021</v>
      </c>
      <c r="E749" s="2">
        <v>39.299999999999997</v>
      </c>
      <c r="F749" s="2">
        <v>77.400000000000006</v>
      </c>
      <c r="H749" s="1">
        <f>_xlfn.XLOOKUP('Data Source 1_customer readings'!A749,'Data Source 1_customer readings'!A749:A3147,'Data Source 1_customer readings'!J749:J3147)</f>
        <v>0</v>
      </c>
    </row>
    <row r="750" spans="1:8" x14ac:dyDescent="0.2">
      <c r="A750" s="2" t="s">
        <v>56</v>
      </c>
      <c r="B750" s="2">
        <v>14</v>
      </c>
      <c r="C750" s="2">
        <v>7</v>
      </c>
      <c r="D750" s="2">
        <v>2021</v>
      </c>
      <c r="E750" s="2">
        <v>39.06</v>
      </c>
      <c r="F750" s="2">
        <v>82.46</v>
      </c>
      <c r="H750" s="1">
        <f>_xlfn.XLOOKUP('Data Source 1_customer readings'!A750,'Data Source 1_customer readings'!A750:A3148,'Data Source 1_customer readings'!J750:J3148)</f>
        <v>0</v>
      </c>
    </row>
    <row r="751" spans="1:8" x14ac:dyDescent="0.2">
      <c r="A751" s="2" t="s">
        <v>69</v>
      </c>
      <c r="B751" s="2">
        <v>12</v>
      </c>
      <c r="C751" s="2">
        <v>8</v>
      </c>
      <c r="D751" s="2">
        <v>2021</v>
      </c>
      <c r="E751" s="2">
        <v>38.75</v>
      </c>
      <c r="F751" s="2">
        <v>85.87</v>
      </c>
      <c r="H751" s="1">
        <f>_xlfn.XLOOKUP('Data Source 1_customer readings'!A751,'Data Source 1_customer readings'!A751:A3149,'Data Source 1_customer readings'!J751:J3149)</f>
        <v>0</v>
      </c>
    </row>
    <row r="752" spans="1:8" x14ac:dyDescent="0.2">
      <c r="A752" s="2" t="s">
        <v>63</v>
      </c>
      <c r="B752" s="2">
        <v>25</v>
      </c>
      <c r="C752" s="2">
        <v>7</v>
      </c>
      <c r="D752" s="2">
        <v>2021</v>
      </c>
      <c r="E752" s="2">
        <v>38.44</v>
      </c>
      <c r="F752" s="2">
        <v>98.89</v>
      </c>
      <c r="H752" s="1">
        <f>_xlfn.XLOOKUP('Data Source 1_customer readings'!A752,'Data Source 1_customer readings'!A752:A3150,'Data Source 1_customer readings'!J752:J3150)</f>
        <v>0</v>
      </c>
    </row>
    <row r="753" spans="1:8" x14ac:dyDescent="0.2">
      <c r="A753" s="2" t="s">
        <v>73</v>
      </c>
      <c r="B753" s="2">
        <v>5</v>
      </c>
      <c r="C753" s="2">
        <v>8</v>
      </c>
      <c r="D753" s="2">
        <v>2021</v>
      </c>
      <c r="E753" s="2">
        <v>38.44</v>
      </c>
      <c r="F753" s="2">
        <v>94.55</v>
      </c>
      <c r="H753" s="1">
        <f>_xlfn.XLOOKUP('Data Source 1_customer readings'!A753,'Data Source 1_customer readings'!A753:A3151,'Data Source 1_customer readings'!J753:J3151)</f>
        <v>0</v>
      </c>
    </row>
    <row r="754" spans="1:8" x14ac:dyDescent="0.2">
      <c r="A754" s="2" t="s">
        <v>51</v>
      </c>
      <c r="B754" s="2">
        <v>16</v>
      </c>
      <c r="C754" s="2">
        <v>5</v>
      </c>
      <c r="D754" s="2">
        <v>2021</v>
      </c>
      <c r="E754" s="2">
        <v>38.44</v>
      </c>
      <c r="F754" s="2">
        <v>88.04</v>
      </c>
      <c r="H754" s="1">
        <f>_xlfn.XLOOKUP('Data Source 1_customer readings'!A754,'Data Source 1_customer readings'!A754:A3152,'Data Source 1_customer readings'!J754:J3152)</f>
        <v>0</v>
      </c>
    </row>
    <row r="755" spans="1:8" x14ac:dyDescent="0.2">
      <c r="A755" s="2" t="s">
        <v>74</v>
      </c>
      <c r="B755" s="2">
        <v>5</v>
      </c>
      <c r="C755" s="2">
        <v>8</v>
      </c>
      <c r="D755" s="2">
        <v>2021</v>
      </c>
      <c r="E755" s="2">
        <v>38.44</v>
      </c>
      <c r="F755" s="2">
        <v>82.46</v>
      </c>
      <c r="H755" s="1">
        <f>_xlfn.XLOOKUP('Data Source 1_customer readings'!A755,'Data Source 1_customer readings'!A755:A3153,'Data Source 1_customer readings'!J755:J3153)</f>
        <v>0</v>
      </c>
    </row>
    <row r="756" spans="1:8" x14ac:dyDescent="0.2">
      <c r="A756" s="2" t="s">
        <v>73</v>
      </c>
      <c r="B756" s="2">
        <v>5</v>
      </c>
      <c r="C756" s="2">
        <v>6</v>
      </c>
      <c r="D756" s="2">
        <v>2021</v>
      </c>
      <c r="E756" s="2">
        <v>38.4</v>
      </c>
      <c r="F756" s="2">
        <v>80.7</v>
      </c>
      <c r="H756" s="1" t="b">
        <f>_xlfn.XLOOKUP('Data Source 1_customer readings'!A756,'Data Source 1_customer readings'!A756:A3154,'Data Source 1_customer readings'!J756:J3154)</f>
        <v>0</v>
      </c>
    </row>
    <row r="757" spans="1:8" x14ac:dyDescent="0.2">
      <c r="A757" s="2" t="s">
        <v>52</v>
      </c>
      <c r="B757" s="2">
        <v>1</v>
      </c>
      <c r="C757" s="2">
        <v>8</v>
      </c>
      <c r="D757" s="2">
        <v>2021</v>
      </c>
      <c r="E757" s="2">
        <v>38.130000000000003</v>
      </c>
      <c r="F757" s="2">
        <v>103.54</v>
      </c>
      <c r="H757" s="1">
        <f>_xlfn.XLOOKUP('Data Source 1_customer readings'!A757,'Data Source 1_customer readings'!A757:A3155,'Data Source 1_customer readings'!J757:J3155)</f>
        <v>0</v>
      </c>
    </row>
    <row r="758" spans="1:8" x14ac:dyDescent="0.2">
      <c r="A758" s="2" t="s">
        <v>39</v>
      </c>
      <c r="B758" s="2">
        <v>22</v>
      </c>
      <c r="C758" s="2">
        <v>5</v>
      </c>
      <c r="D758" s="2">
        <v>2021</v>
      </c>
      <c r="E758" s="2">
        <v>38.130000000000003</v>
      </c>
      <c r="F758" s="2">
        <v>89.28</v>
      </c>
      <c r="H758" s="1" t="b">
        <f>_xlfn.XLOOKUP('Data Source 1_customer readings'!A758,'Data Source 1_customer readings'!A758:A3156,'Data Source 1_customer readings'!J758:J3156)</f>
        <v>0</v>
      </c>
    </row>
    <row r="759" spans="1:8" x14ac:dyDescent="0.2">
      <c r="A759" s="2" t="s">
        <v>49</v>
      </c>
      <c r="B759" s="2">
        <v>3</v>
      </c>
      <c r="C759" s="2">
        <v>8</v>
      </c>
      <c r="D759" s="2">
        <v>2021</v>
      </c>
      <c r="E759" s="2">
        <v>38.130000000000003</v>
      </c>
      <c r="F759" s="2">
        <v>73.78</v>
      </c>
      <c r="H759" s="1">
        <f>_xlfn.XLOOKUP('Data Source 1_customer readings'!A759,'Data Source 1_customer readings'!A759:A3157,'Data Source 1_customer readings'!J759:J3157)</f>
        <v>0</v>
      </c>
    </row>
    <row r="760" spans="1:8" x14ac:dyDescent="0.2">
      <c r="A760" s="2" t="s">
        <v>42</v>
      </c>
      <c r="B760" s="2">
        <v>12</v>
      </c>
      <c r="C760" s="2">
        <v>5</v>
      </c>
      <c r="D760" s="2">
        <v>2021</v>
      </c>
      <c r="E760" s="2">
        <v>38.130000000000003</v>
      </c>
      <c r="F760" s="2">
        <v>72.540000000000006</v>
      </c>
      <c r="H760" s="1" t="b">
        <f>_xlfn.XLOOKUP('Data Source 1_customer readings'!A760,'Data Source 1_customer readings'!A760:A3158,'Data Source 1_customer readings'!J760:J3158)</f>
        <v>0</v>
      </c>
    </row>
    <row r="761" spans="1:8" x14ac:dyDescent="0.2">
      <c r="A761" s="2" t="s">
        <v>50</v>
      </c>
      <c r="B761" s="2">
        <v>24</v>
      </c>
      <c r="C761" s="2">
        <v>5</v>
      </c>
      <c r="D761" s="2">
        <v>2021</v>
      </c>
      <c r="E761" s="2">
        <v>38.130000000000003</v>
      </c>
      <c r="F761" s="2">
        <v>66.959999999999994</v>
      </c>
      <c r="H761" s="1">
        <f>_xlfn.XLOOKUP('Data Source 1_customer readings'!A761,'Data Source 1_customer readings'!A761:A3159,'Data Source 1_customer readings'!J761:J3159)</f>
        <v>0</v>
      </c>
    </row>
    <row r="762" spans="1:8" x14ac:dyDescent="0.2">
      <c r="A762" s="2" t="s">
        <v>52</v>
      </c>
      <c r="B762" s="2">
        <v>1</v>
      </c>
      <c r="C762" s="2">
        <v>6</v>
      </c>
      <c r="D762" s="2">
        <v>2021</v>
      </c>
      <c r="E762" s="2">
        <v>38.1</v>
      </c>
      <c r="F762" s="2">
        <v>105</v>
      </c>
      <c r="H762" s="1">
        <f>_xlfn.XLOOKUP('Data Source 1_customer readings'!A762,'Data Source 1_customer readings'!A762:A3160,'Data Source 1_customer readings'!J762:J3160)</f>
        <v>0</v>
      </c>
    </row>
    <row r="763" spans="1:8" x14ac:dyDescent="0.2">
      <c r="A763" s="2" t="s">
        <v>58</v>
      </c>
      <c r="B763" s="2">
        <v>16</v>
      </c>
      <c r="C763" s="2">
        <v>8</v>
      </c>
      <c r="D763" s="2">
        <v>2021</v>
      </c>
      <c r="E763" s="2">
        <v>37.82</v>
      </c>
      <c r="F763" s="2">
        <v>68.819999999999993</v>
      </c>
      <c r="H763" s="1">
        <f>_xlfn.XLOOKUP('Data Source 1_customer readings'!A763,'Data Source 1_customer readings'!A763:A3161,'Data Source 1_customer readings'!J763:J3161)</f>
        <v>0</v>
      </c>
    </row>
    <row r="764" spans="1:8" x14ac:dyDescent="0.2">
      <c r="A764" s="2" t="s">
        <v>67</v>
      </c>
      <c r="B764" s="2">
        <v>13</v>
      </c>
      <c r="C764" s="2">
        <v>9</v>
      </c>
      <c r="D764" s="2">
        <v>2021</v>
      </c>
      <c r="E764" s="2">
        <v>37.799999999999997</v>
      </c>
      <c r="F764" s="2">
        <v>96</v>
      </c>
      <c r="H764" s="1">
        <f>_xlfn.XLOOKUP('Data Source 1_customer readings'!A764,'Data Source 1_customer readings'!A764:A3162,'Data Source 1_customer readings'!J764:J3162)</f>
        <v>0</v>
      </c>
    </row>
    <row r="765" spans="1:8" x14ac:dyDescent="0.2">
      <c r="A765" s="2" t="s">
        <v>69</v>
      </c>
      <c r="B765" s="2">
        <v>12</v>
      </c>
      <c r="C765" s="2">
        <v>7</v>
      </c>
      <c r="D765" s="2">
        <v>2021</v>
      </c>
      <c r="E765" s="2">
        <v>37.51</v>
      </c>
      <c r="F765" s="2">
        <v>89.9</v>
      </c>
      <c r="H765" s="1">
        <f>_xlfn.XLOOKUP('Data Source 1_customer readings'!A765,'Data Source 1_customer readings'!A765:A3163,'Data Source 1_customer readings'!J765:J3163)</f>
        <v>0</v>
      </c>
    </row>
    <row r="766" spans="1:8" x14ac:dyDescent="0.2">
      <c r="A766" s="2" t="s">
        <v>58</v>
      </c>
      <c r="B766" s="2">
        <v>16</v>
      </c>
      <c r="C766" s="2">
        <v>7</v>
      </c>
      <c r="D766" s="2">
        <v>2021</v>
      </c>
      <c r="E766" s="2">
        <v>37.51</v>
      </c>
      <c r="F766" s="2">
        <v>62</v>
      </c>
      <c r="H766" s="1">
        <f>_xlfn.XLOOKUP('Data Source 1_customer readings'!A766,'Data Source 1_customer readings'!A766:A3164,'Data Source 1_customer readings'!J766:J3164)</f>
        <v>0</v>
      </c>
    </row>
    <row r="767" spans="1:8" x14ac:dyDescent="0.2">
      <c r="A767" s="2" t="s">
        <v>54</v>
      </c>
      <c r="B767" s="2">
        <v>5</v>
      </c>
      <c r="C767" s="2">
        <v>8</v>
      </c>
      <c r="D767" s="2">
        <v>2021</v>
      </c>
      <c r="E767" s="2">
        <v>37.200000000000003</v>
      </c>
      <c r="F767" s="2">
        <v>102.92</v>
      </c>
      <c r="H767" s="1">
        <f>_xlfn.XLOOKUP('Data Source 1_customer readings'!A767,'Data Source 1_customer readings'!A767:A3165,'Data Source 1_customer readings'!J767:J3165)</f>
        <v>0</v>
      </c>
    </row>
    <row r="768" spans="1:8" x14ac:dyDescent="0.2">
      <c r="A768" s="2" t="s">
        <v>43</v>
      </c>
      <c r="B768" s="2">
        <v>15</v>
      </c>
      <c r="C768" s="2">
        <v>6</v>
      </c>
      <c r="D768" s="2">
        <v>2021</v>
      </c>
      <c r="E768" s="2">
        <v>37.200000000000003</v>
      </c>
      <c r="F768" s="2">
        <v>102.6</v>
      </c>
      <c r="H768" s="1">
        <f>_xlfn.XLOOKUP('Data Source 1_customer readings'!A768,'Data Source 1_customer readings'!A768:A3166,'Data Source 1_customer readings'!J768:J3166)</f>
        <v>0</v>
      </c>
    </row>
    <row r="769" spans="1:8" x14ac:dyDescent="0.2">
      <c r="A769" s="2" t="s">
        <v>43</v>
      </c>
      <c r="B769" s="2">
        <v>15</v>
      </c>
      <c r="C769" s="2">
        <v>7</v>
      </c>
      <c r="D769" s="2">
        <v>2021</v>
      </c>
      <c r="E769" s="2">
        <v>37.200000000000003</v>
      </c>
      <c r="F769" s="2">
        <v>93.31</v>
      </c>
      <c r="H769" s="1" t="b">
        <f>_xlfn.XLOOKUP('Data Source 1_customer readings'!A769,'Data Source 1_customer readings'!A769:A3167,'Data Source 1_customer readings'!J769:J3167)</f>
        <v>0</v>
      </c>
    </row>
    <row r="770" spans="1:8" x14ac:dyDescent="0.2">
      <c r="A770" s="2" t="s">
        <v>67</v>
      </c>
      <c r="B770" s="2">
        <v>13</v>
      </c>
      <c r="C770" s="2">
        <v>8</v>
      </c>
      <c r="D770" s="2">
        <v>2021</v>
      </c>
      <c r="E770" s="2">
        <v>37.200000000000003</v>
      </c>
      <c r="F770" s="2">
        <v>83.7</v>
      </c>
      <c r="H770" s="1">
        <f>_xlfn.XLOOKUP('Data Source 1_customer readings'!A770,'Data Source 1_customer readings'!A770:A3168,'Data Source 1_customer readings'!J770:J3168)</f>
        <v>0</v>
      </c>
    </row>
    <row r="771" spans="1:8" x14ac:dyDescent="0.2">
      <c r="A771" s="2" t="s">
        <v>58</v>
      </c>
      <c r="B771" s="2">
        <v>16</v>
      </c>
      <c r="C771" s="2">
        <v>5</v>
      </c>
      <c r="D771" s="2">
        <v>2021</v>
      </c>
      <c r="E771" s="2">
        <v>37.200000000000003</v>
      </c>
      <c r="F771" s="2">
        <v>76.88</v>
      </c>
      <c r="H771" s="1">
        <f>_xlfn.XLOOKUP('Data Source 1_customer readings'!A771,'Data Source 1_customer readings'!A771:A3169,'Data Source 1_customer readings'!J771:J3169)</f>
        <v>0</v>
      </c>
    </row>
    <row r="772" spans="1:8" x14ac:dyDescent="0.2">
      <c r="A772" s="2" t="s">
        <v>38</v>
      </c>
      <c r="B772" s="2">
        <v>21</v>
      </c>
      <c r="C772" s="2">
        <v>8</v>
      </c>
      <c r="D772" s="2">
        <v>2021</v>
      </c>
      <c r="E772" s="2">
        <v>37.200000000000003</v>
      </c>
      <c r="F772" s="2">
        <v>76.88</v>
      </c>
      <c r="H772" s="1">
        <f>_xlfn.XLOOKUP('Data Source 1_customer readings'!A772,'Data Source 1_customer readings'!A772:A3170,'Data Source 1_customer readings'!J772:J3170)</f>
        <v>0</v>
      </c>
    </row>
    <row r="773" spans="1:8" x14ac:dyDescent="0.2">
      <c r="A773" s="2" t="s">
        <v>48</v>
      </c>
      <c r="B773" s="2">
        <v>24</v>
      </c>
      <c r="C773" s="2">
        <v>6</v>
      </c>
      <c r="D773" s="2">
        <v>2021</v>
      </c>
      <c r="E773" s="2">
        <v>36.9</v>
      </c>
      <c r="F773" s="2">
        <v>75</v>
      </c>
      <c r="H773" s="1">
        <f>_xlfn.XLOOKUP('Data Source 1_customer readings'!A773,'Data Source 1_customer readings'!A773:A3171,'Data Source 1_customer readings'!J773:J3171)</f>
        <v>0</v>
      </c>
    </row>
    <row r="774" spans="1:8" x14ac:dyDescent="0.2">
      <c r="A774" s="2" t="s">
        <v>38</v>
      </c>
      <c r="B774" s="2">
        <v>21</v>
      </c>
      <c r="C774" s="2">
        <v>5</v>
      </c>
      <c r="D774" s="2">
        <v>2021</v>
      </c>
      <c r="E774" s="2">
        <v>36.89</v>
      </c>
      <c r="F774" s="2">
        <v>75.33</v>
      </c>
      <c r="H774" s="1">
        <f>_xlfn.XLOOKUP('Data Source 1_customer readings'!A774,'Data Source 1_customer readings'!A774:A3172,'Data Source 1_customer readings'!J774:J3172)</f>
        <v>0</v>
      </c>
    </row>
    <row r="775" spans="1:8" x14ac:dyDescent="0.2">
      <c r="A775" s="2" t="s">
        <v>55</v>
      </c>
      <c r="B775" s="2">
        <v>18</v>
      </c>
      <c r="C775" s="2">
        <v>5</v>
      </c>
      <c r="D775" s="2">
        <v>2021</v>
      </c>
      <c r="E775" s="2">
        <v>36.89</v>
      </c>
      <c r="F775" s="2">
        <v>66.34</v>
      </c>
      <c r="H775" s="1">
        <f>_xlfn.XLOOKUP('Data Source 1_customer readings'!A775,'Data Source 1_customer readings'!A775:A3173,'Data Source 1_customer readings'!J775:J3173)</f>
        <v>0</v>
      </c>
    </row>
    <row r="776" spans="1:8" x14ac:dyDescent="0.2">
      <c r="A776" s="2" t="s">
        <v>54</v>
      </c>
      <c r="B776" s="2">
        <v>5</v>
      </c>
      <c r="C776" s="2">
        <v>6</v>
      </c>
      <c r="D776" s="2">
        <v>2021</v>
      </c>
      <c r="E776" s="2">
        <v>36.6</v>
      </c>
      <c r="F776" s="2">
        <v>111.3</v>
      </c>
      <c r="H776" s="1">
        <f>_xlfn.XLOOKUP('Data Source 1_customer readings'!A776,'Data Source 1_customer readings'!A776:A3174,'Data Source 1_customer readings'!J776:J3174)</f>
        <v>0</v>
      </c>
    </row>
    <row r="777" spans="1:8" x14ac:dyDescent="0.2">
      <c r="A777" s="2" t="s">
        <v>60</v>
      </c>
      <c r="B777" s="2">
        <v>20</v>
      </c>
      <c r="C777" s="2">
        <v>7</v>
      </c>
      <c r="D777" s="2">
        <v>2021</v>
      </c>
      <c r="E777" s="2">
        <v>36.58</v>
      </c>
      <c r="F777" s="2">
        <v>100.75</v>
      </c>
      <c r="H777" s="1">
        <f>_xlfn.XLOOKUP('Data Source 1_customer readings'!A777,'Data Source 1_customer readings'!A777:A3175,'Data Source 1_customer readings'!J777:J3175)</f>
        <v>0</v>
      </c>
    </row>
    <row r="778" spans="1:8" x14ac:dyDescent="0.2">
      <c r="A778" s="2" t="s">
        <v>49</v>
      </c>
      <c r="B778" s="2">
        <v>3</v>
      </c>
      <c r="C778" s="2">
        <v>9</v>
      </c>
      <c r="D778" s="2">
        <v>2021</v>
      </c>
      <c r="E778" s="2">
        <v>36.299999999999997</v>
      </c>
      <c r="F778" s="2">
        <v>73.8</v>
      </c>
      <c r="H778" s="1">
        <f>_xlfn.XLOOKUP('Data Source 1_customer readings'!A778,'Data Source 1_customer readings'!A778:A3176,'Data Source 1_customer readings'!J778:J3176)</f>
        <v>0</v>
      </c>
    </row>
    <row r="779" spans="1:8" x14ac:dyDescent="0.2">
      <c r="A779" s="2" t="s">
        <v>61</v>
      </c>
      <c r="B779" s="2">
        <v>23</v>
      </c>
      <c r="C779" s="2">
        <v>6</v>
      </c>
      <c r="D779" s="2">
        <v>2021</v>
      </c>
      <c r="E779" s="2">
        <v>36</v>
      </c>
      <c r="F779" s="2">
        <v>108</v>
      </c>
      <c r="H779" s="1">
        <f>_xlfn.XLOOKUP('Data Source 1_customer readings'!A779,'Data Source 1_customer readings'!A779:A3177,'Data Source 1_customer readings'!J779:J3177)</f>
        <v>0</v>
      </c>
    </row>
    <row r="780" spans="1:8" x14ac:dyDescent="0.2">
      <c r="A780" s="2" t="s">
        <v>58</v>
      </c>
      <c r="B780" s="2">
        <v>16</v>
      </c>
      <c r="C780" s="2">
        <v>6</v>
      </c>
      <c r="D780" s="2">
        <v>2021</v>
      </c>
      <c r="E780" s="2">
        <v>36</v>
      </c>
      <c r="F780" s="2">
        <v>59.7</v>
      </c>
      <c r="H780" s="1">
        <f>_xlfn.XLOOKUP('Data Source 1_customer readings'!A780,'Data Source 1_customer readings'!A780:A3178,'Data Source 1_customer readings'!J780:J3178)</f>
        <v>0</v>
      </c>
    </row>
    <row r="781" spans="1:8" x14ac:dyDescent="0.2">
      <c r="A781" s="2" t="s">
        <v>64</v>
      </c>
      <c r="B781" s="2">
        <v>21</v>
      </c>
      <c r="C781" s="2">
        <v>7</v>
      </c>
      <c r="D781" s="2">
        <v>2021</v>
      </c>
      <c r="E781" s="2">
        <v>35.96</v>
      </c>
      <c r="F781" s="2">
        <v>95.48</v>
      </c>
      <c r="H781" s="1">
        <f>_xlfn.XLOOKUP('Data Source 1_customer readings'!A781,'Data Source 1_customer readings'!A781:A3179,'Data Source 1_customer readings'!J781:J3179)</f>
        <v>0</v>
      </c>
    </row>
    <row r="782" spans="1:8" x14ac:dyDescent="0.2">
      <c r="A782" s="2" t="s">
        <v>63</v>
      </c>
      <c r="B782" s="2">
        <v>25</v>
      </c>
      <c r="C782" s="2">
        <v>8</v>
      </c>
      <c r="D782" s="2">
        <v>2021</v>
      </c>
      <c r="E782" s="2">
        <v>35.96</v>
      </c>
      <c r="F782" s="2">
        <v>91.45</v>
      </c>
      <c r="H782" s="1" t="b">
        <f>_xlfn.XLOOKUP('Data Source 1_customer readings'!A782,'Data Source 1_customer readings'!A782:A3180,'Data Source 1_customer readings'!J782:J3180)</f>
        <v>0</v>
      </c>
    </row>
    <row r="783" spans="1:8" x14ac:dyDescent="0.2">
      <c r="A783" s="2" t="s">
        <v>37</v>
      </c>
      <c r="B783" s="2">
        <v>12</v>
      </c>
      <c r="C783" s="2">
        <v>9</v>
      </c>
      <c r="D783" s="2">
        <v>2021</v>
      </c>
      <c r="E783" s="2">
        <v>35.700000000000003</v>
      </c>
      <c r="F783" s="2">
        <v>77.400000000000006</v>
      </c>
      <c r="H783" s="1">
        <f>_xlfn.XLOOKUP('Data Source 1_customer readings'!A783,'Data Source 1_customer readings'!A783:A3181,'Data Source 1_customer readings'!J783:J3181)</f>
        <v>0</v>
      </c>
    </row>
    <row r="784" spans="1:8" x14ac:dyDescent="0.2">
      <c r="A784" s="2" t="s">
        <v>45</v>
      </c>
      <c r="B784" s="2">
        <v>18</v>
      </c>
      <c r="C784" s="2">
        <v>5</v>
      </c>
      <c r="D784" s="2">
        <v>2021</v>
      </c>
      <c r="E784" s="2">
        <v>35.65</v>
      </c>
      <c r="F784" s="2">
        <v>88.04</v>
      </c>
      <c r="H784" s="1">
        <f>_xlfn.XLOOKUP('Data Source 1_customer readings'!A784,'Data Source 1_customer readings'!A784:A3182,'Data Source 1_customer readings'!J784:J3182)</f>
        <v>0</v>
      </c>
    </row>
    <row r="785" spans="1:8" x14ac:dyDescent="0.2">
      <c r="A785" s="2" t="s">
        <v>36</v>
      </c>
      <c r="B785" s="2">
        <v>12</v>
      </c>
      <c r="C785" s="2">
        <v>5</v>
      </c>
      <c r="D785" s="2">
        <v>2021</v>
      </c>
      <c r="E785" s="2">
        <v>35.340000000000003</v>
      </c>
      <c r="F785" s="2">
        <v>77.5</v>
      </c>
      <c r="H785" s="1">
        <f>_xlfn.XLOOKUP('Data Source 1_customer readings'!A785,'Data Source 1_customer readings'!A785:A3183,'Data Source 1_customer readings'!J785:J3183)</f>
        <v>0</v>
      </c>
    </row>
    <row r="786" spans="1:8" x14ac:dyDescent="0.2">
      <c r="A786" s="2" t="s">
        <v>47</v>
      </c>
      <c r="B786" s="2">
        <v>19</v>
      </c>
      <c r="C786" s="2">
        <v>5</v>
      </c>
      <c r="D786" s="2">
        <v>2021</v>
      </c>
      <c r="E786" s="2">
        <v>35.340000000000003</v>
      </c>
      <c r="F786" s="2">
        <v>76.88</v>
      </c>
      <c r="H786" s="1">
        <f>_xlfn.XLOOKUP('Data Source 1_customer readings'!A786,'Data Source 1_customer readings'!A786:A3184,'Data Source 1_customer readings'!J786:J3184)</f>
        <v>0</v>
      </c>
    </row>
    <row r="787" spans="1:8" x14ac:dyDescent="0.2">
      <c r="A787" s="2" t="s">
        <v>48</v>
      </c>
      <c r="B787" s="2">
        <v>24</v>
      </c>
      <c r="C787" s="2">
        <v>5</v>
      </c>
      <c r="D787" s="2">
        <v>2021</v>
      </c>
      <c r="E787" s="2">
        <v>35.340000000000003</v>
      </c>
      <c r="F787" s="2">
        <v>70.680000000000007</v>
      </c>
      <c r="H787" s="1">
        <f>_xlfn.XLOOKUP('Data Source 1_customer readings'!A787,'Data Source 1_customer readings'!A787:A3185,'Data Source 1_customer readings'!J787:J3185)</f>
        <v>0</v>
      </c>
    </row>
    <row r="788" spans="1:8" x14ac:dyDescent="0.2">
      <c r="A788" s="2" t="s">
        <v>49</v>
      </c>
      <c r="B788" s="2">
        <v>3</v>
      </c>
      <c r="C788" s="2">
        <v>7</v>
      </c>
      <c r="D788" s="2">
        <v>2021</v>
      </c>
      <c r="E788" s="2">
        <v>35.340000000000003</v>
      </c>
      <c r="F788" s="2">
        <v>69.44</v>
      </c>
      <c r="H788" s="1">
        <f>_xlfn.XLOOKUP('Data Source 1_customer readings'!A788,'Data Source 1_customer readings'!A788:A3186,'Data Source 1_customer readings'!J788:J3186)</f>
        <v>0</v>
      </c>
    </row>
    <row r="789" spans="1:8" x14ac:dyDescent="0.2">
      <c r="A789" s="2" t="s">
        <v>53</v>
      </c>
      <c r="B789" s="2">
        <v>18</v>
      </c>
      <c r="C789" s="2">
        <v>9</v>
      </c>
      <c r="D789" s="2">
        <v>2021</v>
      </c>
      <c r="E789" s="2">
        <v>35.1</v>
      </c>
      <c r="F789" s="2">
        <v>74.099999999999994</v>
      </c>
      <c r="H789" s="1" t="b">
        <f>_xlfn.XLOOKUP('Data Source 1_customer readings'!A789,'Data Source 1_customer readings'!A789:A3187,'Data Source 1_customer readings'!J789:J3187)</f>
        <v>0</v>
      </c>
    </row>
    <row r="790" spans="1:8" x14ac:dyDescent="0.2">
      <c r="A790" s="2" t="s">
        <v>41</v>
      </c>
      <c r="B790" s="2">
        <v>15</v>
      </c>
      <c r="C790" s="2">
        <v>8</v>
      </c>
      <c r="D790" s="2">
        <v>2021</v>
      </c>
      <c r="E790" s="2">
        <v>35.03</v>
      </c>
      <c r="F790" s="2">
        <v>88.97</v>
      </c>
      <c r="H790" s="1">
        <f>_xlfn.XLOOKUP('Data Source 1_customer readings'!A790,'Data Source 1_customer readings'!A790:A3188,'Data Source 1_customer readings'!J790:J3188)</f>
        <v>0</v>
      </c>
    </row>
    <row r="791" spans="1:8" x14ac:dyDescent="0.2">
      <c r="A791" s="2" t="s">
        <v>44</v>
      </c>
      <c r="B791" s="2">
        <v>1</v>
      </c>
      <c r="C791" s="2">
        <v>9</v>
      </c>
      <c r="D791" s="2">
        <v>2021</v>
      </c>
      <c r="E791" s="2">
        <v>34.799999999999997</v>
      </c>
      <c r="F791" s="2">
        <v>94.2</v>
      </c>
      <c r="H791" s="1">
        <f>_xlfn.XLOOKUP('Data Source 1_customer readings'!A791,'Data Source 1_customer readings'!A791:A3189,'Data Source 1_customer readings'!J791:J3189)</f>
        <v>0</v>
      </c>
    </row>
    <row r="792" spans="1:8" x14ac:dyDescent="0.2">
      <c r="A792" s="2" t="s">
        <v>63</v>
      </c>
      <c r="B792" s="2">
        <v>25</v>
      </c>
      <c r="C792" s="2">
        <v>6</v>
      </c>
      <c r="D792" s="2">
        <v>2021</v>
      </c>
      <c r="E792" s="2">
        <v>34.5</v>
      </c>
      <c r="F792" s="2">
        <v>78.599999999999994</v>
      </c>
      <c r="H792" s="1">
        <f>_xlfn.XLOOKUP('Data Source 1_customer readings'!A792,'Data Source 1_customer readings'!A792:A3190,'Data Source 1_customer readings'!J792:J3190)</f>
        <v>0</v>
      </c>
    </row>
    <row r="793" spans="1:8" x14ac:dyDescent="0.2">
      <c r="A793" s="2" t="s">
        <v>44</v>
      </c>
      <c r="B793" s="2">
        <v>1</v>
      </c>
      <c r="C793" s="2">
        <v>7</v>
      </c>
      <c r="D793" s="2">
        <v>2021</v>
      </c>
      <c r="E793" s="2">
        <v>34.1</v>
      </c>
      <c r="F793" s="2">
        <v>108.19</v>
      </c>
      <c r="H793" s="1">
        <f>_xlfn.XLOOKUP('Data Source 1_customer readings'!A793,'Data Source 1_customer readings'!A793:A3191,'Data Source 1_customer readings'!J793:J3191)</f>
        <v>0</v>
      </c>
    </row>
    <row r="794" spans="1:8" x14ac:dyDescent="0.2">
      <c r="A794" s="2" t="s">
        <v>64</v>
      </c>
      <c r="B794" s="2">
        <v>21</v>
      </c>
      <c r="C794" s="2">
        <v>8</v>
      </c>
      <c r="D794" s="2">
        <v>2021</v>
      </c>
      <c r="E794" s="2">
        <v>34.1</v>
      </c>
      <c r="F794" s="2">
        <v>97.96</v>
      </c>
      <c r="H794" s="1">
        <f>_xlfn.XLOOKUP('Data Source 1_customer readings'!A794,'Data Source 1_customer readings'!A794:A3192,'Data Source 1_customer readings'!J794:J3192)</f>
        <v>0</v>
      </c>
    </row>
    <row r="795" spans="1:8" x14ac:dyDescent="0.2">
      <c r="A795" s="2" t="s">
        <v>47</v>
      </c>
      <c r="B795" s="2">
        <v>19</v>
      </c>
      <c r="C795" s="2">
        <v>8</v>
      </c>
      <c r="D795" s="2">
        <v>2021</v>
      </c>
      <c r="E795" s="2">
        <v>34.1</v>
      </c>
      <c r="F795" s="2">
        <v>75.33</v>
      </c>
      <c r="H795" s="1">
        <f>_xlfn.XLOOKUP('Data Source 1_customer readings'!A795,'Data Source 1_customer readings'!A795:A3193,'Data Source 1_customer readings'!J795:J3193)</f>
        <v>0</v>
      </c>
    </row>
    <row r="796" spans="1:8" x14ac:dyDescent="0.2">
      <c r="A796" s="2" t="s">
        <v>62</v>
      </c>
      <c r="B796" s="2">
        <v>1</v>
      </c>
      <c r="C796" s="2">
        <v>6</v>
      </c>
      <c r="D796" s="2">
        <v>2021</v>
      </c>
      <c r="E796" s="2">
        <v>33.9</v>
      </c>
      <c r="F796" s="2">
        <v>62.7</v>
      </c>
      <c r="H796" s="1">
        <f>_xlfn.XLOOKUP('Data Source 1_customer readings'!A796,'Data Source 1_customer readings'!A796:A3194,'Data Source 1_customer readings'!J796:J3194)</f>
        <v>0</v>
      </c>
    </row>
    <row r="797" spans="1:8" x14ac:dyDescent="0.2">
      <c r="A797" s="2" t="s">
        <v>55</v>
      </c>
      <c r="B797" s="2">
        <v>18</v>
      </c>
      <c r="C797" s="2">
        <v>7</v>
      </c>
      <c r="D797" s="2">
        <v>2021</v>
      </c>
      <c r="E797" s="2">
        <v>33.79</v>
      </c>
      <c r="F797" s="2">
        <v>73.47</v>
      </c>
      <c r="H797" s="1">
        <f>_xlfn.XLOOKUP('Data Source 1_customer readings'!A797,'Data Source 1_customer readings'!A797:A3195,'Data Source 1_customer readings'!J797:J3195)</f>
        <v>0</v>
      </c>
    </row>
    <row r="798" spans="1:8" x14ac:dyDescent="0.2">
      <c r="A798" s="2" t="s">
        <v>50</v>
      </c>
      <c r="B798" s="2">
        <v>24</v>
      </c>
      <c r="C798" s="2">
        <v>6</v>
      </c>
      <c r="D798" s="2">
        <v>2021</v>
      </c>
      <c r="E798" s="2">
        <v>33.6</v>
      </c>
      <c r="F798" s="2">
        <v>71.7</v>
      </c>
      <c r="H798" s="1">
        <f>_xlfn.XLOOKUP('Data Source 1_customer readings'!A798,'Data Source 1_customer readings'!A798:A3196,'Data Source 1_customer readings'!J798:J3196)</f>
        <v>0</v>
      </c>
    </row>
    <row r="799" spans="1:8" x14ac:dyDescent="0.2">
      <c r="A799" s="2" t="s">
        <v>45</v>
      </c>
      <c r="B799" s="2">
        <v>18</v>
      </c>
      <c r="C799" s="2">
        <v>7</v>
      </c>
      <c r="D799" s="2">
        <v>2021</v>
      </c>
      <c r="E799" s="2">
        <v>33.479999999999997</v>
      </c>
      <c r="F799" s="2">
        <v>70.37</v>
      </c>
      <c r="H799" s="1" t="b">
        <f>_xlfn.XLOOKUP('Data Source 1_customer readings'!A799,'Data Source 1_customer readings'!A799:A3197,'Data Source 1_customer readings'!J799:J3197)</f>
        <v>0</v>
      </c>
    </row>
    <row r="800" spans="1:8" x14ac:dyDescent="0.2">
      <c r="A800" s="2" t="s">
        <v>50</v>
      </c>
      <c r="B800" s="2">
        <v>24</v>
      </c>
      <c r="C800" s="2">
        <v>9</v>
      </c>
      <c r="D800" s="2">
        <v>2021</v>
      </c>
      <c r="E800" s="2">
        <v>33.299999999999997</v>
      </c>
      <c r="F800" s="2">
        <v>71.7</v>
      </c>
      <c r="H800" s="1">
        <f>_xlfn.XLOOKUP('Data Source 1_customer readings'!A800,'Data Source 1_customer readings'!A800:A3198,'Data Source 1_customer readings'!J800:J3198)</f>
        <v>0</v>
      </c>
    </row>
    <row r="801" spans="1:8" x14ac:dyDescent="0.2">
      <c r="A801" s="2" t="s">
        <v>52</v>
      </c>
      <c r="B801" s="2">
        <v>1</v>
      </c>
      <c r="C801" s="2">
        <v>7</v>
      </c>
      <c r="D801" s="2">
        <v>2021</v>
      </c>
      <c r="E801" s="2">
        <v>33.17</v>
      </c>
      <c r="F801" s="2">
        <v>86.18</v>
      </c>
      <c r="H801" s="1">
        <f>_xlfn.XLOOKUP('Data Source 1_customer readings'!A801,'Data Source 1_customer readings'!A801:A3199,'Data Source 1_customer readings'!J801:J3199)</f>
        <v>0</v>
      </c>
    </row>
    <row r="802" spans="1:8" x14ac:dyDescent="0.2">
      <c r="A802" s="2" t="s">
        <v>54</v>
      </c>
      <c r="B802" s="2">
        <v>5</v>
      </c>
      <c r="C802" s="2">
        <v>7</v>
      </c>
      <c r="D802" s="2">
        <v>2021</v>
      </c>
      <c r="E802" s="2">
        <v>32.549999999999997</v>
      </c>
      <c r="F802" s="2">
        <v>114.7</v>
      </c>
      <c r="H802" s="1">
        <f>_xlfn.XLOOKUP('Data Source 1_customer readings'!A802,'Data Source 1_customer readings'!A802:A3200,'Data Source 1_customer readings'!J802:J3200)</f>
        <v>0</v>
      </c>
    </row>
    <row r="803" spans="1:8" x14ac:dyDescent="0.2">
      <c r="A803" s="2" t="s">
        <v>58</v>
      </c>
      <c r="B803" s="2">
        <v>16</v>
      </c>
      <c r="C803" s="2">
        <v>9</v>
      </c>
      <c r="D803" s="2">
        <v>2021</v>
      </c>
      <c r="E803" s="2">
        <v>32.4</v>
      </c>
      <c r="F803" s="2">
        <v>76.8</v>
      </c>
      <c r="H803" s="1">
        <f>_xlfn.XLOOKUP('Data Source 1_customer readings'!A803,'Data Source 1_customer readings'!A803:A3201,'Data Source 1_customer readings'!J803:J3201)</f>
        <v>0</v>
      </c>
    </row>
    <row r="804" spans="1:8" x14ac:dyDescent="0.2">
      <c r="A804" s="2" t="s">
        <v>44</v>
      </c>
      <c r="B804" s="2">
        <v>1</v>
      </c>
      <c r="C804" s="2">
        <v>8</v>
      </c>
      <c r="D804" s="2">
        <v>2021</v>
      </c>
      <c r="E804" s="2">
        <v>32.24</v>
      </c>
      <c r="F804" s="2">
        <v>99.82</v>
      </c>
      <c r="H804" s="1">
        <f>_xlfn.XLOOKUP('Data Source 1_customer readings'!A804,'Data Source 1_customer readings'!A804:A3202,'Data Source 1_customer readings'!J804:J3202)</f>
        <v>0</v>
      </c>
    </row>
    <row r="805" spans="1:8" x14ac:dyDescent="0.2">
      <c r="A805" s="2" t="s">
        <v>53</v>
      </c>
      <c r="B805" s="2">
        <v>18</v>
      </c>
      <c r="C805" s="2">
        <v>7</v>
      </c>
      <c r="D805" s="2">
        <v>2021</v>
      </c>
      <c r="E805" s="2">
        <v>32.24</v>
      </c>
      <c r="F805" s="2">
        <v>81.53</v>
      </c>
      <c r="H805" s="1">
        <f>_xlfn.XLOOKUP('Data Source 1_customer readings'!A805,'Data Source 1_customer readings'!A805:A3203,'Data Source 1_customer readings'!J805:J3203)</f>
        <v>0</v>
      </c>
    </row>
    <row r="806" spans="1:8" x14ac:dyDescent="0.2">
      <c r="A806" s="2" t="s">
        <v>49</v>
      </c>
      <c r="B806" s="2">
        <v>3</v>
      </c>
      <c r="C806" s="2">
        <v>5</v>
      </c>
      <c r="D806" s="2">
        <v>2021</v>
      </c>
      <c r="E806" s="2">
        <v>32.24</v>
      </c>
      <c r="F806" s="2">
        <v>68.510000000000005</v>
      </c>
      <c r="H806" s="1">
        <f>_xlfn.XLOOKUP('Data Source 1_customer readings'!A806,'Data Source 1_customer readings'!A806:A3204,'Data Source 1_customer readings'!J806:J3204)</f>
        <v>0</v>
      </c>
    </row>
    <row r="807" spans="1:8" x14ac:dyDescent="0.2">
      <c r="A807" s="2" t="s">
        <v>52</v>
      </c>
      <c r="B807" s="2">
        <v>1</v>
      </c>
      <c r="C807" s="2">
        <v>9</v>
      </c>
      <c r="D807" s="2">
        <v>2021</v>
      </c>
      <c r="E807" s="2">
        <v>32.1</v>
      </c>
      <c r="F807" s="2">
        <v>93.9</v>
      </c>
      <c r="H807" s="1">
        <f>_xlfn.XLOOKUP('Data Source 1_customer readings'!A807,'Data Source 1_customer readings'!A807:A3205,'Data Source 1_customer readings'!J807:J3205)</f>
        <v>0</v>
      </c>
    </row>
    <row r="808" spans="1:8" x14ac:dyDescent="0.2">
      <c r="A808" s="2" t="s">
        <v>57</v>
      </c>
      <c r="B808" s="2">
        <v>17</v>
      </c>
      <c r="C808" s="2">
        <v>7</v>
      </c>
      <c r="D808" s="2">
        <v>2021</v>
      </c>
      <c r="E808" s="2">
        <v>31.93</v>
      </c>
      <c r="F808" s="2">
        <v>79.67</v>
      </c>
      <c r="H808" s="1" t="b">
        <f>_xlfn.XLOOKUP('Data Source 1_customer readings'!A808,'Data Source 1_customer readings'!A808:A3206,'Data Source 1_customer readings'!J808:J3206)</f>
        <v>0</v>
      </c>
    </row>
    <row r="809" spans="1:8" x14ac:dyDescent="0.2">
      <c r="A809" s="2" t="s">
        <v>40</v>
      </c>
      <c r="B809" s="2">
        <v>15</v>
      </c>
      <c r="C809" s="2">
        <v>5</v>
      </c>
      <c r="D809" s="2">
        <v>2021</v>
      </c>
      <c r="E809" s="2">
        <v>31.93</v>
      </c>
      <c r="F809" s="2">
        <v>78.430000000000007</v>
      </c>
      <c r="H809" s="1">
        <f>_xlfn.XLOOKUP('Data Source 1_customer readings'!A809,'Data Source 1_customer readings'!A809:A3207,'Data Source 1_customer readings'!J809:J3207)</f>
        <v>0</v>
      </c>
    </row>
    <row r="810" spans="1:8" x14ac:dyDescent="0.2">
      <c r="A810" s="2" t="s">
        <v>47</v>
      </c>
      <c r="B810" s="2">
        <v>19</v>
      </c>
      <c r="C810" s="2">
        <v>6</v>
      </c>
      <c r="D810" s="2">
        <v>2021</v>
      </c>
      <c r="E810" s="2">
        <v>31.8</v>
      </c>
      <c r="F810" s="2">
        <v>78.900000000000006</v>
      </c>
      <c r="H810" s="1">
        <f>_xlfn.XLOOKUP('Data Source 1_customer readings'!A810,'Data Source 1_customer readings'!A810:A3208,'Data Source 1_customer readings'!J810:J3208)</f>
        <v>0</v>
      </c>
    </row>
    <row r="811" spans="1:8" x14ac:dyDescent="0.2">
      <c r="A811" s="2" t="s">
        <v>40</v>
      </c>
      <c r="B811" s="2">
        <v>15</v>
      </c>
      <c r="C811" s="2">
        <v>7</v>
      </c>
      <c r="D811" s="2">
        <v>2021</v>
      </c>
      <c r="E811" s="2">
        <v>31.62</v>
      </c>
      <c r="F811" s="2">
        <v>87.11</v>
      </c>
      <c r="H811" s="1">
        <f>_xlfn.XLOOKUP('Data Source 1_customer readings'!A811,'Data Source 1_customer readings'!A811:A3209,'Data Source 1_customer readings'!J811:J3209)</f>
        <v>0</v>
      </c>
    </row>
    <row r="812" spans="1:8" x14ac:dyDescent="0.2">
      <c r="A812" s="2" t="s">
        <v>51</v>
      </c>
      <c r="B812" s="2">
        <v>16</v>
      </c>
      <c r="C812" s="2">
        <v>8</v>
      </c>
      <c r="D812" s="2">
        <v>2021</v>
      </c>
      <c r="E812" s="2">
        <v>31.62</v>
      </c>
      <c r="F812" s="2">
        <v>86.8</v>
      </c>
      <c r="H812" s="1">
        <f>_xlfn.XLOOKUP('Data Source 1_customer readings'!A812,'Data Source 1_customer readings'!A812:A3210,'Data Source 1_customer readings'!J812:J3210)</f>
        <v>0</v>
      </c>
    </row>
    <row r="813" spans="1:8" x14ac:dyDescent="0.2">
      <c r="A813" s="2" t="s">
        <v>41</v>
      </c>
      <c r="B813" s="2">
        <v>15</v>
      </c>
      <c r="C813" s="2">
        <v>5</v>
      </c>
      <c r="D813" s="2">
        <v>2021</v>
      </c>
      <c r="E813" s="2">
        <v>31.62</v>
      </c>
      <c r="F813" s="2">
        <v>84.01</v>
      </c>
      <c r="H813" s="1">
        <f>_xlfn.XLOOKUP('Data Source 1_customer readings'!A813,'Data Source 1_customer readings'!A813:A3211,'Data Source 1_customer readings'!J813:J3211)</f>
        <v>0</v>
      </c>
    </row>
    <row r="814" spans="1:8" x14ac:dyDescent="0.2">
      <c r="A814" s="2" t="s">
        <v>39</v>
      </c>
      <c r="B814" s="2">
        <v>22</v>
      </c>
      <c r="C814" s="2">
        <v>7</v>
      </c>
      <c r="D814" s="2">
        <v>2021</v>
      </c>
      <c r="E814" s="2">
        <v>31.62</v>
      </c>
      <c r="F814" s="2">
        <v>83.7</v>
      </c>
      <c r="H814" s="1">
        <f>_xlfn.XLOOKUP('Data Source 1_customer readings'!A814,'Data Source 1_customer readings'!A814:A3212,'Data Source 1_customer readings'!J814:J3212)</f>
        <v>0</v>
      </c>
    </row>
    <row r="815" spans="1:8" x14ac:dyDescent="0.2">
      <c r="A815" s="2" t="s">
        <v>46</v>
      </c>
      <c r="B815" s="2">
        <v>9</v>
      </c>
      <c r="C815" s="2">
        <v>9</v>
      </c>
      <c r="D815" s="2">
        <v>2021</v>
      </c>
      <c r="E815" s="2">
        <v>31.5</v>
      </c>
      <c r="F815" s="2">
        <v>87</v>
      </c>
      <c r="H815" s="1">
        <f>_xlfn.XLOOKUP('Data Source 1_customer readings'!A815,'Data Source 1_customer readings'!A815:A3213,'Data Source 1_customer readings'!J815:J3213)</f>
        <v>0</v>
      </c>
    </row>
    <row r="816" spans="1:8" x14ac:dyDescent="0.2">
      <c r="A816" s="2" t="s">
        <v>57</v>
      </c>
      <c r="B816" s="2">
        <v>17</v>
      </c>
      <c r="C816" s="2">
        <v>8</v>
      </c>
      <c r="D816" s="2">
        <v>2021</v>
      </c>
      <c r="E816" s="2">
        <v>31.31</v>
      </c>
      <c r="F816" s="2">
        <v>80.91</v>
      </c>
      <c r="H816" s="1">
        <f>_xlfn.XLOOKUP('Data Source 1_customer readings'!A816,'Data Source 1_customer readings'!A816:A3214,'Data Source 1_customer readings'!J816:J3214)</f>
        <v>0</v>
      </c>
    </row>
    <row r="817" spans="1:8" x14ac:dyDescent="0.2">
      <c r="A817" s="2" t="s">
        <v>40</v>
      </c>
      <c r="B817" s="2">
        <v>15</v>
      </c>
      <c r="C817" s="2">
        <v>6</v>
      </c>
      <c r="D817" s="2">
        <v>2021</v>
      </c>
      <c r="E817" s="2">
        <v>31.2</v>
      </c>
      <c r="F817" s="2">
        <v>70.8</v>
      </c>
      <c r="H817" s="1">
        <f>_xlfn.XLOOKUP('Data Source 1_customer readings'!A817,'Data Source 1_customer readings'!A817:A3215,'Data Source 1_customer readings'!J817:J3215)</f>
        <v>0</v>
      </c>
    </row>
    <row r="818" spans="1:8" x14ac:dyDescent="0.2">
      <c r="A818" s="2" t="s">
        <v>39</v>
      </c>
      <c r="B818" s="2">
        <v>22</v>
      </c>
      <c r="C818" s="2">
        <v>6</v>
      </c>
      <c r="D818" s="2">
        <v>2021</v>
      </c>
      <c r="E818" s="2">
        <v>30.6</v>
      </c>
      <c r="F818" s="2">
        <v>83.7</v>
      </c>
      <c r="H818" s="1">
        <f>_xlfn.XLOOKUP('Data Source 1_customer readings'!A818,'Data Source 1_customer readings'!A818:A3216,'Data Source 1_customer readings'!J818:J3216)</f>
        <v>0</v>
      </c>
    </row>
    <row r="819" spans="1:8" x14ac:dyDescent="0.2">
      <c r="A819" s="2" t="s">
        <v>47</v>
      </c>
      <c r="B819" s="2">
        <v>19</v>
      </c>
      <c r="C819" s="2">
        <v>7</v>
      </c>
      <c r="D819" s="2">
        <v>2021</v>
      </c>
      <c r="E819" s="2">
        <v>30.07</v>
      </c>
      <c r="F819" s="2">
        <v>82.77</v>
      </c>
      <c r="H819" s="1">
        <f>_xlfn.XLOOKUP('Data Source 1_customer readings'!A819,'Data Source 1_customer readings'!A819:A3217,'Data Source 1_customer readings'!J819:J3217)</f>
        <v>0</v>
      </c>
    </row>
    <row r="820" spans="1:8" x14ac:dyDescent="0.2">
      <c r="A820" s="2" t="s">
        <v>38</v>
      </c>
      <c r="B820" s="2">
        <v>21</v>
      </c>
      <c r="C820" s="2">
        <v>9</v>
      </c>
      <c r="D820" s="2">
        <v>2021</v>
      </c>
      <c r="E820" s="2">
        <v>30</v>
      </c>
      <c r="F820" s="2">
        <v>73.5</v>
      </c>
      <c r="H820" s="1">
        <f>_xlfn.XLOOKUP('Data Source 1_customer readings'!A820,'Data Source 1_customer readings'!A820:A3218,'Data Source 1_customer readings'!J820:J3218)</f>
        <v>0</v>
      </c>
    </row>
    <row r="821" spans="1:8" x14ac:dyDescent="0.2">
      <c r="A821" s="2" t="s">
        <v>37</v>
      </c>
      <c r="B821" s="2">
        <v>12</v>
      </c>
      <c r="C821" s="2">
        <v>7</v>
      </c>
      <c r="D821" s="2">
        <v>2021</v>
      </c>
      <c r="E821" s="2">
        <v>29.76</v>
      </c>
      <c r="F821" s="2">
        <v>75.33</v>
      </c>
      <c r="H821" s="1" t="b">
        <f>_xlfn.XLOOKUP('Data Source 1_customer readings'!A821,'Data Source 1_customer readings'!A821:A3219,'Data Source 1_customer readings'!J821:J3219)</f>
        <v>0</v>
      </c>
    </row>
    <row r="822" spans="1:8" x14ac:dyDescent="0.2">
      <c r="A822" s="2" t="s">
        <v>39</v>
      </c>
      <c r="B822" s="2">
        <v>22</v>
      </c>
      <c r="C822" s="2">
        <v>8</v>
      </c>
      <c r="D822" s="2">
        <v>2021</v>
      </c>
      <c r="E822" s="2">
        <v>29.45</v>
      </c>
      <c r="F822" s="2">
        <v>81.53</v>
      </c>
      <c r="H822" s="1">
        <f>_xlfn.XLOOKUP('Data Source 1_customer readings'!A822,'Data Source 1_customer readings'!A822:A3220,'Data Source 1_customer readings'!J822:J3220)</f>
        <v>0</v>
      </c>
    </row>
    <row r="823" spans="1:8" x14ac:dyDescent="0.2">
      <c r="A823" s="2" t="s">
        <v>36</v>
      </c>
      <c r="B823" s="2">
        <v>12</v>
      </c>
      <c r="C823" s="2">
        <v>7</v>
      </c>
      <c r="D823" s="2">
        <v>2021</v>
      </c>
      <c r="E823" s="2">
        <v>29.45</v>
      </c>
      <c r="F823" s="2">
        <v>77.19</v>
      </c>
      <c r="H823" s="1">
        <f>_xlfn.XLOOKUP('Data Source 1_customer readings'!A823,'Data Source 1_customer readings'!A823:A3221,'Data Source 1_customer readings'!J823:J3221)</f>
        <v>0</v>
      </c>
    </row>
    <row r="824" spans="1:8" x14ac:dyDescent="0.2">
      <c r="A824" s="2" t="s">
        <v>35</v>
      </c>
      <c r="B824" s="2">
        <v>9</v>
      </c>
      <c r="C824" s="2">
        <v>8</v>
      </c>
      <c r="D824" s="2">
        <v>2021</v>
      </c>
      <c r="E824" s="2">
        <v>29.14</v>
      </c>
      <c r="F824" s="2">
        <v>65.72</v>
      </c>
      <c r="H824" s="1">
        <f>_xlfn.XLOOKUP('Data Source 1_customer readings'!A824,'Data Source 1_customer readings'!A824:A3222,'Data Source 1_customer readings'!J824:J3222)</f>
        <v>0</v>
      </c>
    </row>
    <row r="825" spans="1:8" x14ac:dyDescent="0.2">
      <c r="A825" s="2" t="s">
        <v>37</v>
      </c>
      <c r="B825" s="2">
        <v>12</v>
      </c>
      <c r="C825" s="2">
        <v>6</v>
      </c>
      <c r="D825" s="2">
        <v>2021</v>
      </c>
      <c r="E825" s="2">
        <v>29.1</v>
      </c>
      <c r="F825" s="2">
        <v>87.3</v>
      </c>
      <c r="H825" s="1">
        <f>_xlfn.XLOOKUP('Data Source 1_customer readings'!A825,'Data Source 1_customer readings'!A825:A3223,'Data Source 1_customer readings'!J825:J3223)</f>
        <v>0</v>
      </c>
    </row>
    <row r="826" spans="1:8" x14ac:dyDescent="0.2">
      <c r="A826" s="2" t="s">
        <v>37</v>
      </c>
      <c r="B826" s="2">
        <v>12</v>
      </c>
      <c r="C826" s="2">
        <v>5</v>
      </c>
      <c r="D826" s="2">
        <v>2021</v>
      </c>
      <c r="E826" s="2">
        <v>28.83</v>
      </c>
      <c r="F826" s="2">
        <v>87.73</v>
      </c>
      <c r="H826" s="1" t="b">
        <f>_xlfn.XLOOKUP('Data Source 1_customer readings'!A826,'Data Source 1_customer readings'!A826:A3224,'Data Source 1_customer readings'!J826:J3224)</f>
        <v>1</v>
      </c>
    </row>
    <row r="827" spans="1:8" x14ac:dyDescent="0.2">
      <c r="A827" s="2" t="s">
        <v>51</v>
      </c>
      <c r="B827" s="2">
        <v>16</v>
      </c>
      <c r="C827" s="2">
        <v>7</v>
      </c>
      <c r="D827" s="2">
        <v>2021</v>
      </c>
      <c r="E827" s="2">
        <v>28.83</v>
      </c>
      <c r="F827" s="2">
        <v>87.11</v>
      </c>
      <c r="H827" s="1">
        <f>_xlfn.XLOOKUP('Data Source 1_customer readings'!A827,'Data Source 1_customer readings'!A827:A3225,'Data Source 1_customer readings'!J827:J3225)</f>
        <v>0</v>
      </c>
    </row>
    <row r="828" spans="1:8" x14ac:dyDescent="0.2">
      <c r="A828" s="2" t="s">
        <v>55</v>
      </c>
      <c r="B828" s="2">
        <v>18</v>
      </c>
      <c r="C828" s="2">
        <v>6</v>
      </c>
      <c r="D828" s="2">
        <v>2021</v>
      </c>
      <c r="E828" s="2">
        <v>28.8</v>
      </c>
      <c r="F828" s="2">
        <v>76.2</v>
      </c>
      <c r="H828" s="1">
        <f>_xlfn.XLOOKUP('Data Source 1_customer readings'!A828,'Data Source 1_customer readings'!A828:A3226,'Data Source 1_customer readings'!J828:J3226)</f>
        <v>0</v>
      </c>
    </row>
    <row r="829" spans="1:8" x14ac:dyDescent="0.2">
      <c r="A829" s="2" t="s">
        <v>36</v>
      </c>
      <c r="B829" s="2">
        <v>12</v>
      </c>
      <c r="C829" s="2">
        <v>6</v>
      </c>
      <c r="D829" s="2">
        <v>2021</v>
      </c>
      <c r="E829" s="2">
        <v>28.8</v>
      </c>
      <c r="F829" s="2">
        <v>68.099999999999994</v>
      </c>
      <c r="H829" s="1">
        <f>_xlfn.XLOOKUP('Data Source 1_customer readings'!A829,'Data Source 1_customer readings'!A829:A3227,'Data Source 1_customer readings'!J829:J3227)</f>
        <v>0</v>
      </c>
    </row>
    <row r="830" spans="1:8" x14ac:dyDescent="0.2">
      <c r="A830" s="2" t="s">
        <v>34</v>
      </c>
      <c r="B830" s="2">
        <v>4</v>
      </c>
      <c r="C830" s="2">
        <v>7</v>
      </c>
      <c r="D830" s="2">
        <v>2021</v>
      </c>
      <c r="E830" s="2">
        <v>28.52</v>
      </c>
      <c r="F830" s="2">
        <v>69.75</v>
      </c>
      <c r="H830" s="1">
        <f>_xlfn.XLOOKUP('Data Source 1_customer readings'!A830,'Data Source 1_customer readings'!A830:A3228,'Data Source 1_customer readings'!J830:J3228)</f>
        <v>0</v>
      </c>
    </row>
    <row r="831" spans="1:8" x14ac:dyDescent="0.2">
      <c r="A831" s="2" t="s">
        <v>44</v>
      </c>
      <c r="B831" s="2">
        <v>1</v>
      </c>
      <c r="C831" s="2">
        <v>6</v>
      </c>
      <c r="D831" s="2">
        <v>2021</v>
      </c>
      <c r="E831" s="2">
        <v>28.5</v>
      </c>
      <c r="F831" s="2">
        <v>81</v>
      </c>
      <c r="H831" s="1">
        <f>_xlfn.XLOOKUP('Data Source 1_customer readings'!A831,'Data Source 1_customer readings'!A831:A3229,'Data Source 1_customer readings'!J831:J3229)</f>
        <v>0</v>
      </c>
    </row>
    <row r="832" spans="1:8" x14ac:dyDescent="0.2">
      <c r="A832" s="2" t="s">
        <v>43</v>
      </c>
      <c r="B832" s="2">
        <v>15</v>
      </c>
      <c r="C832" s="2">
        <v>8</v>
      </c>
      <c r="D832" s="2">
        <v>2021</v>
      </c>
      <c r="E832" s="2">
        <v>28.21</v>
      </c>
      <c r="F832" s="2">
        <v>92.07</v>
      </c>
      <c r="H832" s="1">
        <f>_xlfn.XLOOKUP('Data Source 1_customer readings'!A832,'Data Source 1_customer readings'!A832:A3230,'Data Source 1_customer readings'!J832:J3230)</f>
        <v>0</v>
      </c>
    </row>
    <row r="833" spans="1:8" x14ac:dyDescent="0.2">
      <c r="A833" s="2" t="s">
        <v>50</v>
      </c>
      <c r="B833" s="2">
        <v>24</v>
      </c>
      <c r="C833" s="2">
        <v>7</v>
      </c>
      <c r="D833" s="2">
        <v>2021</v>
      </c>
      <c r="E833" s="2">
        <v>28.21</v>
      </c>
      <c r="F833" s="2">
        <v>75.02</v>
      </c>
      <c r="H833" s="1">
        <f>_xlfn.XLOOKUP('Data Source 1_customer readings'!A833,'Data Source 1_customer readings'!A833:A3231,'Data Source 1_customer readings'!J833:J3231)</f>
        <v>0</v>
      </c>
    </row>
    <row r="834" spans="1:8" x14ac:dyDescent="0.2">
      <c r="A834" s="2" t="s">
        <v>45</v>
      </c>
      <c r="B834" s="2">
        <v>18</v>
      </c>
      <c r="C834" s="2">
        <v>8</v>
      </c>
      <c r="D834" s="2">
        <v>2021</v>
      </c>
      <c r="E834" s="2">
        <v>27.9</v>
      </c>
      <c r="F834" s="2">
        <v>92.07</v>
      </c>
      <c r="H834" s="1">
        <f>_xlfn.XLOOKUP('Data Source 1_customer readings'!A834,'Data Source 1_customer readings'!A834:A3232,'Data Source 1_customer readings'!J834:J3232)</f>
        <v>0</v>
      </c>
    </row>
    <row r="835" spans="1:8" x14ac:dyDescent="0.2">
      <c r="A835" s="2" t="s">
        <v>34</v>
      </c>
      <c r="B835" s="2">
        <v>4</v>
      </c>
      <c r="C835" s="2">
        <v>5</v>
      </c>
      <c r="D835" s="2">
        <v>2021</v>
      </c>
      <c r="E835" s="2">
        <v>27.9</v>
      </c>
      <c r="F835" s="2">
        <v>69.13</v>
      </c>
      <c r="H835" s="1">
        <f>_xlfn.XLOOKUP('Data Source 1_customer readings'!A835,'Data Source 1_customer readings'!A835:A3233,'Data Source 1_customer readings'!J835:J3233)</f>
        <v>0</v>
      </c>
    </row>
    <row r="836" spans="1:8" x14ac:dyDescent="0.2">
      <c r="A836" s="2" t="s">
        <v>34</v>
      </c>
      <c r="B836" s="2">
        <v>4</v>
      </c>
      <c r="C836" s="2">
        <v>6</v>
      </c>
      <c r="D836" s="2">
        <v>2021</v>
      </c>
      <c r="E836" s="2">
        <v>27.9</v>
      </c>
      <c r="F836" s="2">
        <v>67.5</v>
      </c>
      <c r="H836" s="1">
        <f>_xlfn.XLOOKUP('Data Source 1_customer readings'!A836,'Data Source 1_customer readings'!A836:A3234,'Data Source 1_customer readings'!J836:J3234)</f>
        <v>0</v>
      </c>
    </row>
    <row r="837" spans="1:8" x14ac:dyDescent="0.2">
      <c r="A837" s="2" t="s">
        <v>47</v>
      </c>
      <c r="B837" s="2">
        <v>19</v>
      </c>
      <c r="C837" s="2">
        <v>9</v>
      </c>
      <c r="D837" s="2">
        <v>2021</v>
      </c>
      <c r="E837" s="2">
        <v>27.6</v>
      </c>
      <c r="F837" s="2">
        <v>87.6</v>
      </c>
      <c r="H837" s="1">
        <f>_xlfn.XLOOKUP('Data Source 1_customer readings'!A837,'Data Source 1_customer readings'!A837:A3235,'Data Source 1_customer readings'!J837:J3235)</f>
        <v>0</v>
      </c>
    </row>
    <row r="838" spans="1:8" x14ac:dyDescent="0.2">
      <c r="A838" s="2" t="s">
        <v>53</v>
      </c>
      <c r="B838" s="2">
        <v>18</v>
      </c>
      <c r="C838" s="2">
        <v>6</v>
      </c>
      <c r="D838" s="2">
        <v>2021</v>
      </c>
      <c r="E838" s="2">
        <v>27.6</v>
      </c>
      <c r="F838" s="2">
        <v>75.3</v>
      </c>
      <c r="H838" s="1">
        <f>_xlfn.XLOOKUP('Data Source 1_customer readings'!A838,'Data Source 1_customer readings'!A838:A3236,'Data Source 1_customer readings'!J838:J3236)</f>
        <v>0</v>
      </c>
    </row>
    <row r="839" spans="1:8" x14ac:dyDescent="0.2">
      <c r="A839" s="2" t="s">
        <v>53</v>
      </c>
      <c r="B839" s="2">
        <v>18</v>
      </c>
      <c r="C839" s="2">
        <v>8</v>
      </c>
      <c r="D839" s="2">
        <v>2021</v>
      </c>
      <c r="E839" s="2">
        <v>27.59</v>
      </c>
      <c r="F839" s="2">
        <v>84.63</v>
      </c>
      <c r="H839" s="1">
        <f>_xlfn.XLOOKUP('Data Source 1_customer readings'!A839,'Data Source 1_customer readings'!A839:A3237,'Data Source 1_customer readings'!J839:J3237)</f>
        <v>0</v>
      </c>
    </row>
    <row r="840" spans="1:8" x14ac:dyDescent="0.2">
      <c r="A840" s="2" t="s">
        <v>51</v>
      </c>
      <c r="B840" s="2">
        <v>16</v>
      </c>
      <c r="C840" s="2">
        <v>6</v>
      </c>
      <c r="D840" s="2">
        <v>2021</v>
      </c>
      <c r="E840" s="2">
        <v>27</v>
      </c>
      <c r="F840" s="2">
        <v>85.2</v>
      </c>
      <c r="H840" s="1">
        <f>_xlfn.XLOOKUP('Data Source 1_customer readings'!A840,'Data Source 1_customer readings'!A840:A3238,'Data Source 1_customer readings'!J840:J3238)</f>
        <v>0</v>
      </c>
    </row>
    <row r="841" spans="1:8" x14ac:dyDescent="0.2">
      <c r="A841" s="2" t="s">
        <v>50</v>
      </c>
      <c r="B841" s="2">
        <v>24</v>
      </c>
      <c r="C841" s="2">
        <v>8</v>
      </c>
      <c r="D841" s="2">
        <v>2021</v>
      </c>
      <c r="E841" s="2">
        <v>26.97</v>
      </c>
      <c r="F841" s="2">
        <v>63.24</v>
      </c>
      <c r="H841" s="1">
        <f>_xlfn.XLOOKUP('Data Source 1_customer readings'!A841,'Data Source 1_customer readings'!A841:A3239,'Data Source 1_customer readings'!J841:J3239)</f>
        <v>0</v>
      </c>
    </row>
    <row r="842" spans="1:8" x14ac:dyDescent="0.2">
      <c r="A842" s="2" t="s">
        <v>36</v>
      </c>
      <c r="B842" s="2">
        <v>12</v>
      </c>
      <c r="C842" s="2">
        <v>9</v>
      </c>
      <c r="D842" s="2">
        <v>2021</v>
      </c>
      <c r="E842" s="2">
        <v>26.7</v>
      </c>
      <c r="F842" s="2">
        <v>62.4</v>
      </c>
      <c r="H842" s="1">
        <f>_xlfn.XLOOKUP('Data Source 1_customer readings'!A842,'Data Source 1_customer readings'!A842:A3240,'Data Source 1_customer readings'!J842:J3240)</f>
        <v>0</v>
      </c>
    </row>
    <row r="843" spans="1:8" x14ac:dyDescent="0.2">
      <c r="A843" s="2" t="s">
        <v>41</v>
      </c>
      <c r="B843" s="2">
        <v>15</v>
      </c>
      <c r="C843" s="2">
        <v>7</v>
      </c>
      <c r="D843" s="2">
        <v>2021</v>
      </c>
      <c r="E843" s="2">
        <v>26.66</v>
      </c>
      <c r="F843" s="2">
        <v>89.28</v>
      </c>
      <c r="H843" s="1">
        <f>_xlfn.XLOOKUP('Data Source 1_customer readings'!A843,'Data Source 1_customer readings'!A843:A3241,'Data Source 1_customer readings'!J843:J3241)</f>
        <v>0</v>
      </c>
    </row>
    <row r="844" spans="1:8" x14ac:dyDescent="0.2">
      <c r="A844" s="2" t="s">
        <v>42</v>
      </c>
      <c r="B844" s="2">
        <v>12</v>
      </c>
      <c r="C844" s="2">
        <v>8</v>
      </c>
      <c r="D844" s="2">
        <v>2021</v>
      </c>
      <c r="E844" s="2">
        <v>26.66</v>
      </c>
      <c r="F844" s="2">
        <v>66.34</v>
      </c>
      <c r="H844" s="1">
        <f>_xlfn.XLOOKUP('Data Source 1_customer readings'!A844,'Data Source 1_customer readings'!A844:A3242,'Data Source 1_customer readings'!J844:J3242)</f>
        <v>0</v>
      </c>
    </row>
    <row r="845" spans="1:8" x14ac:dyDescent="0.2">
      <c r="A845" s="2" t="s">
        <v>49</v>
      </c>
      <c r="B845" s="2">
        <v>3</v>
      </c>
      <c r="C845" s="2">
        <v>6</v>
      </c>
      <c r="D845" s="2">
        <v>2021</v>
      </c>
      <c r="E845" s="2">
        <v>26.4</v>
      </c>
      <c r="F845" s="2">
        <v>67.2</v>
      </c>
      <c r="H845" s="1">
        <f>_xlfn.XLOOKUP('Data Source 1_customer readings'!A845,'Data Source 1_customer readings'!A845:A3243,'Data Source 1_customer readings'!J845:J3243)</f>
        <v>0</v>
      </c>
    </row>
    <row r="846" spans="1:8" x14ac:dyDescent="0.2">
      <c r="A846" s="2" t="s">
        <v>46</v>
      </c>
      <c r="B846" s="2">
        <v>9</v>
      </c>
      <c r="C846" s="2">
        <v>7</v>
      </c>
      <c r="D846" s="2">
        <v>2021</v>
      </c>
      <c r="E846" s="2">
        <v>26.35</v>
      </c>
      <c r="F846" s="2">
        <v>92.38</v>
      </c>
      <c r="H846" s="1">
        <f>_xlfn.XLOOKUP('Data Source 1_customer readings'!A846,'Data Source 1_customer readings'!A846:A3244,'Data Source 1_customer readings'!J846:J3244)</f>
        <v>0</v>
      </c>
    </row>
    <row r="847" spans="1:8" x14ac:dyDescent="0.2">
      <c r="A847" s="2" t="s">
        <v>35</v>
      </c>
      <c r="B847" s="2">
        <v>9</v>
      </c>
      <c r="C847" s="2">
        <v>5</v>
      </c>
      <c r="D847" s="2">
        <v>2021</v>
      </c>
      <c r="E847" s="2">
        <v>26.35</v>
      </c>
      <c r="F847" s="2">
        <v>68.510000000000005</v>
      </c>
      <c r="H847" s="1" t="b">
        <f>_xlfn.XLOOKUP('Data Source 1_customer readings'!A847,'Data Source 1_customer readings'!A847:A3245,'Data Source 1_customer readings'!J847:J3245)</f>
        <v>0</v>
      </c>
    </row>
    <row r="848" spans="1:8" x14ac:dyDescent="0.2">
      <c r="A848" s="2" t="s">
        <v>42</v>
      </c>
      <c r="B848" s="2">
        <v>12</v>
      </c>
      <c r="C848" s="2">
        <v>7</v>
      </c>
      <c r="D848" s="2">
        <v>2021</v>
      </c>
      <c r="E848" s="2">
        <v>25.73</v>
      </c>
      <c r="F848" s="2">
        <v>80.290000000000006</v>
      </c>
      <c r="H848" s="1">
        <f>_xlfn.XLOOKUP('Data Source 1_customer readings'!A848,'Data Source 1_customer readings'!A848:A3246,'Data Source 1_customer readings'!J848:J3246)</f>
        <v>0</v>
      </c>
    </row>
    <row r="849" spans="1:8" x14ac:dyDescent="0.2">
      <c r="A849" s="2" t="s">
        <v>35</v>
      </c>
      <c r="B849" s="2">
        <v>9</v>
      </c>
      <c r="C849" s="2">
        <v>9</v>
      </c>
      <c r="D849" s="2">
        <v>2021</v>
      </c>
      <c r="E849" s="2">
        <v>25.5</v>
      </c>
      <c r="F849" s="2">
        <v>61.5</v>
      </c>
      <c r="H849" s="1">
        <f>_xlfn.XLOOKUP('Data Source 1_customer readings'!A849,'Data Source 1_customer readings'!A849:A3247,'Data Source 1_customer readings'!J849:J3247)</f>
        <v>0</v>
      </c>
    </row>
    <row r="850" spans="1:8" x14ac:dyDescent="0.2">
      <c r="A850" s="2" t="s">
        <v>46</v>
      </c>
      <c r="B850" s="2">
        <v>9</v>
      </c>
      <c r="C850" s="2">
        <v>8</v>
      </c>
      <c r="D850" s="2">
        <v>2021</v>
      </c>
      <c r="E850" s="2">
        <v>25.42</v>
      </c>
      <c r="F850" s="2">
        <v>71.61</v>
      </c>
      <c r="H850" s="1">
        <f>_xlfn.XLOOKUP('Data Source 1_customer readings'!A850,'Data Source 1_customer readings'!A850:A3248,'Data Source 1_customer readings'!J850:J3248)</f>
        <v>0</v>
      </c>
    </row>
    <row r="851" spans="1:8" x14ac:dyDescent="0.2">
      <c r="A851" s="2" t="s">
        <v>39</v>
      </c>
      <c r="B851" s="2">
        <v>22</v>
      </c>
      <c r="C851" s="2">
        <v>9</v>
      </c>
      <c r="D851" s="2">
        <v>2021</v>
      </c>
      <c r="E851" s="2">
        <v>25.2</v>
      </c>
      <c r="F851" s="2">
        <v>77.400000000000006</v>
      </c>
      <c r="H851" s="1" t="b">
        <f>_xlfn.XLOOKUP('Data Source 1_customer readings'!A851,'Data Source 1_customer readings'!A851:A3249,'Data Source 1_customer readings'!J851:J3249)</f>
        <v>0</v>
      </c>
    </row>
    <row r="852" spans="1:8" x14ac:dyDescent="0.2">
      <c r="A852" s="2" t="s">
        <v>40</v>
      </c>
      <c r="B852" s="2">
        <v>15</v>
      </c>
      <c r="C852" s="2">
        <v>8</v>
      </c>
      <c r="D852" s="2">
        <v>2021</v>
      </c>
      <c r="E852" s="2">
        <v>25.11</v>
      </c>
      <c r="F852" s="2">
        <v>87.42</v>
      </c>
      <c r="H852" s="1">
        <f>_xlfn.XLOOKUP('Data Source 1_customer readings'!A852,'Data Source 1_customer readings'!A852:A3250,'Data Source 1_customer readings'!J852:J3250)</f>
        <v>0</v>
      </c>
    </row>
    <row r="853" spans="1:8" x14ac:dyDescent="0.2">
      <c r="A853" s="2" t="s">
        <v>42</v>
      </c>
      <c r="B853" s="2">
        <v>12</v>
      </c>
      <c r="C853" s="2">
        <v>9</v>
      </c>
      <c r="D853" s="2">
        <v>2021</v>
      </c>
      <c r="E853" s="2">
        <v>24.9</v>
      </c>
      <c r="F853" s="2">
        <v>61.8</v>
      </c>
      <c r="H853" s="1">
        <f>_xlfn.XLOOKUP('Data Source 1_customer readings'!A853,'Data Source 1_customer readings'!A853:A3251,'Data Source 1_customer readings'!J853:J3251)</f>
        <v>0</v>
      </c>
    </row>
    <row r="854" spans="1:8" x14ac:dyDescent="0.2">
      <c r="A854" s="2" t="s">
        <v>46</v>
      </c>
      <c r="B854" s="2">
        <v>9</v>
      </c>
      <c r="C854" s="2">
        <v>6</v>
      </c>
      <c r="D854" s="2">
        <v>2021</v>
      </c>
      <c r="E854" s="2">
        <v>24.6</v>
      </c>
      <c r="F854" s="2">
        <v>87.6</v>
      </c>
      <c r="H854" s="1">
        <f>_xlfn.XLOOKUP('Data Source 1_customer readings'!A854,'Data Source 1_customer readings'!A854:A3252,'Data Source 1_customer readings'!J854:J3252)</f>
        <v>0</v>
      </c>
    </row>
    <row r="855" spans="1:8" x14ac:dyDescent="0.2">
      <c r="A855" s="2" t="s">
        <v>33</v>
      </c>
      <c r="B855" s="2">
        <v>21</v>
      </c>
      <c r="C855" s="2">
        <v>9</v>
      </c>
      <c r="D855" s="2">
        <v>2021</v>
      </c>
      <c r="E855" s="2">
        <v>24.6</v>
      </c>
      <c r="F855" s="2">
        <v>74.7</v>
      </c>
      <c r="H855" s="1">
        <f>_xlfn.XLOOKUP('Data Source 1_customer readings'!A855,'Data Source 1_customer readings'!A855:A3253,'Data Source 1_customer readings'!J855:J3253)</f>
        <v>0</v>
      </c>
    </row>
    <row r="856" spans="1:8" x14ac:dyDescent="0.2">
      <c r="A856" s="2" t="s">
        <v>45</v>
      </c>
      <c r="B856" s="2">
        <v>18</v>
      </c>
      <c r="C856" s="2">
        <v>6</v>
      </c>
      <c r="D856" s="2">
        <v>2021</v>
      </c>
      <c r="E856" s="2">
        <v>24.3</v>
      </c>
      <c r="F856" s="2">
        <v>85.2</v>
      </c>
      <c r="H856" s="1">
        <f>_xlfn.XLOOKUP('Data Source 1_customer readings'!A856,'Data Source 1_customer readings'!A856:A3254,'Data Source 1_customer readings'!J856:J3254)</f>
        <v>0</v>
      </c>
    </row>
    <row r="857" spans="1:8" x14ac:dyDescent="0.2">
      <c r="A857" s="2" t="s">
        <v>38</v>
      </c>
      <c r="B857" s="2">
        <v>21</v>
      </c>
      <c r="C857" s="2">
        <v>6</v>
      </c>
      <c r="D857" s="2">
        <v>2021</v>
      </c>
      <c r="E857" s="2">
        <v>23.7</v>
      </c>
      <c r="F857" s="2">
        <v>86.4</v>
      </c>
      <c r="H857" s="1">
        <f>_xlfn.XLOOKUP('Data Source 1_customer readings'!A857,'Data Source 1_customer readings'!A857:A3255,'Data Source 1_customer readings'!J857:J3255)</f>
        <v>0</v>
      </c>
    </row>
    <row r="858" spans="1:8" x14ac:dyDescent="0.2">
      <c r="A858" s="2" t="s">
        <v>38</v>
      </c>
      <c r="B858" s="2">
        <v>21</v>
      </c>
      <c r="C858" s="2">
        <v>7</v>
      </c>
      <c r="D858" s="2">
        <v>2021</v>
      </c>
      <c r="E858" s="2">
        <v>23.25</v>
      </c>
      <c r="F858" s="2">
        <v>84.63</v>
      </c>
      <c r="H858" s="1">
        <f>_xlfn.XLOOKUP('Data Source 1_customer readings'!A858,'Data Source 1_customer readings'!A858:A3256,'Data Source 1_customer readings'!J858:J3256)</f>
        <v>0</v>
      </c>
    </row>
    <row r="859" spans="1:8" x14ac:dyDescent="0.2">
      <c r="A859" s="2" t="s">
        <v>34</v>
      </c>
      <c r="B859" s="2">
        <v>4</v>
      </c>
      <c r="C859" s="2">
        <v>9</v>
      </c>
      <c r="D859" s="2">
        <v>2021</v>
      </c>
      <c r="E859" s="2">
        <v>23.1</v>
      </c>
      <c r="F859" s="2">
        <v>86.7</v>
      </c>
      <c r="H859" s="1">
        <f>_xlfn.XLOOKUP('Data Source 1_customer readings'!A859,'Data Source 1_customer readings'!A859:A3257,'Data Source 1_customer readings'!J859:J3257)</f>
        <v>0</v>
      </c>
    </row>
    <row r="860" spans="1:8" x14ac:dyDescent="0.2">
      <c r="A860" s="2" t="s">
        <v>42</v>
      </c>
      <c r="B860" s="2">
        <v>12</v>
      </c>
      <c r="C860" s="2">
        <v>6</v>
      </c>
      <c r="D860" s="2">
        <v>2021</v>
      </c>
      <c r="E860" s="2">
        <v>22.5</v>
      </c>
      <c r="F860" s="2">
        <v>68.400000000000006</v>
      </c>
      <c r="H860" s="1">
        <f>_xlfn.XLOOKUP('Data Source 1_customer readings'!A860,'Data Source 1_customer readings'!A860:A3258,'Data Source 1_customer readings'!J860:J3258)</f>
        <v>0</v>
      </c>
    </row>
    <row r="861" spans="1:8" x14ac:dyDescent="0.2">
      <c r="A861" s="2" t="s">
        <v>34</v>
      </c>
      <c r="B861" s="2">
        <v>4</v>
      </c>
      <c r="C861" s="2">
        <v>8</v>
      </c>
      <c r="D861" s="2">
        <v>2021</v>
      </c>
      <c r="E861" s="2">
        <v>21.7</v>
      </c>
      <c r="F861" s="2">
        <v>79.36</v>
      </c>
      <c r="H861" s="1">
        <f>_xlfn.XLOOKUP('Data Source 1_customer readings'!A861,'Data Source 1_customer readings'!A861:A3259,'Data Source 1_customer readings'!J861:J3259)</f>
        <v>0</v>
      </c>
    </row>
    <row r="862" spans="1:8" x14ac:dyDescent="0.2">
      <c r="A862" s="2" t="s">
        <v>41</v>
      </c>
      <c r="B862" s="2">
        <v>15</v>
      </c>
      <c r="C862" s="2">
        <v>6</v>
      </c>
      <c r="D862" s="2">
        <v>2021</v>
      </c>
      <c r="E862" s="2">
        <v>21.6</v>
      </c>
      <c r="F862" s="2">
        <v>81.599999999999994</v>
      </c>
      <c r="H862" s="1">
        <f>_xlfn.XLOOKUP('Data Source 1_customer readings'!A862,'Data Source 1_customer readings'!A862:A3260,'Data Source 1_customer readings'!J862:J3260)</f>
        <v>0</v>
      </c>
    </row>
    <row r="863" spans="1:8" x14ac:dyDescent="0.2">
      <c r="A863" s="2" t="s">
        <v>33</v>
      </c>
      <c r="B863" s="2">
        <v>21</v>
      </c>
      <c r="C863" s="2">
        <v>8</v>
      </c>
      <c r="D863" s="2">
        <v>2021</v>
      </c>
      <c r="E863" s="2">
        <v>20.46</v>
      </c>
      <c r="F863" s="2">
        <v>75.02</v>
      </c>
      <c r="H863" s="1">
        <f>_xlfn.XLOOKUP('Data Source 1_customer readings'!A863,'Data Source 1_customer readings'!A863:A3261,'Data Source 1_customer readings'!J863:J3261)</f>
        <v>0</v>
      </c>
    </row>
    <row r="864" spans="1:8" x14ac:dyDescent="0.2">
      <c r="A864" s="2" t="s">
        <v>37</v>
      </c>
      <c r="B864" s="2">
        <v>12</v>
      </c>
      <c r="C864" s="2">
        <v>8</v>
      </c>
      <c r="D864" s="2">
        <v>2021</v>
      </c>
      <c r="E864" s="2">
        <v>20.149999999999999</v>
      </c>
      <c r="F864" s="2">
        <v>75.33</v>
      </c>
      <c r="H864" s="1">
        <f>_xlfn.XLOOKUP('Data Source 1_customer readings'!A864,'Data Source 1_customer readings'!A864:A3262,'Data Source 1_customer readings'!J864:J3262)</f>
        <v>0</v>
      </c>
    </row>
    <row r="865" spans="1:8" x14ac:dyDescent="0.2">
      <c r="A865" s="2" t="s">
        <v>33</v>
      </c>
      <c r="B865" s="2">
        <v>21</v>
      </c>
      <c r="C865" s="2">
        <v>5</v>
      </c>
      <c r="D865" s="2">
        <v>2021</v>
      </c>
      <c r="E865" s="2">
        <v>19.22</v>
      </c>
      <c r="F865" s="2">
        <v>75.33</v>
      </c>
      <c r="H865" s="1">
        <f>_xlfn.XLOOKUP('Data Source 1_customer readings'!A865,'Data Source 1_customer readings'!A865:A3263,'Data Source 1_customer readings'!J865:J3263)</f>
        <v>0</v>
      </c>
    </row>
    <row r="866" spans="1:8" x14ac:dyDescent="0.2">
      <c r="A866" s="2" t="s">
        <v>36</v>
      </c>
      <c r="B866" s="2">
        <v>12</v>
      </c>
      <c r="C866" s="2">
        <v>8</v>
      </c>
      <c r="D866" s="2">
        <v>2021</v>
      </c>
      <c r="E866" s="2">
        <v>18.91</v>
      </c>
      <c r="F866" s="2">
        <v>73.16</v>
      </c>
      <c r="H866" s="1">
        <f>_xlfn.XLOOKUP('Data Source 1_customer readings'!A866,'Data Source 1_customer readings'!A866:A3264,'Data Source 1_customer readings'!J866:J3264)</f>
        <v>0</v>
      </c>
    </row>
    <row r="867" spans="1:8" x14ac:dyDescent="0.2">
      <c r="A867" s="2" t="s">
        <v>35</v>
      </c>
      <c r="B867" s="2">
        <v>9</v>
      </c>
      <c r="C867" s="2">
        <v>7</v>
      </c>
      <c r="D867" s="2">
        <v>2021</v>
      </c>
      <c r="E867" s="2">
        <v>17.98</v>
      </c>
      <c r="F867" s="2">
        <v>74.400000000000006</v>
      </c>
      <c r="H867" s="1">
        <f>_xlfn.XLOOKUP('Data Source 1_customer readings'!A867,'Data Source 1_customer readings'!A867:A3265,'Data Source 1_customer readings'!J867:J3265)</f>
        <v>0</v>
      </c>
    </row>
    <row r="868" spans="1:8" x14ac:dyDescent="0.2">
      <c r="A868" s="2" t="s">
        <v>35</v>
      </c>
      <c r="B868" s="2">
        <v>9</v>
      </c>
      <c r="C868" s="2">
        <v>6</v>
      </c>
      <c r="D868" s="2">
        <v>2021</v>
      </c>
      <c r="E868" s="2">
        <v>17.7</v>
      </c>
      <c r="F868" s="2">
        <v>62.1</v>
      </c>
      <c r="H868" s="1">
        <f>_xlfn.XLOOKUP('Data Source 1_customer readings'!A868,'Data Source 1_customer readings'!A868:A3266,'Data Source 1_customer readings'!J868:J3266)</f>
        <v>0</v>
      </c>
    </row>
    <row r="869" spans="1:8" x14ac:dyDescent="0.2">
      <c r="A869" s="2" t="s">
        <v>33</v>
      </c>
      <c r="B869" s="2">
        <v>21</v>
      </c>
      <c r="C869" s="2">
        <v>6</v>
      </c>
      <c r="D869" s="2">
        <v>2021</v>
      </c>
      <c r="E869" s="2">
        <v>12</v>
      </c>
      <c r="F869" s="2">
        <v>74.099999999999994</v>
      </c>
      <c r="H869" s="1">
        <f>_xlfn.XLOOKUP('Data Source 1_customer readings'!A869,'Data Source 1_customer readings'!A869:A3267,'Data Source 1_customer readings'!J869:J3267)</f>
        <v>0</v>
      </c>
    </row>
    <row r="870" spans="1:8" x14ac:dyDescent="0.2">
      <c r="A870" s="2" t="s">
        <v>33</v>
      </c>
      <c r="B870" s="2">
        <v>21</v>
      </c>
      <c r="C870" s="2">
        <v>7</v>
      </c>
      <c r="D870" s="2">
        <v>2021</v>
      </c>
      <c r="E870" s="2">
        <v>11.78</v>
      </c>
      <c r="F870" s="2">
        <v>66.34</v>
      </c>
      <c r="H870" s="1">
        <f>_xlfn.XLOOKUP('Data Source 1_customer readings'!A870,'Data Source 1_customer readings'!A870:A3268,'Data Source 1_customer readings'!J870:J3268)</f>
        <v>0</v>
      </c>
    </row>
    <row r="871" spans="1:8" x14ac:dyDescent="0.2">
      <c r="A871" s="2" t="s">
        <v>32</v>
      </c>
      <c r="B871" s="2">
        <v>17</v>
      </c>
      <c r="C871" s="2">
        <v>1</v>
      </c>
      <c r="D871" s="2">
        <v>2021</v>
      </c>
      <c r="E871" s="2">
        <v>0</v>
      </c>
      <c r="F871" s="2">
        <v>256.37</v>
      </c>
      <c r="H871" s="1">
        <f>_xlfn.XLOOKUP('Data Source 1_customer readings'!A871,'Data Source 1_customer readings'!A871:A3269,'Data Source 1_customer readings'!J871:J3269)</f>
        <v>0</v>
      </c>
    </row>
    <row r="872" spans="1:8" x14ac:dyDescent="0.2">
      <c r="A872" s="2" t="s">
        <v>30</v>
      </c>
      <c r="B872" s="2">
        <v>2</v>
      </c>
      <c r="C872" s="2">
        <v>1</v>
      </c>
      <c r="D872" s="2">
        <v>2021</v>
      </c>
      <c r="E872" s="2">
        <v>0</v>
      </c>
      <c r="F872" s="2">
        <v>246.45</v>
      </c>
      <c r="H872" s="1">
        <f>_xlfn.XLOOKUP('Data Source 1_customer readings'!A872,'Data Source 1_customer readings'!A872:A3270,'Data Source 1_customer readings'!J872:J3270)</f>
        <v>0</v>
      </c>
    </row>
    <row r="873" spans="1:8" x14ac:dyDescent="0.2">
      <c r="A873" s="2" t="s">
        <v>30</v>
      </c>
      <c r="B873" s="2">
        <v>2</v>
      </c>
      <c r="C873" s="2">
        <v>12</v>
      </c>
      <c r="D873" s="2">
        <v>2021</v>
      </c>
      <c r="E873" s="2">
        <v>0</v>
      </c>
      <c r="F873" s="2">
        <v>243.35</v>
      </c>
      <c r="H873" s="1">
        <f>_xlfn.XLOOKUP('Data Source 1_customer readings'!A873,'Data Source 1_customer readings'!A873:A3271,'Data Source 1_customer readings'!J873:J3271)</f>
        <v>0</v>
      </c>
    </row>
    <row r="874" spans="1:8" x14ac:dyDescent="0.2">
      <c r="A874" s="2" t="s">
        <v>32</v>
      </c>
      <c r="B874" s="2">
        <v>17</v>
      </c>
      <c r="C874" s="2">
        <v>11</v>
      </c>
      <c r="D874" s="2">
        <v>2021</v>
      </c>
      <c r="E874" s="2">
        <v>0</v>
      </c>
      <c r="F874" s="2">
        <v>237.9</v>
      </c>
      <c r="H874" s="1">
        <f>_xlfn.XLOOKUP('Data Source 1_customer readings'!A874,'Data Source 1_customer readings'!A874:A3272,'Data Source 1_customer readings'!J874:J3272)</f>
        <v>0</v>
      </c>
    </row>
    <row r="875" spans="1:8" x14ac:dyDescent="0.2">
      <c r="A875" s="2" t="s">
        <v>31</v>
      </c>
      <c r="B875" s="2">
        <v>14</v>
      </c>
      <c r="C875" s="2">
        <v>1</v>
      </c>
      <c r="D875" s="2">
        <v>2021</v>
      </c>
      <c r="E875" s="2">
        <v>0</v>
      </c>
      <c r="F875" s="2">
        <v>233.74</v>
      </c>
      <c r="H875" s="1">
        <f>_xlfn.XLOOKUP('Data Source 1_customer readings'!A875,'Data Source 1_customer readings'!A875:A3273,'Data Source 1_customer readings'!J875:J3273)</f>
        <v>0</v>
      </c>
    </row>
    <row r="876" spans="1:8" x14ac:dyDescent="0.2">
      <c r="A876" s="2" t="s">
        <v>26</v>
      </c>
      <c r="B876" s="2">
        <v>22</v>
      </c>
      <c r="C876" s="2">
        <v>11</v>
      </c>
      <c r="D876" s="2">
        <v>2021</v>
      </c>
      <c r="E876" s="2">
        <v>0</v>
      </c>
      <c r="F876" s="2">
        <v>231.9</v>
      </c>
      <c r="H876" s="1">
        <f>_xlfn.XLOOKUP('Data Source 1_customer readings'!A876,'Data Source 1_customer readings'!A876:A3274,'Data Source 1_customer readings'!J876:J3274)</f>
        <v>0</v>
      </c>
    </row>
    <row r="877" spans="1:8" x14ac:dyDescent="0.2">
      <c r="A877" s="2" t="s">
        <v>28</v>
      </c>
      <c r="B877" s="2">
        <v>5</v>
      </c>
      <c r="C877" s="2">
        <v>11</v>
      </c>
      <c r="D877" s="2">
        <v>2021</v>
      </c>
      <c r="E877" s="2">
        <v>0</v>
      </c>
      <c r="F877" s="2">
        <v>224.1</v>
      </c>
      <c r="H877" s="1">
        <f>_xlfn.XLOOKUP('Data Source 1_customer readings'!A877,'Data Source 1_customer readings'!A877:A3275,'Data Source 1_customer readings'!J877:J3275)</f>
        <v>0</v>
      </c>
    </row>
    <row r="878" spans="1:8" x14ac:dyDescent="0.2">
      <c r="A878" s="2" t="s">
        <v>27</v>
      </c>
      <c r="B878" s="2">
        <v>1</v>
      </c>
      <c r="C878" s="2">
        <v>1</v>
      </c>
      <c r="D878" s="2">
        <v>2021</v>
      </c>
      <c r="E878" s="2">
        <v>0</v>
      </c>
      <c r="F878" s="2">
        <v>222.89</v>
      </c>
      <c r="H878" s="1">
        <f>_xlfn.XLOOKUP('Data Source 1_customer readings'!A878,'Data Source 1_customer readings'!A878:A3276,'Data Source 1_customer readings'!J878:J3276)</f>
        <v>0</v>
      </c>
    </row>
    <row r="879" spans="1:8" x14ac:dyDescent="0.2">
      <c r="A879" s="2" t="s">
        <v>23</v>
      </c>
      <c r="B879" s="2">
        <v>5</v>
      </c>
      <c r="C879" s="2">
        <v>12</v>
      </c>
      <c r="D879" s="2">
        <v>2021</v>
      </c>
      <c r="E879" s="2">
        <v>0</v>
      </c>
      <c r="F879" s="2">
        <v>221.03</v>
      </c>
      <c r="H879" s="1">
        <f>_xlfn.XLOOKUP('Data Source 1_customer readings'!A879,'Data Source 1_customer readings'!A879:A3277,'Data Source 1_customer readings'!J879:J3277)</f>
        <v>0</v>
      </c>
    </row>
    <row r="880" spans="1:8" x14ac:dyDescent="0.2">
      <c r="A880" s="2" t="s">
        <v>28</v>
      </c>
      <c r="B880" s="2">
        <v>5</v>
      </c>
      <c r="C880" s="2">
        <v>1</v>
      </c>
      <c r="D880" s="2">
        <v>2021</v>
      </c>
      <c r="E880" s="2">
        <v>0</v>
      </c>
      <c r="F880" s="2">
        <v>219.17</v>
      </c>
      <c r="H880" s="1">
        <f>_xlfn.XLOOKUP('Data Source 1_customer readings'!A880,'Data Source 1_customer readings'!A880:A3278,'Data Source 1_customer readings'!J880:J3278)</f>
        <v>0</v>
      </c>
    </row>
    <row r="881" spans="1:8" x14ac:dyDescent="0.2">
      <c r="A881" s="2" t="s">
        <v>16</v>
      </c>
      <c r="B881" s="2">
        <v>14</v>
      </c>
      <c r="C881" s="2">
        <v>1</v>
      </c>
      <c r="D881" s="2">
        <v>2021</v>
      </c>
      <c r="E881" s="2">
        <v>0</v>
      </c>
      <c r="F881" s="2">
        <v>218.86</v>
      </c>
      <c r="H881" s="1">
        <f>_xlfn.XLOOKUP('Data Source 1_customer readings'!A881,'Data Source 1_customer readings'!A881:A3279,'Data Source 1_customer readings'!J881:J3279)</f>
        <v>0</v>
      </c>
    </row>
    <row r="882" spans="1:8" x14ac:dyDescent="0.2">
      <c r="A882" s="2" t="s">
        <v>11</v>
      </c>
      <c r="B882" s="2">
        <v>15</v>
      </c>
      <c r="C882" s="2">
        <v>11</v>
      </c>
      <c r="D882" s="2">
        <v>2021</v>
      </c>
      <c r="E882" s="2">
        <v>0</v>
      </c>
      <c r="F882" s="2">
        <v>216.9</v>
      </c>
      <c r="H882" s="1">
        <f>_xlfn.XLOOKUP('Data Source 1_customer readings'!A882,'Data Source 1_customer readings'!A882:A3280,'Data Source 1_customer readings'!J882:J3280)</f>
        <v>0</v>
      </c>
    </row>
    <row r="883" spans="1:8" x14ac:dyDescent="0.2">
      <c r="A883" s="2" t="s">
        <v>32</v>
      </c>
      <c r="B883" s="2">
        <v>17</v>
      </c>
      <c r="C883" s="2">
        <v>2</v>
      </c>
      <c r="D883" s="2">
        <v>2021</v>
      </c>
      <c r="E883" s="2">
        <v>0</v>
      </c>
      <c r="F883" s="2">
        <v>214.48</v>
      </c>
      <c r="H883" s="1">
        <f>_xlfn.XLOOKUP('Data Source 1_customer readings'!A883,'Data Source 1_customer readings'!A883:A3281,'Data Source 1_customer readings'!J883:J3281)</f>
        <v>0</v>
      </c>
    </row>
    <row r="884" spans="1:8" x14ac:dyDescent="0.2">
      <c r="A884" s="2" t="s">
        <v>18</v>
      </c>
      <c r="B884" s="2">
        <v>5</v>
      </c>
      <c r="C884" s="2">
        <v>11</v>
      </c>
      <c r="D884" s="2">
        <v>2021</v>
      </c>
      <c r="E884" s="2">
        <v>0</v>
      </c>
      <c r="F884" s="2">
        <v>213.9</v>
      </c>
      <c r="H884" s="1">
        <f>_xlfn.XLOOKUP('Data Source 1_customer readings'!A884,'Data Source 1_customer readings'!A884:A3282,'Data Source 1_customer readings'!J884:J3282)</f>
        <v>0</v>
      </c>
    </row>
    <row r="885" spans="1:8" x14ac:dyDescent="0.2">
      <c r="A885" s="2" t="s">
        <v>12</v>
      </c>
      <c r="B885" s="2">
        <v>2</v>
      </c>
      <c r="C885" s="2">
        <v>1</v>
      </c>
      <c r="D885" s="2">
        <v>2021</v>
      </c>
      <c r="E885" s="2">
        <v>0</v>
      </c>
      <c r="F885" s="2">
        <v>208.01</v>
      </c>
      <c r="H885" s="1">
        <f>_xlfn.XLOOKUP('Data Source 1_customer readings'!A885,'Data Source 1_customer readings'!A885:A3283,'Data Source 1_customer readings'!J885:J3283)</f>
        <v>0</v>
      </c>
    </row>
    <row r="886" spans="1:8" x14ac:dyDescent="0.2">
      <c r="A886" s="2" t="s">
        <v>20</v>
      </c>
      <c r="B886" s="2">
        <v>12</v>
      </c>
      <c r="C886" s="2">
        <v>12</v>
      </c>
      <c r="D886" s="2">
        <v>2021</v>
      </c>
      <c r="E886" s="2">
        <v>0</v>
      </c>
      <c r="F886" s="2">
        <v>206.77</v>
      </c>
      <c r="H886" s="1">
        <f>_xlfn.XLOOKUP('Data Source 1_customer readings'!A886,'Data Source 1_customer readings'!A886:A3284,'Data Source 1_customer readings'!J886:J3284)</f>
        <v>0</v>
      </c>
    </row>
    <row r="887" spans="1:8" x14ac:dyDescent="0.2">
      <c r="A887" s="2" t="s">
        <v>27</v>
      </c>
      <c r="B887" s="2">
        <v>1</v>
      </c>
      <c r="C887" s="2">
        <v>11</v>
      </c>
      <c r="D887" s="2">
        <v>2021</v>
      </c>
      <c r="E887" s="2">
        <v>0</v>
      </c>
      <c r="F887" s="2">
        <v>206.1</v>
      </c>
      <c r="H887" s="1">
        <f>_xlfn.XLOOKUP('Data Source 1_customer readings'!A887,'Data Source 1_customer readings'!A887:A3285,'Data Source 1_customer readings'!J887:J3285)</f>
        <v>0</v>
      </c>
    </row>
    <row r="888" spans="1:8" x14ac:dyDescent="0.2">
      <c r="A888" s="2" t="s">
        <v>8</v>
      </c>
      <c r="B888" s="2">
        <v>5</v>
      </c>
      <c r="C888" s="2">
        <v>12</v>
      </c>
      <c r="D888" s="2">
        <v>2021</v>
      </c>
      <c r="E888" s="2">
        <v>0</v>
      </c>
      <c r="F888" s="2">
        <v>205.53</v>
      </c>
      <c r="H888" s="1">
        <f>_xlfn.XLOOKUP('Data Source 1_customer readings'!A888,'Data Source 1_customer readings'!A888:A3286,'Data Source 1_customer readings'!J888:J3286)</f>
        <v>0</v>
      </c>
    </row>
    <row r="889" spans="1:8" x14ac:dyDescent="0.2">
      <c r="A889" s="2" t="s">
        <v>22</v>
      </c>
      <c r="B889" s="2">
        <v>22</v>
      </c>
      <c r="C889" s="2">
        <v>1</v>
      </c>
      <c r="D889" s="2">
        <v>2021</v>
      </c>
      <c r="E889" s="2">
        <v>0</v>
      </c>
      <c r="F889" s="2">
        <v>205.22</v>
      </c>
      <c r="H889" s="1">
        <f>_xlfn.XLOOKUP('Data Source 1_customer readings'!A889,'Data Source 1_customer readings'!A889:A3287,'Data Source 1_customer readings'!J889:J3287)</f>
        <v>0</v>
      </c>
    </row>
    <row r="890" spans="1:8" x14ac:dyDescent="0.2">
      <c r="A890" s="2" t="s">
        <v>20</v>
      </c>
      <c r="B890" s="2">
        <v>12</v>
      </c>
      <c r="C890" s="2">
        <v>1</v>
      </c>
      <c r="D890" s="2">
        <v>2021</v>
      </c>
      <c r="E890" s="2">
        <v>0</v>
      </c>
      <c r="F890" s="2">
        <v>203.05</v>
      </c>
      <c r="H890" s="1">
        <f>_xlfn.XLOOKUP('Data Source 1_customer readings'!A890,'Data Source 1_customer readings'!A890:A3288,'Data Source 1_customer readings'!J890:J3288)</f>
        <v>0</v>
      </c>
    </row>
    <row r="891" spans="1:8" x14ac:dyDescent="0.2">
      <c r="A891" s="2" t="s">
        <v>31</v>
      </c>
      <c r="B891" s="2">
        <v>14</v>
      </c>
      <c r="C891" s="2">
        <v>11</v>
      </c>
      <c r="D891" s="2">
        <v>2021</v>
      </c>
      <c r="E891" s="2">
        <v>0</v>
      </c>
      <c r="F891" s="2">
        <v>202.5</v>
      </c>
      <c r="H891" s="1">
        <f>_xlfn.XLOOKUP('Data Source 1_customer readings'!A891,'Data Source 1_customer readings'!A891:A3289,'Data Source 1_customer readings'!J891:J3289)</f>
        <v>0</v>
      </c>
    </row>
    <row r="892" spans="1:8" x14ac:dyDescent="0.2">
      <c r="A892" s="2" t="s">
        <v>21</v>
      </c>
      <c r="B892" s="2">
        <v>15</v>
      </c>
      <c r="C892" s="2">
        <v>12</v>
      </c>
      <c r="D892" s="2">
        <v>2021</v>
      </c>
      <c r="E892" s="2">
        <v>0</v>
      </c>
      <c r="F892" s="2">
        <v>200.26</v>
      </c>
      <c r="H892" s="1">
        <f>_xlfn.XLOOKUP('Data Source 1_customer readings'!A892,'Data Source 1_customer readings'!A892:A3290,'Data Source 1_customer readings'!J892:J3290)</f>
        <v>0</v>
      </c>
    </row>
    <row r="893" spans="1:8" x14ac:dyDescent="0.2">
      <c r="A893" s="2" t="s">
        <v>26</v>
      </c>
      <c r="B893" s="2">
        <v>22</v>
      </c>
      <c r="C893" s="2">
        <v>1</v>
      </c>
      <c r="D893" s="2">
        <v>2021</v>
      </c>
      <c r="E893" s="2">
        <v>0</v>
      </c>
      <c r="F893" s="2">
        <v>199.95</v>
      </c>
      <c r="H893" s="1">
        <f>_xlfn.XLOOKUP('Data Source 1_customer readings'!A893,'Data Source 1_customer readings'!A893:A3291,'Data Source 1_customer readings'!J893:J3291)</f>
        <v>0</v>
      </c>
    </row>
    <row r="894" spans="1:8" x14ac:dyDescent="0.2">
      <c r="A894" s="2" t="s">
        <v>31</v>
      </c>
      <c r="B894" s="2">
        <v>14</v>
      </c>
      <c r="C894" s="2">
        <v>12</v>
      </c>
      <c r="D894" s="2">
        <v>2021</v>
      </c>
      <c r="E894" s="2">
        <v>0</v>
      </c>
      <c r="F894" s="2">
        <v>199.33</v>
      </c>
      <c r="H894" s="1">
        <f>_xlfn.XLOOKUP('Data Source 1_customer readings'!A894,'Data Source 1_customer readings'!A894:A3292,'Data Source 1_customer readings'!J894:J3292)</f>
        <v>0</v>
      </c>
    </row>
    <row r="895" spans="1:8" x14ac:dyDescent="0.2">
      <c r="A895" s="2" t="s">
        <v>30</v>
      </c>
      <c r="B895" s="2">
        <v>2</v>
      </c>
      <c r="C895" s="2">
        <v>2</v>
      </c>
      <c r="D895" s="2">
        <v>2021</v>
      </c>
      <c r="E895" s="2">
        <v>0</v>
      </c>
      <c r="F895" s="2">
        <v>198.8</v>
      </c>
      <c r="H895" s="1">
        <f>_xlfn.XLOOKUP('Data Source 1_customer readings'!A895,'Data Source 1_customer readings'!A895:A3293,'Data Source 1_customer readings'!J895:J3293)</f>
        <v>0</v>
      </c>
    </row>
    <row r="896" spans="1:8" x14ac:dyDescent="0.2">
      <c r="A896" s="2" t="s">
        <v>8</v>
      </c>
      <c r="B896" s="2">
        <v>5</v>
      </c>
      <c r="C896" s="2">
        <v>1</v>
      </c>
      <c r="D896" s="2">
        <v>2021</v>
      </c>
      <c r="E896" s="2">
        <v>0</v>
      </c>
      <c r="F896" s="2">
        <v>198.71</v>
      </c>
      <c r="H896" s="1">
        <f>_xlfn.XLOOKUP('Data Source 1_customer readings'!A896,'Data Source 1_customer readings'!A896:A3294,'Data Source 1_customer readings'!J896:J3294)</f>
        <v>0</v>
      </c>
    </row>
    <row r="897" spans="1:8" x14ac:dyDescent="0.2">
      <c r="A897" s="2" t="s">
        <v>32</v>
      </c>
      <c r="B897" s="2">
        <v>17</v>
      </c>
      <c r="C897" s="2">
        <v>10</v>
      </c>
      <c r="D897" s="2">
        <v>2021</v>
      </c>
      <c r="E897" s="2">
        <v>0</v>
      </c>
      <c r="F897" s="2">
        <v>198.71</v>
      </c>
      <c r="H897" s="1">
        <f>_xlfn.XLOOKUP('Data Source 1_customer readings'!A897,'Data Source 1_customer readings'!A897:A3295,'Data Source 1_customer readings'!J897:J3295)</f>
        <v>0</v>
      </c>
    </row>
    <row r="898" spans="1:8" x14ac:dyDescent="0.2">
      <c r="A898" s="2" t="s">
        <v>11</v>
      </c>
      <c r="B898" s="2">
        <v>15</v>
      </c>
      <c r="C898" s="2">
        <v>12</v>
      </c>
      <c r="D898" s="2">
        <v>2021</v>
      </c>
      <c r="E898" s="2">
        <v>0</v>
      </c>
      <c r="F898" s="2">
        <v>197.78</v>
      </c>
      <c r="H898" s="1">
        <f>_xlfn.XLOOKUP('Data Source 1_customer readings'!A898,'Data Source 1_customer readings'!A898:A3296,'Data Source 1_customer readings'!J898:J3296)</f>
        <v>0</v>
      </c>
    </row>
    <row r="899" spans="1:8" x14ac:dyDescent="0.2">
      <c r="A899" s="2" t="s">
        <v>23</v>
      </c>
      <c r="B899" s="2">
        <v>5</v>
      </c>
      <c r="C899" s="2">
        <v>11</v>
      </c>
      <c r="D899" s="2">
        <v>2021</v>
      </c>
      <c r="E899" s="2">
        <v>0</v>
      </c>
      <c r="F899" s="2">
        <v>197.1</v>
      </c>
      <c r="H899" s="1">
        <f>_xlfn.XLOOKUP('Data Source 1_customer readings'!A899,'Data Source 1_customer readings'!A899:A3297,'Data Source 1_customer readings'!J899:J3297)</f>
        <v>0</v>
      </c>
    </row>
    <row r="900" spans="1:8" x14ac:dyDescent="0.2">
      <c r="A900" s="2" t="s">
        <v>15</v>
      </c>
      <c r="B900" s="2">
        <v>5</v>
      </c>
      <c r="C900" s="2">
        <v>12</v>
      </c>
      <c r="D900" s="2">
        <v>2021</v>
      </c>
      <c r="E900" s="2">
        <v>0</v>
      </c>
      <c r="F900" s="2">
        <v>196.85</v>
      </c>
      <c r="H900" s="1">
        <f>_xlfn.XLOOKUP('Data Source 1_customer readings'!A900,'Data Source 1_customer readings'!A900:A3298,'Data Source 1_customer readings'!J900:J3298)</f>
        <v>0</v>
      </c>
    </row>
    <row r="901" spans="1:8" x14ac:dyDescent="0.2">
      <c r="A901" s="2" t="s">
        <v>32</v>
      </c>
      <c r="B901" s="2">
        <v>17</v>
      </c>
      <c r="C901" s="2">
        <v>3</v>
      </c>
      <c r="D901" s="2">
        <v>2021</v>
      </c>
      <c r="E901" s="2">
        <v>0</v>
      </c>
      <c r="F901" s="2">
        <v>196.54</v>
      </c>
      <c r="H901" s="1">
        <f>_xlfn.XLOOKUP('Data Source 1_customer readings'!A901,'Data Source 1_customer readings'!A901:A3299,'Data Source 1_customer readings'!J901:J3299)</f>
        <v>0</v>
      </c>
    </row>
    <row r="902" spans="1:8" x14ac:dyDescent="0.2">
      <c r="A902" s="2" t="s">
        <v>30</v>
      </c>
      <c r="B902" s="2">
        <v>2</v>
      </c>
      <c r="C902" s="2">
        <v>4</v>
      </c>
      <c r="D902" s="2">
        <v>2021</v>
      </c>
      <c r="E902" s="2">
        <v>0</v>
      </c>
      <c r="F902" s="2">
        <v>196.5</v>
      </c>
      <c r="H902" s="1">
        <f>_xlfn.XLOOKUP('Data Source 1_customer readings'!A902,'Data Source 1_customer readings'!A902:A3300,'Data Source 1_customer readings'!J902:J3300)</f>
        <v>0</v>
      </c>
    </row>
    <row r="903" spans="1:8" x14ac:dyDescent="0.2">
      <c r="A903" s="2" t="s">
        <v>9</v>
      </c>
      <c r="B903" s="2">
        <v>22</v>
      </c>
      <c r="C903" s="2">
        <v>1</v>
      </c>
      <c r="D903" s="2">
        <v>2021</v>
      </c>
      <c r="E903" s="2">
        <v>0</v>
      </c>
      <c r="F903" s="2">
        <v>195.92</v>
      </c>
      <c r="H903" s="1">
        <f>_xlfn.XLOOKUP('Data Source 1_customer readings'!A903,'Data Source 1_customer readings'!A903:A3301,'Data Source 1_customer readings'!J903:J3301)</f>
        <v>0</v>
      </c>
    </row>
    <row r="904" spans="1:8" x14ac:dyDescent="0.2">
      <c r="A904" s="2" t="s">
        <v>18</v>
      </c>
      <c r="B904" s="2">
        <v>5</v>
      </c>
      <c r="C904" s="2">
        <v>12</v>
      </c>
      <c r="D904" s="2">
        <v>2021</v>
      </c>
      <c r="E904" s="2">
        <v>0</v>
      </c>
      <c r="F904" s="2">
        <v>195.3</v>
      </c>
      <c r="H904" s="1">
        <f>_xlfn.XLOOKUP('Data Source 1_customer readings'!A904,'Data Source 1_customer readings'!A904:A3302,'Data Source 1_customer readings'!J904:J3302)</f>
        <v>0</v>
      </c>
    </row>
    <row r="905" spans="1:8" x14ac:dyDescent="0.2">
      <c r="A905" s="2" t="s">
        <v>22</v>
      </c>
      <c r="B905" s="2">
        <v>22</v>
      </c>
      <c r="C905" s="2">
        <v>2</v>
      </c>
      <c r="D905" s="2">
        <v>2021</v>
      </c>
      <c r="E905" s="2">
        <v>0</v>
      </c>
      <c r="F905" s="2">
        <v>194.88</v>
      </c>
      <c r="H905" s="1">
        <f>_xlfn.XLOOKUP('Data Source 1_customer readings'!A905,'Data Source 1_customer readings'!A905:A3303,'Data Source 1_customer readings'!J905:J3303)</f>
        <v>0</v>
      </c>
    </row>
    <row r="906" spans="1:8" x14ac:dyDescent="0.2">
      <c r="A906" s="2" t="s">
        <v>9</v>
      </c>
      <c r="B906" s="2">
        <v>22</v>
      </c>
      <c r="C906" s="2">
        <v>11</v>
      </c>
      <c r="D906" s="2">
        <v>2021</v>
      </c>
      <c r="E906" s="2">
        <v>0</v>
      </c>
      <c r="F906" s="2">
        <v>194.4</v>
      </c>
      <c r="H906" s="1">
        <f>_xlfn.XLOOKUP('Data Source 1_customer readings'!A906,'Data Source 1_customer readings'!A906:A3304,'Data Source 1_customer readings'!J906:J3304)</f>
        <v>0</v>
      </c>
    </row>
    <row r="907" spans="1:8" x14ac:dyDescent="0.2">
      <c r="A907" s="2" t="s">
        <v>27</v>
      </c>
      <c r="B907" s="2">
        <v>1</v>
      </c>
      <c r="C907" s="2">
        <v>2</v>
      </c>
      <c r="D907" s="2">
        <v>2021</v>
      </c>
      <c r="E907" s="2">
        <v>0</v>
      </c>
      <c r="F907" s="2">
        <v>193.48</v>
      </c>
      <c r="H907" s="1">
        <f>_xlfn.XLOOKUP('Data Source 1_customer readings'!A907,'Data Source 1_customer readings'!A907:A3305,'Data Source 1_customer readings'!J907:J3305)</f>
        <v>0</v>
      </c>
    </row>
    <row r="908" spans="1:8" x14ac:dyDescent="0.2">
      <c r="A908" s="2" t="s">
        <v>6</v>
      </c>
      <c r="B908" s="2">
        <v>7</v>
      </c>
      <c r="C908" s="2">
        <v>1</v>
      </c>
      <c r="D908" s="2">
        <v>2021</v>
      </c>
      <c r="E908" s="2">
        <v>0</v>
      </c>
      <c r="F908" s="2">
        <v>192.82</v>
      </c>
      <c r="H908" s="1">
        <f>_xlfn.XLOOKUP('Data Source 1_customer readings'!A908,'Data Source 1_customer readings'!A908:A3306,'Data Source 1_customer readings'!J908:J3306)</f>
        <v>0</v>
      </c>
    </row>
    <row r="909" spans="1:8" x14ac:dyDescent="0.2">
      <c r="A909" s="2" t="s">
        <v>14</v>
      </c>
      <c r="B909" s="2">
        <v>10</v>
      </c>
      <c r="C909" s="2">
        <v>12</v>
      </c>
      <c r="D909" s="2">
        <v>2021</v>
      </c>
      <c r="E909" s="2">
        <v>0</v>
      </c>
      <c r="F909" s="2">
        <v>192.51</v>
      </c>
      <c r="H909" s="1">
        <f>_xlfn.XLOOKUP('Data Source 1_customer readings'!A909,'Data Source 1_customer readings'!A909:A3307,'Data Source 1_customer readings'!J909:J3307)</f>
        <v>0</v>
      </c>
    </row>
    <row r="910" spans="1:8" x14ac:dyDescent="0.2">
      <c r="A910" s="2" t="s">
        <v>27</v>
      </c>
      <c r="B910" s="2">
        <v>1</v>
      </c>
      <c r="C910" s="2">
        <v>10</v>
      </c>
      <c r="D910" s="2">
        <v>2021</v>
      </c>
      <c r="E910" s="2">
        <v>0</v>
      </c>
      <c r="F910" s="2">
        <v>191.89</v>
      </c>
      <c r="H910" s="1">
        <f>_xlfn.XLOOKUP('Data Source 1_customer readings'!A910,'Data Source 1_customer readings'!A910:A3308,'Data Source 1_customer readings'!J910:J3308)</f>
        <v>0</v>
      </c>
    </row>
    <row r="911" spans="1:8" x14ac:dyDescent="0.2">
      <c r="A911" s="2" t="s">
        <v>5</v>
      </c>
      <c r="B911" s="2">
        <v>7</v>
      </c>
      <c r="C911" s="2">
        <v>12</v>
      </c>
      <c r="D911" s="2">
        <v>2021</v>
      </c>
      <c r="E911" s="2">
        <v>0</v>
      </c>
      <c r="F911" s="2">
        <v>190.65</v>
      </c>
      <c r="H911" s="1">
        <f>_xlfn.XLOOKUP('Data Source 1_customer readings'!A911,'Data Source 1_customer readings'!A911:A3309,'Data Source 1_customer readings'!J911:J3309)</f>
        <v>0</v>
      </c>
    </row>
    <row r="912" spans="1:8" x14ac:dyDescent="0.2">
      <c r="A912" s="2" t="s">
        <v>20</v>
      </c>
      <c r="B912" s="2">
        <v>12</v>
      </c>
      <c r="C912" s="2">
        <v>2</v>
      </c>
      <c r="D912" s="2">
        <v>2021</v>
      </c>
      <c r="E912" s="2">
        <v>0</v>
      </c>
      <c r="F912" s="2">
        <v>188.16</v>
      </c>
      <c r="H912" s="1">
        <f>_xlfn.XLOOKUP('Data Source 1_customer readings'!A912,'Data Source 1_customer readings'!A912:A3310,'Data Source 1_customer readings'!J912:J3310)</f>
        <v>0</v>
      </c>
    </row>
    <row r="913" spans="1:8" x14ac:dyDescent="0.2">
      <c r="A913" s="2" t="s">
        <v>29</v>
      </c>
      <c r="B913" s="2">
        <v>20</v>
      </c>
      <c r="C913" s="2">
        <v>12</v>
      </c>
      <c r="D913" s="2">
        <v>2021</v>
      </c>
      <c r="E913" s="2">
        <v>0</v>
      </c>
      <c r="F913" s="2">
        <v>187.86</v>
      </c>
      <c r="H913" s="1">
        <f>_xlfn.XLOOKUP('Data Source 1_customer readings'!A913,'Data Source 1_customer readings'!A913:A3311,'Data Source 1_customer readings'!J913:J3311)</f>
        <v>0</v>
      </c>
    </row>
    <row r="914" spans="1:8" x14ac:dyDescent="0.2">
      <c r="A914" s="2" t="s">
        <v>25</v>
      </c>
      <c r="B914" s="2">
        <v>8</v>
      </c>
      <c r="C914" s="2">
        <v>2</v>
      </c>
      <c r="D914" s="2">
        <v>2021</v>
      </c>
      <c r="E914" s="2">
        <v>0</v>
      </c>
      <c r="F914" s="2">
        <v>187.6</v>
      </c>
      <c r="H914" s="1">
        <f>_xlfn.XLOOKUP('Data Source 1_customer readings'!A914,'Data Source 1_customer readings'!A914:A3312,'Data Source 1_customer readings'!J914:J3312)</f>
        <v>0</v>
      </c>
    </row>
    <row r="915" spans="1:8" x14ac:dyDescent="0.2">
      <c r="A915" s="2" t="s">
        <v>31</v>
      </c>
      <c r="B915" s="2">
        <v>14</v>
      </c>
      <c r="C915" s="2">
        <v>10</v>
      </c>
      <c r="D915" s="2">
        <v>2021</v>
      </c>
      <c r="E915" s="2">
        <v>0</v>
      </c>
      <c r="F915" s="2">
        <v>187.55</v>
      </c>
      <c r="H915" s="1">
        <f>_xlfn.XLOOKUP('Data Source 1_customer readings'!A915,'Data Source 1_customer readings'!A915:A3313,'Data Source 1_customer readings'!J915:J3313)</f>
        <v>0</v>
      </c>
    </row>
    <row r="916" spans="1:8" x14ac:dyDescent="0.2">
      <c r="A916" s="2" t="s">
        <v>26</v>
      </c>
      <c r="B916" s="2">
        <v>22</v>
      </c>
      <c r="C916" s="2">
        <v>12</v>
      </c>
      <c r="D916" s="2">
        <v>2021</v>
      </c>
      <c r="E916" s="2">
        <v>0</v>
      </c>
      <c r="F916" s="2">
        <v>186.93</v>
      </c>
      <c r="H916" s="1">
        <f>_xlfn.XLOOKUP('Data Source 1_customer readings'!A916,'Data Source 1_customer readings'!A916:A3314,'Data Source 1_customer readings'!J916:J3314)</f>
        <v>0</v>
      </c>
    </row>
    <row r="917" spans="1:8" x14ac:dyDescent="0.2">
      <c r="A917" s="2" t="s">
        <v>28</v>
      </c>
      <c r="B917" s="2">
        <v>5</v>
      </c>
      <c r="C917" s="2">
        <v>3</v>
      </c>
      <c r="D917" s="2">
        <v>2021</v>
      </c>
      <c r="E917" s="2">
        <v>0</v>
      </c>
      <c r="F917" s="2">
        <v>186.62</v>
      </c>
      <c r="H917" s="1">
        <f>_xlfn.XLOOKUP('Data Source 1_customer readings'!A917,'Data Source 1_customer readings'!A917:A3315,'Data Source 1_customer readings'!J917:J3315)</f>
        <v>0</v>
      </c>
    </row>
    <row r="918" spans="1:8" x14ac:dyDescent="0.2">
      <c r="A918" s="2" t="s">
        <v>24</v>
      </c>
      <c r="B918" s="2">
        <v>22</v>
      </c>
      <c r="C918" s="2">
        <v>12</v>
      </c>
      <c r="D918" s="2">
        <v>2021</v>
      </c>
      <c r="E918" s="2">
        <v>0</v>
      </c>
      <c r="F918" s="2">
        <v>186</v>
      </c>
      <c r="H918" s="1">
        <f>_xlfn.XLOOKUP('Data Source 1_customer readings'!A918,'Data Source 1_customer readings'!A918:A3316,'Data Source 1_customer readings'!J918:J3316)</f>
        <v>0</v>
      </c>
    </row>
    <row r="919" spans="1:8" x14ac:dyDescent="0.2">
      <c r="A919" s="2" t="s">
        <v>32</v>
      </c>
      <c r="B919" s="2">
        <v>17</v>
      </c>
      <c r="C919" s="2">
        <v>4</v>
      </c>
      <c r="D919" s="2">
        <v>2021</v>
      </c>
      <c r="E919" s="2">
        <v>0</v>
      </c>
      <c r="F919" s="2">
        <v>185.7</v>
      </c>
      <c r="H919" s="1" t="b">
        <f>_xlfn.XLOOKUP('Data Source 1_customer readings'!A919,'Data Source 1_customer readings'!A919:A3317,'Data Source 1_customer readings'!J919:J3317)</f>
        <v>0</v>
      </c>
    </row>
    <row r="920" spans="1:8" x14ac:dyDescent="0.2">
      <c r="A920" s="2" t="s">
        <v>29</v>
      </c>
      <c r="B920" s="2">
        <v>20</v>
      </c>
      <c r="C920" s="2">
        <v>11</v>
      </c>
      <c r="D920" s="2">
        <v>2021</v>
      </c>
      <c r="E920" s="2">
        <v>0</v>
      </c>
      <c r="F920" s="2">
        <v>185.4</v>
      </c>
      <c r="H920" s="1">
        <f>_xlfn.XLOOKUP('Data Source 1_customer readings'!A920,'Data Source 1_customer readings'!A920:A3318,'Data Source 1_customer readings'!J920:J3318)</f>
        <v>0</v>
      </c>
    </row>
    <row r="921" spans="1:8" x14ac:dyDescent="0.2">
      <c r="A921" s="2" t="s">
        <v>25</v>
      </c>
      <c r="B921" s="2">
        <v>8</v>
      </c>
      <c r="C921" s="2">
        <v>11</v>
      </c>
      <c r="D921" s="2">
        <v>2021</v>
      </c>
      <c r="E921" s="2">
        <v>0</v>
      </c>
      <c r="F921" s="2">
        <v>185.1</v>
      </c>
      <c r="H921" s="1">
        <f>_xlfn.XLOOKUP('Data Source 1_customer readings'!A921,'Data Source 1_customer readings'!A921:A3319,'Data Source 1_customer readings'!J921:J3319)</f>
        <v>0</v>
      </c>
    </row>
    <row r="922" spans="1:8" x14ac:dyDescent="0.2">
      <c r="A922" s="2" t="s">
        <v>23</v>
      </c>
      <c r="B922" s="2">
        <v>5</v>
      </c>
      <c r="C922" s="2">
        <v>2</v>
      </c>
      <c r="D922" s="2">
        <v>2021</v>
      </c>
      <c r="E922" s="2">
        <v>0</v>
      </c>
      <c r="F922" s="2">
        <v>184.8</v>
      </c>
      <c r="H922" s="1" t="b">
        <f>_xlfn.XLOOKUP('Data Source 1_customer readings'!A922,'Data Source 1_customer readings'!A922:A3320,'Data Source 1_customer readings'!J922:J3320)</f>
        <v>0</v>
      </c>
    </row>
    <row r="923" spans="1:8" x14ac:dyDescent="0.2">
      <c r="A923" s="2" t="s">
        <v>12</v>
      </c>
      <c r="B923" s="2">
        <v>2</v>
      </c>
      <c r="C923" s="2">
        <v>12</v>
      </c>
      <c r="D923" s="2">
        <v>2021</v>
      </c>
      <c r="E923" s="2">
        <v>0</v>
      </c>
      <c r="F923" s="2">
        <v>184.14</v>
      </c>
      <c r="H923" s="1">
        <f>_xlfn.XLOOKUP('Data Source 1_customer readings'!A923,'Data Source 1_customer readings'!A923:A3321,'Data Source 1_customer readings'!J923:J3321)</f>
        <v>0</v>
      </c>
    </row>
    <row r="924" spans="1:8" x14ac:dyDescent="0.2">
      <c r="A924" s="2" t="s">
        <v>14</v>
      </c>
      <c r="B924" s="2">
        <v>10</v>
      </c>
      <c r="C924" s="2">
        <v>11</v>
      </c>
      <c r="D924" s="2">
        <v>2021</v>
      </c>
      <c r="E924" s="2">
        <v>0</v>
      </c>
      <c r="F924" s="2">
        <v>183.9</v>
      </c>
      <c r="H924" s="1">
        <f>_xlfn.XLOOKUP('Data Source 1_customer readings'!A924,'Data Source 1_customer readings'!A924:A3322,'Data Source 1_customer readings'!J924:J3322)</f>
        <v>0</v>
      </c>
    </row>
    <row r="925" spans="1:8" x14ac:dyDescent="0.2">
      <c r="A925" s="2" t="s">
        <v>30</v>
      </c>
      <c r="B925" s="2">
        <v>2</v>
      </c>
      <c r="C925" s="2">
        <v>3</v>
      </c>
      <c r="D925" s="2">
        <v>2021</v>
      </c>
      <c r="E925" s="2">
        <v>0</v>
      </c>
      <c r="F925" s="2">
        <v>183.83</v>
      </c>
      <c r="H925" s="1">
        <f>_xlfn.XLOOKUP('Data Source 1_customer readings'!A925,'Data Source 1_customer readings'!A925:A3323,'Data Source 1_customer readings'!J925:J3323)</f>
        <v>0</v>
      </c>
    </row>
    <row r="926" spans="1:8" x14ac:dyDescent="0.2">
      <c r="A926" s="2" t="s">
        <v>27</v>
      </c>
      <c r="B926" s="2">
        <v>1</v>
      </c>
      <c r="C926" s="2">
        <v>4</v>
      </c>
      <c r="D926" s="2">
        <v>2021</v>
      </c>
      <c r="E926" s="2">
        <v>0</v>
      </c>
      <c r="F926" s="2">
        <v>183.3</v>
      </c>
      <c r="H926" s="1">
        <f>_xlfn.XLOOKUP('Data Source 1_customer readings'!A926,'Data Source 1_customer readings'!A926:A3324,'Data Source 1_customer readings'!J926:J3324)</f>
        <v>0</v>
      </c>
    </row>
    <row r="927" spans="1:8" x14ac:dyDescent="0.2">
      <c r="A927" s="2" t="s">
        <v>6</v>
      </c>
      <c r="B927" s="2">
        <v>7</v>
      </c>
      <c r="C927" s="2">
        <v>2</v>
      </c>
      <c r="D927" s="2">
        <v>2021</v>
      </c>
      <c r="E927" s="2">
        <v>0</v>
      </c>
      <c r="F927" s="2">
        <v>182.84</v>
      </c>
      <c r="H927" s="1">
        <f>_xlfn.XLOOKUP('Data Source 1_customer readings'!A927,'Data Source 1_customer readings'!A927:A3325,'Data Source 1_customer readings'!J927:J3325)</f>
        <v>0</v>
      </c>
    </row>
    <row r="928" spans="1:8" x14ac:dyDescent="0.2">
      <c r="A928" s="2" t="s">
        <v>21</v>
      </c>
      <c r="B928" s="2">
        <v>15</v>
      </c>
      <c r="C928" s="2">
        <v>1</v>
      </c>
      <c r="D928" s="2">
        <v>2021</v>
      </c>
      <c r="E928" s="2">
        <v>0</v>
      </c>
      <c r="F928" s="2">
        <v>182.28</v>
      </c>
      <c r="H928" s="1">
        <f>_xlfn.XLOOKUP('Data Source 1_customer readings'!A928,'Data Source 1_customer readings'!A928:A3326,'Data Source 1_customer readings'!J928:J3326)</f>
        <v>0</v>
      </c>
    </row>
    <row r="929" spans="1:8" x14ac:dyDescent="0.2">
      <c r="A929" s="2" t="s">
        <v>31</v>
      </c>
      <c r="B929" s="2">
        <v>14</v>
      </c>
      <c r="C929" s="2">
        <v>3</v>
      </c>
      <c r="D929" s="2">
        <v>2021</v>
      </c>
      <c r="E929" s="2">
        <v>0</v>
      </c>
      <c r="F929" s="2">
        <v>181.97</v>
      </c>
      <c r="H929" s="1">
        <f>_xlfn.XLOOKUP('Data Source 1_customer readings'!A929,'Data Source 1_customer readings'!A929:A3327,'Data Source 1_customer readings'!J929:J3327)</f>
        <v>0</v>
      </c>
    </row>
    <row r="930" spans="1:8" x14ac:dyDescent="0.2">
      <c r="A930" s="2" t="s">
        <v>29</v>
      </c>
      <c r="B930" s="2">
        <v>20</v>
      </c>
      <c r="C930" s="2">
        <v>1</v>
      </c>
      <c r="D930" s="2">
        <v>2021</v>
      </c>
      <c r="E930" s="2">
        <v>0</v>
      </c>
      <c r="F930" s="2">
        <v>181.66</v>
      </c>
      <c r="H930" s="1">
        <f>_xlfn.XLOOKUP('Data Source 1_customer readings'!A930,'Data Source 1_customer readings'!A930:A3328,'Data Source 1_customer readings'!J930:J3328)</f>
        <v>0</v>
      </c>
    </row>
    <row r="931" spans="1:8" x14ac:dyDescent="0.2">
      <c r="A931" s="2" t="s">
        <v>30</v>
      </c>
      <c r="B931" s="2">
        <v>2</v>
      </c>
      <c r="C931" s="2">
        <v>10</v>
      </c>
      <c r="D931" s="2">
        <v>2021</v>
      </c>
      <c r="E931" s="2">
        <v>0</v>
      </c>
      <c r="F931" s="2">
        <v>181.66</v>
      </c>
      <c r="H931" s="1">
        <f>_xlfn.XLOOKUP('Data Source 1_customer readings'!A931,'Data Source 1_customer readings'!A931:A3329,'Data Source 1_customer readings'!J931:J3329)</f>
        <v>0</v>
      </c>
    </row>
    <row r="932" spans="1:8" x14ac:dyDescent="0.2">
      <c r="A932" s="2" t="s">
        <v>32</v>
      </c>
      <c r="B932" s="2">
        <v>17</v>
      </c>
      <c r="C932" s="2">
        <v>9</v>
      </c>
      <c r="D932" s="2">
        <v>2021</v>
      </c>
      <c r="E932" s="2">
        <v>0</v>
      </c>
      <c r="F932" s="2">
        <v>181.2</v>
      </c>
      <c r="H932" s="1">
        <f>_xlfn.XLOOKUP('Data Source 1_customer readings'!A932,'Data Source 1_customer readings'!A932:A3330,'Data Source 1_customer readings'!J932:J3330)</f>
        <v>0</v>
      </c>
    </row>
    <row r="933" spans="1:8" x14ac:dyDescent="0.2">
      <c r="A933" s="2" t="s">
        <v>26</v>
      </c>
      <c r="B933" s="2">
        <v>22</v>
      </c>
      <c r="C933" s="2">
        <v>2</v>
      </c>
      <c r="D933" s="2">
        <v>2021</v>
      </c>
      <c r="E933" s="2">
        <v>0</v>
      </c>
      <c r="F933" s="2">
        <v>180.88</v>
      </c>
      <c r="H933" s="1">
        <f>_xlfn.XLOOKUP('Data Source 1_customer readings'!A933,'Data Source 1_customer readings'!A933:A3331,'Data Source 1_customer readings'!J933:J3331)</f>
        <v>0</v>
      </c>
    </row>
    <row r="934" spans="1:8" x14ac:dyDescent="0.2">
      <c r="A934" s="2" t="s">
        <v>28</v>
      </c>
      <c r="B934" s="2">
        <v>5</v>
      </c>
      <c r="C934" s="2">
        <v>2</v>
      </c>
      <c r="D934" s="2">
        <v>2021</v>
      </c>
      <c r="E934" s="2">
        <v>0</v>
      </c>
      <c r="F934" s="2">
        <v>180.32</v>
      </c>
      <c r="H934" s="1">
        <f>_xlfn.XLOOKUP('Data Source 1_customer readings'!A934,'Data Source 1_customer readings'!A934:A3332,'Data Source 1_customer readings'!J934:J3332)</f>
        <v>0</v>
      </c>
    </row>
    <row r="935" spans="1:8" x14ac:dyDescent="0.2">
      <c r="A935" s="2" t="s">
        <v>17</v>
      </c>
      <c r="B935" s="2">
        <v>8</v>
      </c>
      <c r="C935" s="2">
        <v>2</v>
      </c>
      <c r="D935" s="2">
        <v>2021</v>
      </c>
      <c r="E935" s="2">
        <v>0</v>
      </c>
      <c r="F935" s="2">
        <v>180.04</v>
      </c>
      <c r="H935" s="1">
        <f>_xlfn.XLOOKUP('Data Source 1_customer readings'!A935,'Data Source 1_customer readings'!A935:A3333,'Data Source 1_customer readings'!J935:J3333)</f>
        <v>0</v>
      </c>
    </row>
    <row r="936" spans="1:8" x14ac:dyDescent="0.2">
      <c r="A936" s="2" t="s">
        <v>21</v>
      </c>
      <c r="B936" s="2">
        <v>15</v>
      </c>
      <c r="C936" s="2">
        <v>2</v>
      </c>
      <c r="D936" s="2">
        <v>2021</v>
      </c>
      <c r="E936" s="2">
        <v>0</v>
      </c>
      <c r="F936" s="2">
        <v>179.48</v>
      </c>
      <c r="H936" s="1">
        <f>_xlfn.XLOOKUP('Data Source 1_customer readings'!A936,'Data Source 1_customer readings'!A936:A3334,'Data Source 1_customer readings'!J936:J3334)</f>
        <v>0</v>
      </c>
    </row>
    <row r="937" spans="1:8" x14ac:dyDescent="0.2">
      <c r="A937" s="2" t="s">
        <v>22</v>
      </c>
      <c r="B937" s="2">
        <v>22</v>
      </c>
      <c r="C937" s="2">
        <v>4</v>
      </c>
      <c r="D937" s="2">
        <v>2021</v>
      </c>
      <c r="E937" s="2">
        <v>0</v>
      </c>
      <c r="F937" s="2">
        <v>179.4</v>
      </c>
      <c r="H937" s="1">
        <f>_xlfn.XLOOKUP('Data Source 1_customer readings'!A937,'Data Source 1_customer readings'!A937:A3335,'Data Source 1_customer readings'!J937:J3335)</f>
        <v>0</v>
      </c>
    </row>
    <row r="938" spans="1:8" x14ac:dyDescent="0.2">
      <c r="A938" s="2" t="s">
        <v>19</v>
      </c>
      <c r="B938" s="2">
        <v>24</v>
      </c>
      <c r="C938" s="2">
        <v>12</v>
      </c>
      <c r="D938" s="2">
        <v>2021</v>
      </c>
      <c r="E938" s="2">
        <v>0</v>
      </c>
      <c r="F938" s="2">
        <v>179.18</v>
      </c>
      <c r="H938" s="1">
        <f>_xlfn.XLOOKUP('Data Source 1_customer readings'!A938,'Data Source 1_customer readings'!A938:A3336,'Data Source 1_customer readings'!J938:J3336)</f>
        <v>0</v>
      </c>
    </row>
    <row r="939" spans="1:8" x14ac:dyDescent="0.2">
      <c r="A939" s="2" t="s">
        <v>24</v>
      </c>
      <c r="B939" s="2">
        <v>22</v>
      </c>
      <c r="C939" s="2">
        <v>11</v>
      </c>
      <c r="D939" s="2">
        <v>2021</v>
      </c>
      <c r="E939" s="2">
        <v>0</v>
      </c>
      <c r="F939" s="2">
        <v>179.1</v>
      </c>
      <c r="H939" s="1">
        <f>_xlfn.XLOOKUP('Data Source 1_customer readings'!A939,'Data Source 1_customer readings'!A939:A3337,'Data Source 1_customer readings'!J939:J3337)</f>
        <v>0</v>
      </c>
    </row>
    <row r="940" spans="1:8" x14ac:dyDescent="0.2">
      <c r="A940" s="2" t="s">
        <v>27</v>
      </c>
      <c r="B940" s="2">
        <v>1</v>
      </c>
      <c r="C940" s="2">
        <v>3</v>
      </c>
      <c r="D940" s="2">
        <v>2021</v>
      </c>
      <c r="E940" s="2">
        <v>0</v>
      </c>
      <c r="F940" s="2">
        <v>178.25</v>
      </c>
      <c r="H940" s="1">
        <f>_xlfn.XLOOKUP('Data Source 1_customer readings'!A940,'Data Source 1_customer readings'!A940:A3338,'Data Source 1_customer readings'!J940:J3338)</f>
        <v>0</v>
      </c>
    </row>
    <row r="941" spans="1:8" x14ac:dyDescent="0.2">
      <c r="A941" s="2" t="s">
        <v>24</v>
      </c>
      <c r="B941" s="2">
        <v>22</v>
      </c>
      <c r="C941" s="2">
        <v>1</v>
      </c>
      <c r="D941" s="2">
        <v>2021</v>
      </c>
      <c r="E941" s="2">
        <v>0</v>
      </c>
      <c r="F941" s="2">
        <v>177.94</v>
      </c>
      <c r="H941" s="1">
        <f>_xlfn.XLOOKUP('Data Source 1_customer readings'!A941,'Data Source 1_customer readings'!A941:A3339,'Data Source 1_customer readings'!J941:J3339)</f>
        <v>0</v>
      </c>
    </row>
    <row r="942" spans="1:8" x14ac:dyDescent="0.2">
      <c r="A942" s="2" t="s">
        <v>8</v>
      </c>
      <c r="B942" s="2">
        <v>5</v>
      </c>
      <c r="C942" s="2">
        <v>2</v>
      </c>
      <c r="D942" s="2">
        <v>2021</v>
      </c>
      <c r="E942" s="2">
        <v>0</v>
      </c>
      <c r="F942" s="2">
        <v>177.8</v>
      </c>
      <c r="H942" s="1">
        <f>_xlfn.XLOOKUP('Data Source 1_customer readings'!A942,'Data Source 1_customer readings'!A942:A3340,'Data Source 1_customer readings'!J942:J3340)</f>
        <v>0</v>
      </c>
    </row>
    <row r="943" spans="1:8" x14ac:dyDescent="0.2">
      <c r="A943" s="2" t="s">
        <v>18</v>
      </c>
      <c r="B943" s="2">
        <v>5</v>
      </c>
      <c r="C943" s="2">
        <v>2</v>
      </c>
      <c r="D943" s="2">
        <v>2021</v>
      </c>
      <c r="E943" s="2">
        <v>0</v>
      </c>
      <c r="F943" s="2">
        <v>177.8</v>
      </c>
      <c r="H943" s="1">
        <f>_xlfn.XLOOKUP('Data Source 1_customer readings'!A943,'Data Source 1_customer readings'!A943:A3341,'Data Source 1_customer readings'!J943:J3341)</f>
        <v>0</v>
      </c>
    </row>
    <row r="944" spans="1:8" x14ac:dyDescent="0.2">
      <c r="A944" s="2" t="s">
        <v>12</v>
      </c>
      <c r="B944" s="2">
        <v>2</v>
      </c>
      <c r="C944" s="2">
        <v>2</v>
      </c>
      <c r="D944" s="2">
        <v>2021</v>
      </c>
      <c r="E944" s="2">
        <v>0</v>
      </c>
      <c r="F944" s="2">
        <v>177.52</v>
      </c>
      <c r="H944" s="1">
        <f>_xlfn.XLOOKUP('Data Source 1_customer readings'!A944,'Data Source 1_customer readings'!A944:A3342,'Data Source 1_customer readings'!J944:J3342)</f>
        <v>0</v>
      </c>
    </row>
    <row r="945" spans="1:8" x14ac:dyDescent="0.2">
      <c r="A945" s="2" t="s">
        <v>21</v>
      </c>
      <c r="B945" s="2">
        <v>15</v>
      </c>
      <c r="C945" s="2">
        <v>11</v>
      </c>
      <c r="D945" s="2">
        <v>2021</v>
      </c>
      <c r="E945" s="2">
        <v>0</v>
      </c>
      <c r="F945" s="2">
        <v>176.7</v>
      </c>
      <c r="H945" s="1">
        <f>_xlfn.XLOOKUP('Data Source 1_customer readings'!A945,'Data Source 1_customer readings'!A945:A3343,'Data Source 1_customer readings'!J945:J3343)</f>
        <v>0</v>
      </c>
    </row>
    <row r="946" spans="1:8" x14ac:dyDescent="0.2">
      <c r="A946" s="2" t="s">
        <v>10</v>
      </c>
      <c r="B946" s="2">
        <v>18</v>
      </c>
      <c r="C946" s="2">
        <v>12</v>
      </c>
      <c r="D946" s="2">
        <v>2021</v>
      </c>
      <c r="E946" s="2">
        <v>0</v>
      </c>
      <c r="F946" s="2">
        <v>176.7</v>
      </c>
      <c r="H946" s="1">
        <f>_xlfn.XLOOKUP('Data Source 1_customer readings'!A946,'Data Source 1_customer readings'!A946:A3344,'Data Source 1_customer readings'!J946:J3344)</f>
        <v>0</v>
      </c>
    </row>
    <row r="947" spans="1:8" x14ac:dyDescent="0.2">
      <c r="A947" s="2" t="s">
        <v>8</v>
      </c>
      <c r="B947" s="2">
        <v>5</v>
      </c>
      <c r="C947" s="2">
        <v>11</v>
      </c>
      <c r="D947" s="2">
        <v>2021</v>
      </c>
      <c r="E947" s="2">
        <v>0</v>
      </c>
      <c r="F947" s="2">
        <v>176.1</v>
      </c>
      <c r="H947" s="1">
        <f>_xlfn.XLOOKUP('Data Source 1_customer readings'!A947,'Data Source 1_customer readings'!A947:A3345,'Data Source 1_customer readings'!J947:J3345)</f>
        <v>0</v>
      </c>
    </row>
    <row r="948" spans="1:8" x14ac:dyDescent="0.2">
      <c r="A948" s="2" t="s">
        <v>7</v>
      </c>
      <c r="B948" s="2">
        <v>20</v>
      </c>
      <c r="C948" s="2">
        <v>1</v>
      </c>
      <c r="D948" s="2">
        <v>2021</v>
      </c>
      <c r="E948" s="2">
        <v>0</v>
      </c>
      <c r="F948" s="2">
        <v>176.08</v>
      </c>
      <c r="H948" s="1">
        <f>_xlfn.XLOOKUP('Data Source 1_customer readings'!A948,'Data Source 1_customer readings'!A948:A3346,'Data Source 1_customer readings'!J948:J3346)</f>
        <v>0</v>
      </c>
    </row>
    <row r="949" spans="1:8" x14ac:dyDescent="0.2">
      <c r="A949" s="2" t="s">
        <v>15</v>
      </c>
      <c r="B949" s="2">
        <v>5</v>
      </c>
      <c r="C949" s="2">
        <v>2</v>
      </c>
      <c r="D949" s="2">
        <v>2021</v>
      </c>
      <c r="E949" s="2">
        <v>0</v>
      </c>
      <c r="F949" s="2">
        <v>175.84</v>
      </c>
      <c r="H949" s="1">
        <f>_xlfn.XLOOKUP('Data Source 1_customer readings'!A949,'Data Source 1_customer readings'!A949:A3347,'Data Source 1_customer readings'!J949:J3347)</f>
        <v>0</v>
      </c>
    </row>
    <row r="950" spans="1:8" x14ac:dyDescent="0.2">
      <c r="A950" s="2" t="s">
        <v>9</v>
      </c>
      <c r="B950" s="2">
        <v>22</v>
      </c>
      <c r="C950" s="2">
        <v>12</v>
      </c>
      <c r="D950" s="2">
        <v>2021</v>
      </c>
      <c r="E950" s="2">
        <v>0</v>
      </c>
      <c r="F950" s="2">
        <v>175.77</v>
      </c>
      <c r="H950" s="1">
        <f>_xlfn.XLOOKUP('Data Source 1_customer readings'!A950,'Data Source 1_customer readings'!A950:A3348,'Data Source 1_customer readings'!J950:J3348)</f>
        <v>0</v>
      </c>
    </row>
    <row r="951" spans="1:8" x14ac:dyDescent="0.2">
      <c r="A951" s="2" t="s">
        <v>25</v>
      </c>
      <c r="B951" s="2">
        <v>8</v>
      </c>
      <c r="C951" s="2">
        <v>1</v>
      </c>
      <c r="D951" s="2">
        <v>2021</v>
      </c>
      <c r="E951" s="2">
        <v>0</v>
      </c>
      <c r="F951" s="2">
        <v>175.46</v>
      </c>
      <c r="H951" s="1">
        <f>_xlfn.XLOOKUP('Data Source 1_customer readings'!A951,'Data Source 1_customer readings'!A951:A3349,'Data Source 1_customer readings'!J951:J3349)</f>
        <v>0</v>
      </c>
    </row>
    <row r="952" spans="1:8" x14ac:dyDescent="0.2">
      <c r="A952" s="2" t="s">
        <v>31</v>
      </c>
      <c r="B952" s="2">
        <v>14</v>
      </c>
      <c r="C952" s="2">
        <v>4</v>
      </c>
      <c r="D952" s="2">
        <v>2021</v>
      </c>
      <c r="E952" s="2">
        <v>0</v>
      </c>
      <c r="F952" s="2">
        <v>174.9</v>
      </c>
      <c r="H952" s="1">
        <f>_xlfn.XLOOKUP('Data Source 1_customer readings'!A952,'Data Source 1_customer readings'!A952:A3350,'Data Source 1_customer readings'!J952:J3350)</f>
        <v>0</v>
      </c>
    </row>
    <row r="953" spans="1:8" x14ac:dyDescent="0.2">
      <c r="A953" s="2" t="s">
        <v>26</v>
      </c>
      <c r="B953" s="2">
        <v>22</v>
      </c>
      <c r="C953" s="2">
        <v>4</v>
      </c>
      <c r="D953" s="2">
        <v>2021</v>
      </c>
      <c r="E953" s="2">
        <v>0</v>
      </c>
      <c r="F953" s="2">
        <v>174.6</v>
      </c>
      <c r="H953" s="1">
        <f>_xlfn.XLOOKUP('Data Source 1_customer readings'!A953,'Data Source 1_customer readings'!A953:A3351,'Data Source 1_customer readings'!J953:J3351)</f>
        <v>0</v>
      </c>
    </row>
    <row r="954" spans="1:8" x14ac:dyDescent="0.2">
      <c r="A954" s="2" t="s">
        <v>3</v>
      </c>
      <c r="B954" s="2">
        <v>25</v>
      </c>
      <c r="C954" s="2">
        <v>11</v>
      </c>
      <c r="D954" s="2">
        <v>2021</v>
      </c>
      <c r="E954" s="2">
        <v>0</v>
      </c>
      <c r="F954" s="2">
        <v>174</v>
      </c>
      <c r="H954" s="1">
        <f>_xlfn.XLOOKUP('Data Source 1_customer readings'!A954,'Data Source 1_customer readings'!A954:A3352,'Data Source 1_customer readings'!J954:J3352)</f>
        <v>0</v>
      </c>
    </row>
    <row r="955" spans="1:8" x14ac:dyDescent="0.2">
      <c r="A955" s="2" t="s">
        <v>24</v>
      </c>
      <c r="B955" s="2">
        <v>22</v>
      </c>
      <c r="C955" s="2">
        <v>2</v>
      </c>
      <c r="D955" s="2">
        <v>2021</v>
      </c>
      <c r="E955" s="2">
        <v>0</v>
      </c>
      <c r="F955" s="2">
        <v>172.48</v>
      </c>
      <c r="H955" s="1">
        <f>_xlfn.XLOOKUP('Data Source 1_customer readings'!A955,'Data Source 1_customer readings'!A955:A3353,'Data Source 1_customer readings'!J955:J3353)</f>
        <v>0</v>
      </c>
    </row>
    <row r="956" spans="1:8" x14ac:dyDescent="0.2">
      <c r="A956" s="2" t="s">
        <v>15</v>
      </c>
      <c r="B956" s="2">
        <v>5</v>
      </c>
      <c r="C956" s="2">
        <v>10</v>
      </c>
      <c r="D956" s="2">
        <v>2021</v>
      </c>
      <c r="E956" s="2">
        <v>0</v>
      </c>
      <c r="F956" s="2">
        <v>172.36</v>
      </c>
      <c r="H956" s="1">
        <f>_xlfn.XLOOKUP('Data Source 1_customer readings'!A956,'Data Source 1_customer readings'!A956:A3354,'Data Source 1_customer readings'!J956:J3354)</f>
        <v>0</v>
      </c>
    </row>
    <row r="957" spans="1:8" x14ac:dyDescent="0.2">
      <c r="A957" s="2" t="s">
        <v>12</v>
      </c>
      <c r="B957" s="2">
        <v>2</v>
      </c>
      <c r="C957" s="2">
        <v>11</v>
      </c>
      <c r="D957" s="2">
        <v>2021</v>
      </c>
      <c r="E957" s="2">
        <v>0</v>
      </c>
      <c r="F957" s="2">
        <v>171.9</v>
      </c>
      <c r="H957" s="1">
        <f>_xlfn.XLOOKUP('Data Source 1_customer readings'!A957,'Data Source 1_customer readings'!A957:A3355,'Data Source 1_customer readings'!J957:J3355)</f>
        <v>0</v>
      </c>
    </row>
    <row r="958" spans="1:8" x14ac:dyDescent="0.2">
      <c r="A958" s="2" t="s">
        <v>15</v>
      </c>
      <c r="B958" s="2">
        <v>5</v>
      </c>
      <c r="C958" s="2">
        <v>11</v>
      </c>
      <c r="D958" s="2">
        <v>2021</v>
      </c>
      <c r="E958" s="2">
        <v>0</v>
      </c>
      <c r="F958" s="2">
        <v>171.6</v>
      </c>
      <c r="H958" s="1">
        <f>_xlfn.XLOOKUP('Data Source 1_customer readings'!A958,'Data Source 1_customer readings'!A958:A3356,'Data Source 1_customer readings'!J958:J3356)</f>
        <v>0</v>
      </c>
    </row>
    <row r="959" spans="1:8" x14ac:dyDescent="0.2">
      <c r="A959" s="2" t="s">
        <v>13</v>
      </c>
      <c r="B959" s="2">
        <v>7</v>
      </c>
      <c r="C959" s="2">
        <v>11</v>
      </c>
      <c r="D959" s="2">
        <v>2021</v>
      </c>
      <c r="E959" s="2">
        <v>0</v>
      </c>
      <c r="F959" s="2">
        <v>171.6</v>
      </c>
      <c r="H959" s="1">
        <f>_xlfn.XLOOKUP('Data Source 1_customer readings'!A959,'Data Source 1_customer readings'!A959:A3357,'Data Source 1_customer readings'!J959:J3357)</f>
        <v>0</v>
      </c>
    </row>
    <row r="960" spans="1:8" x14ac:dyDescent="0.2">
      <c r="A960" s="2" t="s">
        <v>7</v>
      </c>
      <c r="B960" s="2">
        <v>20</v>
      </c>
      <c r="C960" s="2">
        <v>12</v>
      </c>
      <c r="D960" s="2">
        <v>2021</v>
      </c>
      <c r="E960" s="2">
        <v>0</v>
      </c>
      <c r="F960" s="2">
        <v>171.43</v>
      </c>
      <c r="H960" s="1">
        <f>_xlfn.XLOOKUP('Data Source 1_customer readings'!A960,'Data Source 1_customer readings'!A960:A3358,'Data Source 1_customer readings'!J960:J3358)</f>
        <v>0</v>
      </c>
    </row>
    <row r="961" spans="1:8" x14ac:dyDescent="0.2">
      <c r="A961" s="2" t="s">
        <v>6</v>
      </c>
      <c r="B961" s="2">
        <v>7</v>
      </c>
      <c r="C961" s="2">
        <v>11</v>
      </c>
      <c r="D961" s="2">
        <v>2021</v>
      </c>
      <c r="E961" s="2">
        <v>0</v>
      </c>
      <c r="F961" s="2">
        <v>171</v>
      </c>
      <c r="H961" s="1">
        <f>_xlfn.XLOOKUP('Data Source 1_customer readings'!A961,'Data Source 1_customer readings'!A961:A3359,'Data Source 1_customer readings'!J961:J3359)</f>
        <v>0</v>
      </c>
    </row>
    <row r="962" spans="1:8" x14ac:dyDescent="0.2">
      <c r="A962" s="2" t="s">
        <v>5</v>
      </c>
      <c r="B962" s="2">
        <v>7</v>
      </c>
      <c r="C962" s="2">
        <v>2</v>
      </c>
      <c r="D962" s="2">
        <v>2021</v>
      </c>
      <c r="E962" s="2">
        <v>0</v>
      </c>
      <c r="F962" s="2">
        <v>170.8</v>
      </c>
      <c r="H962" s="1">
        <f>_xlfn.XLOOKUP('Data Source 1_customer readings'!A962,'Data Source 1_customer readings'!A962:A3360,'Data Source 1_customer readings'!J962:J3360)</f>
        <v>0</v>
      </c>
    </row>
    <row r="963" spans="1:8" x14ac:dyDescent="0.2">
      <c r="A963" s="2" t="s">
        <v>13</v>
      </c>
      <c r="B963" s="2">
        <v>7</v>
      </c>
      <c r="C963" s="2">
        <v>12</v>
      </c>
      <c r="D963" s="2">
        <v>2021</v>
      </c>
      <c r="E963" s="2">
        <v>0</v>
      </c>
      <c r="F963" s="2">
        <v>170.5</v>
      </c>
      <c r="H963" s="1">
        <f>_xlfn.XLOOKUP('Data Source 1_customer readings'!A963,'Data Source 1_customer readings'!A963:A3361,'Data Source 1_customer readings'!J963:J3361)</f>
        <v>0</v>
      </c>
    </row>
    <row r="964" spans="1:8" x14ac:dyDescent="0.2">
      <c r="A964" s="2" t="s">
        <v>25</v>
      </c>
      <c r="B964" s="2">
        <v>8</v>
      </c>
      <c r="C964" s="2">
        <v>12</v>
      </c>
      <c r="D964" s="2">
        <v>2021</v>
      </c>
      <c r="E964" s="2">
        <v>0</v>
      </c>
      <c r="F964" s="2">
        <v>170.5</v>
      </c>
      <c r="H964" s="1">
        <f>_xlfn.XLOOKUP('Data Source 1_customer readings'!A964,'Data Source 1_customer readings'!A964:A3362,'Data Source 1_customer readings'!J964:J3362)</f>
        <v>0</v>
      </c>
    </row>
    <row r="965" spans="1:8" x14ac:dyDescent="0.2">
      <c r="A965" s="2" t="s">
        <v>10</v>
      </c>
      <c r="B965" s="2">
        <v>18</v>
      </c>
      <c r="C965" s="2">
        <v>2</v>
      </c>
      <c r="D965" s="2">
        <v>2021</v>
      </c>
      <c r="E965" s="2">
        <v>0</v>
      </c>
      <c r="F965" s="2">
        <v>170.24</v>
      </c>
      <c r="H965" s="1">
        <f>_xlfn.XLOOKUP('Data Source 1_customer readings'!A965,'Data Source 1_customer readings'!A965:A3363,'Data Source 1_customer readings'!J965:J3363)</f>
        <v>0</v>
      </c>
    </row>
    <row r="966" spans="1:8" x14ac:dyDescent="0.2">
      <c r="A966" s="2" t="s">
        <v>16</v>
      </c>
      <c r="B966" s="2">
        <v>14</v>
      </c>
      <c r="C966" s="2">
        <v>11</v>
      </c>
      <c r="D966" s="2">
        <v>2021</v>
      </c>
      <c r="E966" s="2">
        <v>0</v>
      </c>
      <c r="F966" s="2">
        <v>168.6</v>
      </c>
      <c r="H966" s="1">
        <f>_xlfn.XLOOKUP('Data Source 1_customer readings'!A966,'Data Source 1_customer readings'!A966:A3364,'Data Source 1_customer readings'!J966:J3364)</f>
        <v>0</v>
      </c>
    </row>
    <row r="967" spans="1:8" x14ac:dyDescent="0.2">
      <c r="A967" s="2" t="s">
        <v>19</v>
      </c>
      <c r="B967" s="2">
        <v>24</v>
      </c>
      <c r="C967" s="2">
        <v>1</v>
      </c>
      <c r="D967" s="2">
        <v>2021</v>
      </c>
      <c r="E967" s="2">
        <v>0</v>
      </c>
      <c r="F967" s="2">
        <v>168.02</v>
      </c>
      <c r="H967" s="1">
        <f>_xlfn.XLOOKUP('Data Source 1_customer readings'!A967,'Data Source 1_customer readings'!A967:A3365,'Data Source 1_customer readings'!J967:J3365)</f>
        <v>0</v>
      </c>
    </row>
    <row r="968" spans="1:8" x14ac:dyDescent="0.2">
      <c r="A968" s="2" t="s">
        <v>10</v>
      </c>
      <c r="B968" s="2">
        <v>18</v>
      </c>
      <c r="C968" s="2">
        <v>1</v>
      </c>
      <c r="D968" s="2">
        <v>2021</v>
      </c>
      <c r="E968" s="2">
        <v>0</v>
      </c>
      <c r="F968" s="2">
        <v>167.4</v>
      </c>
      <c r="H968" s="1">
        <f>_xlfn.XLOOKUP('Data Source 1_customer readings'!A968,'Data Source 1_customer readings'!A968:A3366,'Data Source 1_customer readings'!J968:J3366)</f>
        <v>0</v>
      </c>
    </row>
    <row r="969" spans="1:8" x14ac:dyDescent="0.2">
      <c r="A969" s="2" t="s">
        <v>25</v>
      </c>
      <c r="B969" s="2">
        <v>8</v>
      </c>
      <c r="C969" s="2">
        <v>10</v>
      </c>
      <c r="D969" s="2">
        <v>2021</v>
      </c>
      <c r="E969" s="2">
        <v>0</v>
      </c>
      <c r="F969" s="2">
        <v>167.09</v>
      </c>
      <c r="H969" s="1">
        <f>_xlfn.XLOOKUP('Data Source 1_customer readings'!A969,'Data Source 1_customer readings'!A969:A3367,'Data Source 1_customer readings'!J969:J3367)</f>
        <v>0</v>
      </c>
    </row>
    <row r="970" spans="1:8" x14ac:dyDescent="0.2">
      <c r="A970" s="2" t="s">
        <v>14</v>
      </c>
      <c r="B970" s="2">
        <v>10</v>
      </c>
      <c r="C970" s="2">
        <v>1</v>
      </c>
      <c r="D970" s="2">
        <v>2021</v>
      </c>
      <c r="E970" s="2">
        <v>0</v>
      </c>
      <c r="F970" s="2">
        <v>166.78</v>
      </c>
      <c r="H970" s="1">
        <f>_xlfn.XLOOKUP('Data Source 1_customer readings'!A970,'Data Source 1_customer readings'!A970:A3368,'Data Source 1_customer readings'!J970:J3368)</f>
        <v>0</v>
      </c>
    </row>
    <row r="971" spans="1:8" x14ac:dyDescent="0.2">
      <c r="A971" s="2" t="s">
        <v>32</v>
      </c>
      <c r="B971" s="2">
        <v>17</v>
      </c>
      <c r="C971" s="2">
        <v>6</v>
      </c>
      <c r="D971" s="2">
        <v>2021</v>
      </c>
      <c r="E971" s="2">
        <v>0</v>
      </c>
      <c r="F971" s="2">
        <v>166.5</v>
      </c>
      <c r="H971" s="1">
        <f>_xlfn.XLOOKUP('Data Source 1_customer readings'!A971,'Data Source 1_customer readings'!A971:A3369,'Data Source 1_customer readings'!J971:J3369)</f>
        <v>0</v>
      </c>
    </row>
    <row r="972" spans="1:8" x14ac:dyDescent="0.2">
      <c r="A972" s="2" t="s">
        <v>16</v>
      </c>
      <c r="B972" s="2">
        <v>14</v>
      </c>
      <c r="C972" s="2">
        <v>10</v>
      </c>
      <c r="D972" s="2">
        <v>2021</v>
      </c>
      <c r="E972" s="2">
        <v>0</v>
      </c>
      <c r="F972" s="2">
        <v>166.47</v>
      </c>
      <c r="H972" s="1">
        <f>_xlfn.XLOOKUP('Data Source 1_customer readings'!A972,'Data Source 1_customer readings'!A972:A3370,'Data Source 1_customer readings'!J972:J3370)</f>
        <v>0</v>
      </c>
    </row>
    <row r="973" spans="1:8" x14ac:dyDescent="0.2">
      <c r="A973" s="2" t="s">
        <v>14</v>
      </c>
      <c r="B973" s="2">
        <v>10</v>
      </c>
      <c r="C973" s="2">
        <v>2</v>
      </c>
      <c r="D973" s="2">
        <v>2021</v>
      </c>
      <c r="E973" s="2">
        <v>0</v>
      </c>
      <c r="F973" s="2">
        <v>166.32</v>
      </c>
      <c r="H973" s="1">
        <f>_xlfn.XLOOKUP('Data Source 1_customer readings'!A973,'Data Source 1_customer readings'!A973:A3371,'Data Source 1_customer readings'!J973:J3371)</f>
        <v>0</v>
      </c>
    </row>
    <row r="974" spans="1:8" x14ac:dyDescent="0.2">
      <c r="A974" s="2" t="s">
        <v>31</v>
      </c>
      <c r="B974" s="2">
        <v>14</v>
      </c>
      <c r="C974" s="2">
        <v>9</v>
      </c>
      <c r="D974" s="2">
        <v>2021</v>
      </c>
      <c r="E974" s="2">
        <v>0</v>
      </c>
      <c r="F974" s="2">
        <v>165.9</v>
      </c>
      <c r="H974" s="1">
        <f>_xlfn.XLOOKUP('Data Source 1_customer readings'!A974,'Data Source 1_customer readings'!A974:A3372,'Data Source 1_customer readings'!J974:J3372)</f>
        <v>0</v>
      </c>
    </row>
    <row r="975" spans="1:8" x14ac:dyDescent="0.2">
      <c r="A975" s="2" t="s">
        <v>20</v>
      </c>
      <c r="B975" s="2">
        <v>12</v>
      </c>
      <c r="C975" s="2">
        <v>3</v>
      </c>
      <c r="D975" s="2">
        <v>2021</v>
      </c>
      <c r="E975" s="2">
        <v>0</v>
      </c>
      <c r="F975" s="2">
        <v>165.85</v>
      </c>
      <c r="H975" s="1">
        <f>_xlfn.XLOOKUP('Data Source 1_customer readings'!A975,'Data Source 1_customer readings'!A975:A3373,'Data Source 1_customer readings'!J975:J3373)</f>
        <v>0</v>
      </c>
    </row>
    <row r="976" spans="1:8" x14ac:dyDescent="0.2">
      <c r="A976" s="2" t="s">
        <v>28</v>
      </c>
      <c r="B976" s="2">
        <v>5</v>
      </c>
      <c r="C976" s="2">
        <v>10</v>
      </c>
      <c r="D976" s="2">
        <v>2021</v>
      </c>
      <c r="E976" s="2">
        <v>0</v>
      </c>
      <c r="F976" s="2">
        <v>165.54</v>
      </c>
      <c r="H976" s="1">
        <f>_xlfn.XLOOKUP('Data Source 1_customer readings'!A976,'Data Source 1_customer readings'!A976:A3374,'Data Source 1_customer readings'!J976:J3374)</f>
        <v>0</v>
      </c>
    </row>
    <row r="977" spans="1:8" x14ac:dyDescent="0.2">
      <c r="A977" s="2" t="s">
        <v>22</v>
      </c>
      <c r="B977" s="2">
        <v>22</v>
      </c>
      <c r="C977" s="2">
        <v>10</v>
      </c>
      <c r="D977" s="2">
        <v>2021</v>
      </c>
      <c r="E977" s="2">
        <v>0</v>
      </c>
      <c r="F977" s="2">
        <v>165.54</v>
      </c>
      <c r="H977" s="1">
        <f>_xlfn.XLOOKUP('Data Source 1_customer readings'!A977,'Data Source 1_customer readings'!A977:A3375,'Data Source 1_customer readings'!J977:J3375)</f>
        <v>0</v>
      </c>
    </row>
    <row r="978" spans="1:8" x14ac:dyDescent="0.2">
      <c r="A978" s="2" t="s">
        <v>23</v>
      </c>
      <c r="B978" s="2">
        <v>5</v>
      </c>
      <c r="C978" s="2">
        <v>4</v>
      </c>
      <c r="D978" s="2">
        <v>2021</v>
      </c>
      <c r="E978" s="2">
        <v>0</v>
      </c>
      <c r="F978" s="2">
        <v>165.3</v>
      </c>
      <c r="H978" s="1">
        <f>_xlfn.XLOOKUP('Data Source 1_customer readings'!A978,'Data Source 1_customer readings'!A978:A3376,'Data Source 1_customer readings'!J978:J3376)</f>
        <v>0</v>
      </c>
    </row>
    <row r="979" spans="1:8" x14ac:dyDescent="0.2">
      <c r="A979" s="2" t="s">
        <v>17</v>
      </c>
      <c r="B979" s="2">
        <v>8</v>
      </c>
      <c r="C979" s="2">
        <v>12</v>
      </c>
      <c r="D979" s="2">
        <v>2021</v>
      </c>
      <c r="E979" s="2">
        <v>0</v>
      </c>
      <c r="F979" s="2">
        <v>165.23</v>
      </c>
      <c r="H979" s="1">
        <f>_xlfn.XLOOKUP('Data Source 1_customer readings'!A979,'Data Source 1_customer readings'!A979:A3377,'Data Source 1_customer readings'!J979:J3377)</f>
        <v>0</v>
      </c>
    </row>
    <row r="980" spans="1:8" x14ac:dyDescent="0.2">
      <c r="A980" s="2" t="s">
        <v>13</v>
      </c>
      <c r="B980" s="2">
        <v>7</v>
      </c>
      <c r="C980" s="2">
        <v>2</v>
      </c>
      <c r="D980" s="2">
        <v>2021</v>
      </c>
      <c r="E980" s="2">
        <v>0</v>
      </c>
      <c r="F980" s="2">
        <v>165.2</v>
      </c>
      <c r="H980" s="1">
        <f>_xlfn.XLOOKUP('Data Source 1_customer readings'!A980,'Data Source 1_customer readings'!A980:A3378,'Data Source 1_customer readings'!J980:J3378)</f>
        <v>0</v>
      </c>
    </row>
    <row r="981" spans="1:8" x14ac:dyDescent="0.2">
      <c r="A981" s="2" t="s">
        <v>28</v>
      </c>
      <c r="B981" s="2">
        <v>5</v>
      </c>
      <c r="C981" s="2">
        <v>7</v>
      </c>
      <c r="D981" s="2">
        <v>2021</v>
      </c>
      <c r="E981" s="2">
        <v>0</v>
      </c>
      <c r="F981" s="2">
        <v>164.92</v>
      </c>
      <c r="H981" s="1">
        <f>_xlfn.XLOOKUP('Data Source 1_customer readings'!A981,'Data Source 1_customer readings'!A981:A3379,'Data Source 1_customer readings'!J981:J3379)</f>
        <v>0</v>
      </c>
    </row>
    <row r="982" spans="1:8" x14ac:dyDescent="0.2">
      <c r="A982" s="2" t="s">
        <v>11</v>
      </c>
      <c r="B982" s="2">
        <v>15</v>
      </c>
      <c r="C982" s="2">
        <v>2</v>
      </c>
      <c r="D982" s="2">
        <v>2021</v>
      </c>
      <c r="E982" s="2">
        <v>0</v>
      </c>
      <c r="F982" s="2">
        <v>164.64</v>
      </c>
      <c r="H982" s="1">
        <f>_xlfn.XLOOKUP('Data Source 1_customer readings'!A982,'Data Source 1_customer readings'!A982:A3380,'Data Source 1_customer readings'!J982:J3380)</f>
        <v>0</v>
      </c>
    </row>
    <row r="983" spans="1:8" x14ac:dyDescent="0.2">
      <c r="A983" s="2" t="s">
        <v>15</v>
      </c>
      <c r="B983" s="2">
        <v>5</v>
      </c>
      <c r="C983" s="2">
        <v>3</v>
      </c>
      <c r="D983" s="2">
        <v>2021</v>
      </c>
      <c r="E983" s="2">
        <v>0</v>
      </c>
      <c r="F983" s="2">
        <v>164.61</v>
      </c>
      <c r="H983" s="1">
        <f>_xlfn.XLOOKUP('Data Source 1_customer readings'!A983,'Data Source 1_customer readings'!A983:A3381,'Data Source 1_customer readings'!J983:J3381)</f>
        <v>0</v>
      </c>
    </row>
    <row r="984" spans="1:8" x14ac:dyDescent="0.2">
      <c r="A984" s="2" t="s">
        <v>32</v>
      </c>
      <c r="B984" s="2">
        <v>17</v>
      </c>
      <c r="C984" s="2">
        <v>5</v>
      </c>
      <c r="D984" s="2">
        <v>2021</v>
      </c>
      <c r="E984" s="2">
        <v>0</v>
      </c>
      <c r="F984" s="2">
        <v>164.61</v>
      </c>
      <c r="H984" s="1">
        <f>_xlfn.XLOOKUP('Data Source 1_customer readings'!A984,'Data Source 1_customer readings'!A984:A3382,'Data Source 1_customer readings'!J984:J3382)</f>
        <v>0</v>
      </c>
    </row>
    <row r="985" spans="1:8" x14ac:dyDescent="0.2">
      <c r="A985" s="2" t="s">
        <v>32</v>
      </c>
      <c r="B985" s="2">
        <v>17</v>
      </c>
      <c r="C985" s="2">
        <v>7</v>
      </c>
      <c r="D985" s="2">
        <v>2021</v>
      </c>
      <c r="E985" s="2">
        <v>0</v>
      </c>
      <c r="F985" s="2">
        <v>163.99</v>
      </c>
      <c r="H985" s="1">
        <f>_xlfn.XLOOKUP('Data Source 1_customer readings'!A985,'Data Source 1_customer readings'!A985:A3383,'Data Source 1_customer readings'!J985:J3383)</f>
        <v>0</v>
      </c>
    </row>
    <row r="986" spans="1:8" x14ac:dyDescent="0.2">
      <c r="A986" s="2" t="s">
        <v>19</v>
      </c>
      <c r="B986" s="2">
        <v>24</v>
      </c>
      <c r="C986" s="2">
        <v>2</v>
      </c>
      <c r="D986" s="2">
        <v>2021</v>
      </c>
      <c r="E986" s="2">
        <v>0</v>
      </c>
      <c r="F986" s="2">
        <v>163.80000000000001</v>
      </c>
      <c r="H986" s="1">
        <f>_xlfn.XLOOKUP('Data Source 1_customer readings'!A986,'Data Source 1_customer readings'!A986:A3384,'Data Source 1_customer readings'!J986:J3384)</f>
        <v>0</v>
      </c>
    </row>
    <row r="987" spans="1:8" x14ac:dyDescent="0.2">
      <c r="A987" s="2" t="s">
        <v>3</v>
      </c>
      <c r="B987" s="2">
        <v>25</v>
      </c>
      <c r="C987" s="2">
        <v>12</v>
      </c>
      <c r="D987" s="2">
        <v>2021</v>
      </c>
      <c r="E987" s="2">
        <v>0</v>
      </c>
      <c r="F987" s="2">
        <v>163.68</v>
      </c>
      <c r="H987" s="1">
        <f>_xlfn.XLOOKUP('Data Source 1_customer readings'!A987,'Data Source 1_customer readings'!A987:A3385,'Data Source 1_customer readings'!J987:J3385)</f>
        <v>0</v>
      </c>
    </row>
    <row r="988" spans="1:8" x14ac:dyDescent="0.2">
      <c r="A988" s="2" t="s">
        <v>30</v>
      </c>
      <c r="B988" s="2">
        <v>2</v>
      </c>
      <c r="C988" s="2">
        <v>7</v>
      </c>
      <c r="D988" s="2">
        <v>2021</v>
      </c>
      <c r="E988" s="2">
        <v>0</v>
      </c>
      <c r="F988" s="2">
        <v>163.06</v>
      </c>
      <c r="H988" s="1">
        <f>_xlfn.XLOOKUP('Data Source 1_customer readings'!A988,'Data Source 1_customer readings'!A988:A3386,'Data Source 1_customer readings'!J988:J3386)</f>
        <v>0</v>
      </c>
    </row>
    <row r="989" spans="1:8" x14ac:dyDescent="0.2">
      <c r="A989" s="2" t="s">
        <v>8</v>
      </c>
      <c r="B989" s="2">
        <v>5</v>
      </c>
      <c r="C989" s="2">
        <v>4</v>
      </c>
      <c r="D989" s="2">
        <v>2021</v>
      </c>
      <c r="E989" s="2">
        <v>0</v>
      </c>
      <c r="F989" s="2">
        <v>162.6</v>
      </c>
      <c r="H989" s="1">
        <f>_xlfn.XLOOKUP('Data Source 1_customer readings'!A989,'Data Source 1_customer readings'!A989:A3387,'Data Source 1_customer readings'!J989:J3387)</f>
        <v>0</v>
      </c>
    </row>
    <row r="990" spans="1:8" x14ac:dyDescent="0.2">
      <c r="A990" s="2" t="s">
        <v>30</v>
      </c>
      <c r="B990" s="2">
        <v>2</v>
      </c>
      <c r="C990" s="2">
        <v>6</v>
      </c>
      <c r="D990" s="2">
        <v>2021</v>
      </c>
      <c r="E990" s="2">
        <v>0</v>
      </c>
      <c r="F990" s="2">
        <v>162.30000000000001</v>
      </c>
      <c r="H990" s="1">
        <f>_xlfn.XLOOKUP('Data Source 1_customer readings'!A990,'Data Source 1_customer readings'!A990:A3388,'Data Source 1_customer readings'!J990:J3388)</f>
        <v>0</v>
      </c>
    </row>
    <row r="991" spans="1:8" x14ac:dyDescent="0.2">
      <c r="A991" s="2" t="s">
        <v>32</v>
      </c>
      <c r="B991" s="2">
        <v>17</v>
      </c>
      <c r="C991" s="2">
        <v>8</v>
      </c>
      <c r="D991" s="2">
        <v>2021</v>
      </c>
      <c r="E991" s="2">
        <v>0</v>
      </c>
      <c r="F991" s="2">
        <v>160.88999999999999</v>
      </c>
      <c r="H991" s="1">
        <f>_xlfn.XLOOKUP('Data Source 1_customer readings'!A991,'Data Source 1_customer readings'!A991:A3389,'Data Source 1_customer readings'!J991:J3389)</f>
        <v>0</v>
      </c>
    </row>
    <row r="992" spans="1:8" x14ac:dyDescent="0.2">
      <c r="A992" s="2" t="s">
        <v>29</v>
      </c>
      <c r="B992" s="2">
        <v>20</v>
      </c>
      <c r="C992" s="2">
        <v>10</v>
      </c>
      <c r="D992" s="2">
        <v>2021</v>
      </c>
      <c r="E992" s="2">
        <v>0</v>
      </c>
      <c r="F992" s="2">
        <v>160.27000000000001</v>
      </c>
      <c r="H992" s="1">
        <f>_xlfn.XLOOKUP('Data Source 1_customer readings'!A992,'Data Source 1_customer readings'!A992:A3390,'Data Source 1_customer readings'!J992:J3390)</f>
        <v>0</v>
      </c>
    </row>
    <row r="993" spans="1:8" x14ac:dyDescent="0.2">
      <c r="A993" s="2" t="s">
        <v>7</v>
      </c>
      <c r="B993" s="2">
        <v>20</v>
      </c>
      <c r="C993" s="2">
        <v>2</v>
      </c>
      <c r="D993" s="2">
        <v>2021</v>
      </c>
      <c r="E993" s="2">
        <v>0</v>
      </c>
      <c r="F993" s="2">
        <v>159.88</v>
      </c>
      <c r="H993" s="1">
        <f>_xlfn.XLOOKUP('Data Source 1_customer readings'!A993,'Data Source 1_customer readings'!A993:A3391,'Data Source 1_customer readings'!J993:J3391)</f>
        <v>0</v>
      </c>
    </row>
    <row r="994" spans="1:8" x14ac:dyDescent="0.2">
      <c r="A994" s="2" t="s">
        <v>25</v>
      </c>
      <c r="B994" s="2">
        <v>8</v>
      </c>
      <c r="C994" s="2">
        <v>3</v>
      </c>
      <c r="D994" s="2">
        <v>2021</v>
      </c>
      <c r="E994" s="2">
        <v>0</v>
      </c>
      <c r="F994" s="2">
        <v>159.65</v>
      </c>
      <c r="H994" s="1">
        <f>_xlfn.XLOOKUP('Data Source 1_customer readings'!A994,'Data Source 1_customer readings'!A994:A3392,'Data Source 1_customer readings'!J994:J3392)</f>
        <v>0</v>
      </c>
    </row>
    <row r="995" spans="1:8" x14ac:dyDescent="0.2">
      <c r="A995" s="2" t="s">
        <v>18</v>
      </c>
      <c r="B995" s="2">
        <v>5</v>
      </c>
      <c r="C995" s="2">
        <v>3</v>
      </c>
      <c r="D995" s="2">
        <v>2021</v>
      </c>
      <c r="E995" s="2">
        <v>0</v>
      </c>
      <c r="F995" s="2">
        <v>159.03</v>
      </c>
      <c r="H995" s="1">
        <f>_xlfn.XLOOKUP('Data Source 1_customer readings'!A995,'Data Source 1_customer readings'!A995:A3393,'Data Source 1_customer readings'!J995:J3393)</f>
        <v>0</v>
      </c>
    </row>
    <row r="996" spans="1:8" x14ac:dyDescent="0.2">
      <c r="A996" s="2" t="s">
        <v>29</v>
      </c>
      <c r="B996" s="2">
        <v>20</v>
      </c>
      <c r="C996" s="2">
        <v>3</v>
      </c>
      <c r="D996" s="2">
        <v>2021</v>
      </c>
      <c r="E996" s="2">
        <v>0</v>
      </c>
      <c r="F996" s="2">
        <v>159.03</v>
      </c>
      <c r="H996" s="1">
        <f>_xlfn.XLOOKUP('Data Source 1_customer readings'!A996,'Data Source 1_customer readings'!A996:A3394,'Data Source 1_customer readings'!J996:J3394)</f>
        <v>0</v>
      </c>
    </row>
    <row r="997" spans="1:8" x14ac:dyDescent="0.2">
      <c r="A997" s="2" t="s">
        <v>2</v>
      </c>
      <c r="B997" s="2">
        <v>18</v>
      </c>
      <c r="C997" s="2">
        <v>12</v>
      </c>
      <c r="D997" s="2">
        <v>2021</v>
      </c>
      <c r="E997" s="2">
        <v>0</v>
      </c>
      <c r="F997" s="2">
        <v>158.41</v>
      </c>
      <c r="H997" s="1">
        <f>_xlfn.XLOOKUP('Data Source 1_customer readings'!A997,'Data Source 1_customer readings'!A997:A3395,'Data Source 1_customer readings'!J997:J3395)</f>
        <v>0</v>
      </c>
    </row>
    <row r="998" spans="1:8" x14ac:dyDescent="0.2">
      <c r="A998" s="2" t="s">
        <v>17</v>
      </c>
      <c r="B998" s="2">
        <v>8</v>
      </c>
      <c r="C998" s="2">
        <v>11</v>
      </c>
      <c r="D998" s="2">
        <v>2021</v>
      </c>
      <c r="E998" s="2">
        <v>0</v>
      </c>
      <c r="F998" s="2">
        <v>158.4</v>
      </c>
      <c r="H998" s="1">
        <f>_xlfn.XLOOKUP('Data Source 1_customer readings'!A998,'Data Source 1_customer readings'!A998:A3396,'Data Source 1_customer readings'!J998:J3396)</f>
        <v>0</v>
      </c>
    </row>
    <row r="999" spans="1:8" x14ac:dyDescent="0.2">
      <c r="A999" s="2" t="s">
        <v>31</v>
      </c>
      <c r="B999" s="2">
        <v>14</v>
      </c>
      <c r="C999" s="2">
        <v>6</v>
      </c>
      <c r="D999" s="2">
        <v>2021</v>
      </c>
      <c r="E999" s="2">
        <v>0</v>
      </c>
      <c r="F999" s="2">
        <v>158.1</v>
      </c>
      <c r="H999" s="1" t="b">
        <f>_xlfn.XLOOKUP('Data Source 1_customer readings'!A999,'Data Source 1_customer readings'!A999:A3397,'Data Source 1_customer readings'!J999:J3397)</f>
        <v>0</v>
      </c>
    </row>
    <row r="1000" spans="1:8" x14ac:dyDescent="0.2">
      <c r="A1000" s="2" t="s">
        <v>23</v>
      </c>
      <c r="B1000" s="2">
        <v>5</v>
      </c>
      <c r="C1000" s="2">
        <v>3</v>
      </c>
      <c r="D1000" s="2">
        <v>2021</v>
      </c>
      <c r="E1000" s="2">
        <v>0</v>
      </c>
      <c r="F1000" s="2">
        <v>157.79</v>
      </c>
      <c r="H1000" s="1">
        <f>_xlfn.XLOOKUP('Data Source 1_customer readings'!A1000,'Data Source 1_customer readings'!A1000:A3398,'Data Source 1_customer readings'!J1000:J3398)</f>
        <v>0</v>
      </c>
    </row>
    <row r="1001" spans="1:8" x14ac:dyDescent="0.2">
      <c r="A1001" s="2" t="s">
        <v>7</v>
      </c>
      <c r="B1001" s="2">
        <v>20</v>
      </c>
      <c r="C1001" s="2">
        <v>11</v>
      </c>
      <c r="D1001" s="2">
        <v>2021</v>
      </c>
      <c r="E1001" s="2">
        <v>0</v>
      </c>
      <c r="F1001" s="2">
        <v>157.5</v>
      </c>
      <c r="H1001" s="1">
        <f>_xlfn.XLOOKUP('Data Source 1_customer readings'!A1001,'Data Source 1_customer readings'!A1001:A3399,'Data Source 1_customer readings'!J1001:J3399)</f>
        <v>0</v>
      </c>
    </row>
    <row r="1002" spans="1:8" x14ac:dyDescent="0.2">
      <c r="A1002" s="2" t="s">
        <v>25</v>
      </c>
      <c r="B1002" s="2">
        <v>8</v>
      </c>
      <c r="C1002" s="2">
        <v>4</v>
      </c>
      <c r="D1002" s="2">
        <v>2021</v>
      </c>
      <c r="E1002" s="2">
        <v>0</v>
      </c>
      <c r="F1002" s="2">
        <v>157.19999999999999</v>
      </c>
      <c r="H1002" s="1">
        <f>_xlfn.XLOOKUP('Data Source 1_customer readings'!A1002,'Data Source 1_customer readings'!A1002:A3400,'Data Source 1_customer readings'!J1002:J3400)</f>
        <v>0</v>
      </c>
    </row>
    <row r="1003" spans="1:8" x14ac:dyDescent="0.2">
      <c r="A1003" s="2" t="s">
        <v>24</v>
      </c>
      <c r="B1003" s="2">
        <v>22</v>
      </c>
      <c r="C1003" s="2">
        <v>3</v>
      </c>
      <c r="D1003" s="2">
        <v>2021</v>
      </c>
      <c r="E1003" s="2">
        <v>0</v>
      </c>
      <c r="F1003" s="2">
        <v>157.16999999999999</v>
      </c>
      <c r="H1003" s="1">
        <f>_xlfn.XLOOKUP('Data Source 1_customer readings'!A1003,'Data Source 1_customer readings'!A1003:A3401,'Data Source 1_customer readings'!J1003:J3401)</f>
        <v>0</v>
      </c>
    </row>
    <row r="1004" spans="1:8" x14ac:dyDescent="0.2">
      <c r="A1004" s="2" t="s">
        <v>27</v>
      </c>
      <c r="B1004" s="2">
        <v>1</v>
      </c>
      <c r="C1004" s="2">
        <v>7</v>
      </c>
      <c r="D1004" s="2">
        <v>2021</v>
      </c>
      <c r="E1004" s="2">
        <v>0</v>
      </c>
      <c r="F1004" s="2">
        <v>157.16999999999999</v>
      </c>
      <c r="H1004" s="1">
        <f>_xlfn.XLOOKUP('Data Source 1_customer readings'!A1004,'Data Source 1_customer readings'!A1004:A3402,'Data Source 1_customer readings'!J1004:J3402)</f>
        <v>0</v>
      </c>
    </row>
    <row r="1005" spans="1:8" x14ac:dyDescent="0.2">
      <c r="A1005" s="2" t="s">
        <v>26</v>
      </c>
      <c r="B1005" s="2">
        <v>22</v>
      </c>
      <c r="C1005" s="2">
        <v>10</v>
      </c>
      <c r="D1005" s="2">
        <v>2021</v>
      </c>
      <c r="E1005" s="2">
        <v>0</v>
      </c>
      <c r="F1005" s="2">
        <v>157.16999999999999</v>
      </c>
      <c r="H1005" s="1">
        <f>_xlfn.XLOOKUP('Data Source 1_customer readings'!A1005,'Data Source 1_customer readings'!A1005:A3403,'Data Source 1_customer readings'!J1005:J3403)</f>
        <v>0</v>
      </c>
    </row>
    <row r="1006" spans="1:8" x14ac:dyDescent="0.2">
      <c r="A1006" s="2" t="s">
        <v>2</v>
      </c>
      <c r="B1006" s="2">
        <v>18</v>
      </c>
      <c r="C1006" s="2">
        <v>1</v>
      </c>
      <c r="D1006" s="2">
        <v>2021</v>
      </c>
      <c r="E1006" s="2">
        <v>0</v>
      </c>
      <c r="F1006" s="2">
        <v>156.86000000000001</v>
      </c>
      <c r="H1006" s="1">
        <f>_xlfn.XLOOKUP('Data Source 1_customer readings'!A1006,'Data Source 1_customer readings'!A1006:A3404,'Data Source 1_customer readings'!J1006:J3404)</f>
        <v>0</v>
      </c>
    </row>
    <row r="1007" spans="1:8" x14ac:dyDescent="0.2">
      <c r="A1007" s="2" t="s">
        <v>22</v>
      </c>
      <c r="B1007" s="2">
        <v>22</v>
      </c>
      <c r="C1007" s="2">
        <v>3</v>
      </c>
      <c r="D1007" s="2">
        <v>2021</v>
      </c>
      <c r="E1007" s="2">
        <v>0</v>
      </c>
      <c r="F1007" s="2">
        <v>156.86000000000001</v>
      </c>
      <c r="H1007" s="1">
        <f>_xlfn.XLOOKUP('Data Source 1_customer readings'!A1007,'Data Source 1_customer readings'!A1007:A3405,'Data Source 1_customer readings'!J1007:J3405)</f>
        <v>0</v>
      </c>
    </row>
    <row r="1008" spans="1:8" x14ac:dyDescent="0.2">
      <c r="A1008" s="2" t="s">
        <v>24</v>
      </c>
      <c r="B1008" s="2">
        <v>22</v>
      </c>
      <c r="C1008" s="2">
        <v>4</v>
      </c>
      <c r="D1008" s="2">
        <v>2021</v>
      </c>
      <c r="E1008" s="2">
        <v>0</v>
      </c>
      <c r="F1008" s="2">
        <v>156.6</v>
      </c>
      <c r="H1008" s="1">
        <f>_xlfn.XLOOKUP('Data Source 1_customer readings'!A1008,'Data Source 1_customer readings'!A1008:A3406,'Data Source 1_customer readings'!J1008:J3406)</f>
        <v>0</v>
      </c>
    </row>
    <row r="1009" spans="1:8" x14ac:dyDescent="0.2">
      <c r="A1009" s="2" t="s">
        <v>10</v>
      </c>
      <c r="B1009" s="2">
        <v>18</v>
      </c>
      <c r="C1009" s="2">
        <v>11</v>
      </c>
      <c r="D1009" s="2">
        <v>2021</v>
      </c>
      <c r="E1009" s="2">
        <v>0</v>
      </c>
      <c r="F1009" s="2">
        <v>156.6</v>
      </c>
      <c r="H1009" s="1">
        <f>_xlfn.XLOOKUP('Data Source 1_customer readings'!A1009,'Data Source 1_customer readings'!A1009:A3407,'Data Source 1_customer readings'!J1009:J3407)</f>
        <v>0</v>
      </c>
    </row>
    <row r="1010" spans="1:8" x14ac:dyDescent="0.2">
      <c r="A1010" s="2" t="s">
        <v>5</v>
      </c>
      <c r="B1010" s="2">
        <v>7</v>
      </c>
      <c r="C1010" s="2">
        <v>3</v>
      </c>
      <c r="D1010" s="2">
        <v>2021</v>
      </c>
      <c r="E1010" s="2">
        <v>0</v>
      </c>
      <c r="F1010" s="2">
        <v>156.55000000000001</v>
      </c>
      <c r="H1010" s="1">
        <f>_xlfn.XLOOKUP('Data Source 1_customer readings'!A1010,'Data Source 1_customer readings'!A1010:A3408,'Data Source 1_customer readings'!J1010:J3408)</f>
        <v>0</v>
      </c>
    </row>
    <row r="1011" spans="1:8" x14ac:dyDescent="0.2">
      <c r="A1011" s="2" t="s">
        <v>14</v>
      </c>
      <c r="B1011" s="2">
        <v>10</v>
      </c>
      <c r="C1011" s="2">
        <v>3</v>
      </c>
      <c r="D1011" s="2">
        <v>2021</v>
      </c>
      <c r="E1011" s="2">
        <v>0</v>
      </c>
      <c r="F1011" s="2">
        <v>156.55000000000001</v>
      </c>
      <c r="H1011" s="1">
        <f>_xlfn.XLOOKUP('Data Source 1_customer readings'!A1011,'Data Source 1_customer readings'!A1011:A3409,'Data Source 1_customer readings'!J1011:J3409)</f>
        <v>0</v>
      </c>
    </row>
    <row r="1012" spans="1:8" x14ac:dyDescent="0.2">
      <c r="A1012" s="2" t="s">
        <v>29</v>
      </c>
      <c r="B1012" s="2">
        <v>20</v>
      </c>
      <c r="C1012" s="2">
        <v>2</v>
      </c>
      <c r="D1012" s="2">
        <v>2021</v>
      </c>
      <c r="E1012" s="2">
        <v>0</v>
      </c>
      <c r="F1012" s="2">
        <v>156.52000000000001</v>
      </c>
      <c r="H1012" s="1">
        <f>_xlfn.XLOOKUP('Data Source 1_customer readings'!A1012,'Data Source 1_customer readings'!A1012:A3410,'Data Source 1_customer readings'!J1012:J3410)</f>
        <v>0</v>
      </c>
    </row>
    <row r="1013" spans="1:8" x14ac:dyDescent="0.2">
      <c r="A1013" s="2" t="s">
        <v>15</v>
      </c>
      <c r="B1013" s="2">
        <v>5</v>
      </c>
      <c r="C1013" s="2">
        <v>4</v>
      </c>
      <c r="D1013" s="2">
        <v>2021</v>
      </c>
      <c r="E1013" s="2">
        <v>0</v>
      </c>
      <c r="F1013" s="2">
        <v>156.30000000000001</v>
      </c>
      <c r="H1013" s="1">
        <f>_xlfn.XLOOKUP('Data Source 1_customer readings'!A1013,'Data Source 1_customer readings'!A1013:A3411,'Data Source 1_customer readings'!J1013:J3411)</f>
        <v>0</v>
      </c>
    </row>
    <row r="1014" spans="1:8" x14ac:dyDescent="0.2">
      <c r="A1014" s="2" t="s">
        <v>30</v>
      </c>
      <c r="B1014" s="2">
        <v>2</v>
      </c>
      <c r="C1014" s="2">
        <v>9</v>
      </c>
      <c r="D1014" s="2">
        <v>2021</v>
      </c>
      <c r="E1014" s="2">
        <v>0</v>
      </c>
      <c r="F1014" s="2">
        <v>156.30000000000001</v>
      </c>
      <c r="H1014" s="1">
        <f>_xlfn.XLOOKUP('Data Source 1_customer readings'!A1014,'Data Source 1_customer readings'!A1014:A3412,'Data Source 1_customer readings'!J1014:J3412)</f>
        <v>0</v>
      </c>
    </row>
    <row r="1015" spans="1:8" x14ac:dyDescent="0.2">
      <c r="A1015" s="2" t="s">
        <v>8</v>
      </c>
      <c r="B1015" s="2">
        <v>5</v>
      </c>
      <c r="C1015" s="2">
        <v>10</v>
      </c>
      <c r="D1015" s="2">
        <v>2021</v>
      </c>
      <c r="E1015" s="2">
        <v>0</v>
      </c>
      <c r="F1015" s="2">
        <v>155.93</v>
      </c>
      <c r="H1015" s="1">
        <f>_xlfn.XLOOKUP('Data Source 1_customer readings'!A1015,'Data Source 1_customer readings'!A1015:A3413,'Data Source 1_customer readings'!J1015:J3413)</f>
        <v>0</v>
      </c>
    </row>
    <row r="1016" spans="1:8" x14ac:dyDescent="0.2">
      <c r="A1016" s="2" t="s">
        <v>2</v>
      </c>
      <c r="B1016" s="2">
        <v>18</v>
      </c>
      <c r="C1016" s="2">
        <v>11</v>
      </c>
      <c r="D1016" s="2">
        <v>2021</v>
      </c>
      <c r="E1016" s="2">
        <v>0</v>
      </c>
      <c r="F1016" s="2">
        <v>155.69999999999999</v>
      </c>
      <c r="H1016" s="1">
        <f>_xlfn.XLOOKUP('Data Source 1_customer readings'!A1016,'Data Source 1_customer readings'!A1016:A3414,'Data Source 1_customer readings'!J1016:J3414)</f>
        <v>0</v>
      </c>
    </row>
    <row r="1017" spans="1:8" x14ac:dyDescent="0.2">
      <c r="A1017" s="2" t="s">
        <v>18</v>
      </c>
      <c r="B1017" s="2">
        <v>5</v>
      </c>
      <c r="C1017" s="2">
        <v>4</v>
      </c>
      <c r="D1017" s="2">
        <v>2021</v>
      </c>
      <c r="E1017" s="2">
        <v>0</v>
      </c>
      <c r="F1017" s="2">
        <v>155.4</v>
      </c>
      <c r="H1017" s="1">
        <f>_xlfn.XLOOKUP('Data Source 1_customer readings'!A1017,'Data Source 1_customer readings'!A1017:A3415,'Data Source 1_customer readings'!J1017:J3415)</f>
        <v>0</v>
      </c>
    </row>
    <row r="1018" spans="1:8" x14ac:dyDescent="0.2">
      <c r="A1018" s="2" t="s">
        <v>29</v>
      </c>
      <c r="B1018" s="2">
        <v>20</v>
      </c>
      <c r="C1018" s="2">
        <v>4</v>
      </c>
      <c r="D1018" s="2">
        <v>2021</v>
      </c>
      <c r="E1018" s="2">
        <v>0</v>
      </c>
      <c r="F1018" s="2">
        <v>155.4</v>
      </c>
      <c r="H1018" s="1">
        <f>_xlfn.XLOOKUP('Data Source 1_customer readings'!A1018,'Data Source 1_customer readings'!A1018:A3416,'Data Source 1_customer readings'!J1018:J3416)</f>
        <v>0</v>
      </c>
    </row>
    <row r="1019" spans="1:8" x14ac:dyDescent="0.2">
      <c r="A1019" s="2" t="s">
        <v>31</v>
      </c>
      <c r="B1019" s="2">
        <v>14</v>
      </c>
      <c r="C1019" s="2">
        <v>5</v>
      </c>
      <c r="D1019" s="2">
        <v>2021</v>
      </c>
      <c r="E1019" s="2">
        <v>0</v>
      </c>
      <c r="F1019" s="2">
        <v>155</v>
      </c>
      <c r="H1019" s="1">
        <f>_xlfn.XLOOKUP('Data Source 1_customer readings'!A1019,'Data Source 1_customer readings'!A1019:A3417,'Data Source 1_customer readings'!J1019:J3417)</f>
        <v>0</v>
      </c>
    </row>
    <row r="1020" spans="1:8" x14ac:dyDescent="0.2">
      <c r="A1020" s="2" t="s">
        <v>4</v>
      </c>
      <c r="B1020" s="2">
        <v>1</v>
      </c>
      <c r="C1020" s="2">
        <v>2</v>
      </c>
      <c r="D1020" s="2">
        <v>2021</v>
      </c>
      <c r="E1020" s="2">
        <v>0</v>
      </c>
      <c r="F1020" s="2">
        <v>154.84</v>
      </c>
      <c r="H1020" s="1">
        <f>_xlfn.XLOOKUP('Data Source 1_customer readings'!A1020,'Data Source 1_customer readings'!A1020:A3418,'Data Source 1_customer readings'!J1020:J3418)</f>
        <v>0</v>
      </c>
    </row>
    <row r="1021" spans="1:8" x14ac:dyDescent="0.2">
      <c r="A1021" s="2" t="s">
        <v>31</v>
      </c>
      <c r="B1021" s="2">
        <v>14</v>
      </c>
      <c r="C1021" s="2">
        <v>7</v>
      </c>
      <c r="D1021" s="2">
        <v>2021</v>
      </c>
      <c r="E1021" s="2">
        <v>0</v>
      </c>
      <c r="F1021" s="2">
        <v>154.69</v>
      </c>
      <c r="H1021" s="1">
        <f>_xlfn.XLOOKUP('Data Source 1_customer readings'!A1021,'Data Source 1_customer readings'!A1021:A3419,'Data Source 1_customer readings'!J1021:J3419)</f>
        <v>0</v>
      </c>
    </row>
    <row r="1022" spans="1:8" x14ac:dyDescent="0.2">
      <c r="A1022" s="2" t="s">
        <v>23</v>
      </c>
      <c r="B1022" s="2">
        <v>5</v>
      </c>
      <c r="C1022" s="2">
        <v>10</v>
      </c>
      <c r="D1022" s="2">
        <v>2021</v>
      </c>
      <c r="E1022" s="2">
        <v>0</v>
      </c>
      <c r="F1022" s="2">
        <v>154.69</v>
      </c>
      <c r="H1022" s="1">
        <f>_xlfn.XLOOKUP('Data Source 1_customer readings'!A1022,'Data Source 1_customer readings'!A1022:A3420,'Data Source 1_customer readings'!J1022:J3420)</f>
        <v>0</v>
      </c>
    </row>
    <row r="1023" spans="1:8" x14ac:dyDescent="0.2">
      <c r="A1023" s="2" t="s">
        <v>16</v>
      </c>
      <c r="B1023" s="2">
        <v>14</v>
      </c>
      <c r="C1023" s="2">
        <v>3</v>
      </c>
      <c r="D1023" s="2">
        <v>2021</v>
      </c>
      <c r="E1023" s="2">
        <v>0</v>
      </c>
      <c r="F1023" s="2">
        <v>154.38</v>
      </c>
      <c r="H1023" s="1">
        <f>_xlfn.XLOOKUP('Data Source 1_customer readings'!A1023,'Data Source 1_customer readings'!A1023:A3421,'Data Source 1_customer readings'!J1023:J3421)</f>
        <v>0</v>
      </c>
    </row>
    <row r="1024" spans="1:8" x14ac:dyDescent="0.2">
      <c r="A1024" s="2" t="s">
        <v>5</v>
      </c>
      <c r="B1024" s="2">
        <v>7</v>
      </c>
      <c r="C1024" s="2">
        <v>10</v>
      </c>
      <c r="D1024" s="2">
        <v>2021</v>
      </c>
      <c r="E1024" s="2">
        <v>0</v>
      </c>
      <c r="F1024" s="2">
        <v>154.38</v>
      </c>
      <c r="H1024" s="1">
        <f>_xlfn.XLOOKUP('Data Source 1_customer readings'!A1024,'Data Source 1_customer readings'!A1024:A3422,'Data Source 1_customer readings'!J1024:J3422)</f>
        <v>0</v>
      </c>
    </row>
    <row r="1025" spans="1:8" x14ac:dyDescent="0.2">
      <c r="A1025" s="2" t="s">
        <v>3</v>
      </c>
      <c r="B1025" s="2">
        <v>25</v>
      </c>
      <c r="C1025" s="2">
        <v>1</v>
      </c>
      <c r="D1025" s="2">
        <v>2021</v>
      </c>
      <c r="E1025" s="2">
        <v>0</v>
      </c>
      <c r="F1025" s="2">
        <v>154.07</v>
      </c>
      <c r="H1025" s="1">
        <f>_xlfn.XLOOKUP('Data Source 1_customer readings'!A1025,'Data Source 1_customer readings'!A1025:A3423,'Data Source 1_customer readings'!J1025:J3423)</f>
        <v>0</v>
      </c>
    </row>
    <row r="1026" spans="1:8" x14ac:dyDescent="0.2">
      <c r="A1026" s="2" t="s">
        <v>20</v>
      </c>
      <c r="B1026" s="2">
        <v>12</v>
      </c>
      <c r="C1026" s="2">
        <v>4</v>
      </c>
      <c r="D1026" s="2">
        <v>2021</v>
      </c>
      <c r="E1026" s="2">
        <v>0</v>
      </c>
      <c r="F1026" s="2">
        <v>153.30000000000001</v>
      </c>
      <c r="H1026" s="1">
        <f>_xlfn.XLOOKUP('Data Source 1_customer readings'!A1026,'Data Source 1_customer readings'!A1026:A3424,'Data Source 1_customer readings'!J1026:J3424)</f>
        <v>0</v>
      </c>
    </row>
    <row r="1027" spans="1:8" x14ac:dyDescent="0.2">
      <c r="A1027" s="2" t="s">
        <v>12</v>
      </c>
      <c r="B1027" s="2">
        <v>2</v>
      </c>
      <c r="C1027" s="2">
        <v>3</v>
      </c>
      <c r="D1027" s="2">
        <v>2021</v>
      </c>
      <c r="E1027" s="2">
        <v>0</v>
      </c>
      <c r="F1027" s="2">
        <v>153.13999999999999</v>
      </c>
      <c r="H1027" s="1">
        <f>_xlfn.XLOOKUP('Data Source 1_customer readings'!A1027,'Data Source 1_customer readings'!A1027:A3425,'Data Source 1_customer readings'!J1027:J3425)</f>
        <v>0</v>
      </c>
    </row>
    <row r="1028" spans="1:8" x14ac:dyDescent="0.2">
      <c r="A1028" s="2" t="s">
        <v>22</v>
      </c>
      <c r="B1028" s="2">
        <v>22</v>
      </c>
      <c r="C1028" s="2">
        <v>5</v>
      </c>
      <c r="D1028" s="2">
        <v>2021</v>
      </c>
      <c r="E1028" s="2">
        <v>0</v>
      </c>
      <c r="F1028" s="2">
        <v>153.13999999999999</v>
      </c>
      <c r="H1028" s="1">
        <f>_xlfn.XLOOKUP('Data Source 1_customer readings'!A1028,'Data Source 1_customer readings'!A1028:A3426,'Data Source 1_customer readings'!J1028:J3426)</f>
        <v>0</v>
      </c>
    </row>
    <row r="1029" spans="1:8" x14ac:dyDescent="0.2">
      <c r="A1029" s="2" t="s">
        <v>31</v>
      </c>
      <c r="B1029" s="2">
        <v>14</v>
      </c>
      <c r="C1029" s="2">
        <v>8</v>
      </c>
      <c r="D1029" s="2">
        <v>2021</v>
      </c>
      <c r="E1029" s="2">
        <v>0</v>
      </c>
      <c r="F1029" s="2">
        <v>152.83000000000001</v>
      </c>
      <c r="H1029" s="1">
        <f>_xlfn.XLOOKUP('Data Source 1_customer readings'!A1029,'Data Source 1_customer readings'!A1029:A3427,'Data Source 1_customer readings'!J1029:J3427)</f>
        <v>0</v>
      </c>
    </row>
    <row r="1030" spans="1:8" x14ac:dyDescent="0.2">
      <c r="A1030" s="2" t="s">
        <v>3</v>
      </c>
      <c r="B1030" s="2">
        <v>25</v>
      </c>
      <c r="C1030" s="2">
        <v>2</v>
      </c>
      <c r="D1030" s="2">
        <v>2021</v>
      </c>
      <c r="E1030" s="2">
        <v>0</v>
      </c>
      <c r="F1030" s="2">
        <v>152.6</v>
      </c>
      <c r="H1030" s="1">
        <f>_xlfn.XLOOKUP('Data Source 1_customer readings'!A1030,'Data Source 1_customer readings'!A1030:A3428,'Data Source 1_customer readings'!J1030:J3428)</f>
        <v>0</v>
      </c>
    </row>
    <row r="1031" spans="1:8" x14ac:dyDescent="0.2">
      <c r="A1031" s="2" t="s">
        <v>24</v>
      </c>
      <c r="B1031" s="2">
        <v>22</v>
      </c>
      <c r="C1031" s="2">
        <v>10</v>
      </c>
      <c r="D1031" s="2">
        <v>2021</v>
      </c>
      <c r="E1031" s="2">
        <v>0</v>
      </c>
      <c r="F1031" s="2">
        <v>152.52000000000001</v>
      </c>
      <c r="H1031" s="1">
        <f>_xlfn.XLOOKUP('Data Source 1_customer readings'!A1031,'Data Source 1_customer readings'!A1031:A3429,'Data Source 1_customer readings'!J1031:J3429)</f>
        <v>0</v>
      </c>
    </row>
    <row r="1032" spans="1:8" x14ac:dyDescent="0.2">
      <c r="A1032" s="2" t="s">
        <v>16</v>
      </c>
      <c r="B1032" s="2">
        <v>14</v>
      </c>
      <c r="C1032" s="2">
        <v>2</v>
      </c>
      <c r="D1032" s="2">
        <v>2021</v>
      </c>
      <c r="E1032" s="2">
        <v>0</v>
      </c>
      <c r="F1032" s="2">
        <v>152.32</v>
      </c>
      <c r="H1032" s="1">
        <f>_xlfn.XLOOKUP('Data Source 1_customer readings'!A1032,'Data Source 1_customer readings'!A1032:A3430,'Data Source 1_customer readings'!J1032:J3430)</f>
        <v>0</v>
      </c>
    </row>
    <row r="1033" spans="1:8" x14ac:dyDescent="0.2">
      <c r="A1033" s="2" t="s">
        <v>8</v>
      </c>
      <c r="B1033" s="2">
        <v>5</v>
      </c>
      <c r="C1033" s="2">
        <v>3</v>
      </c>
      <c r="D1033" s="2">
        <v>2021</v>
      </c>
      <c r="E1033" s="2">
        <v>0</v>
      </c>
      <c r="F1033" s="2">
        <v>152.21</v>
      </c>
      <c r="H1033" s="1">
        <f>_xlfn.XLOOKUP('Data Source 1_customer readings'!A1033,'Data Source 1_customer readings'!A1033:A3431,'Data Source 1_customer readings'!J1033:J3431)</f>
        <v>0</v>
      </c>
    </row>
    <row r="1034" spans="1:8" x14ac:dyDescent="0.2">
      <c r="A1034" s="2" t="s">
        <v>13</v>
      </c>
      <c r="B1034" s="2">
        <v>7</v>
      </c>
      <c r="C1034" s="2">
        <v>3</v>
      </c>
      <c r="D1034" s="2">
        <v>2021</v>
      </c>
      <c r="E1034" s="2">
        <v>0</v>
      </c>
      <c r="F1034" s="2">
        <v>152.21</v>
      </c>
      <c r="H1034" s="1">
        <f>_xlfn.XLOOKUP('Data Source 1_customer readings'!A1034,'Data Source 1_customer readings'!A1034:A3432,'Data Source 1_customer readings'!J1034:J3432)</f>
        <v>0</v>
      </c>
    </row>
    <row r="1035" spans="1:8" x14ac:dyDescent="0.2">
      <c r="A1035" s="2" t="s">
        <v>2</v>
      </c>
      <c r="B1035" s="2">
        <v>18</v>
      </c>
      <c r="C1035" s="2">
        <v>2</v>
      </c>
      <c r="D1035" s="2">
        <v>2021</v>
      </c>
      <c r="E1035" s="2">
        <v>0</v>
      </c>
      <c r="F1035" s="2">
        <v>151.76</v>
      </c>
      <c r="H1035" s="1">
        <f>_xlfn.XLOOKUP('Data Source 1_customer readings'!A1035,'Data Source 1_customer readings'!A1035:A3433,'Data Source 1_customer readings'!J1035:J3433)</f>
        <v>0</v>
      </c>
    </row>
    <row r="1036" spans="1:8" x14ac:dyDescent="0.2">
      <c r="A1036" s="2" t="s">
        <v>16</v>
      </c>
      <c r="B1036" s="2">
        <v>14</v>
      </c>
      <c r="C1036" s="2">
        <v>4</v>
      </c>
      <c r="D1036" s="2">
        <v>2021</v>
      </c>
      <c r="E1036" s="2">
        <v>0</v>
      </c>
      <c r="F1036" s="2">
        <v>151.5</v>
      </c>
      <c r="H1036" s="1">
        <f>_xlfn.XLOOKUP('Data Source 1_customer readings'!A1036,'Data Source 1_customer readings'!A1036:A3434,'Data Source 1_customer readings'!J1036:J3434)</f>
        <v>0</v>
      </c>
    </row>
    <row r="1037" spans="1:8" x14ac:dyDescent="0.2">
      <c r="A1037" s="2" t="s">
        <v>27</v>
      </c>
      <c r="B1037" s="2">
        <v>1</v>
      </c>
      <c r="C1037" s="2">
        <v>9</v>
      </c>
      <c r="D1037" s="2">
        <v>2021</v>
      </c>
      <c r="E1037" s="2">
        <v>0</v>
      </c>
      <c r="F1037" s="2">
        <v>151.5</v>
      </c>
      <c r="H1037" s="1">
        <f>_xlfn.XLOOKUP('Data Source 1_customer readings'!A1037,'Data Source 1_customer readings'!A1037:A3435,'Data Source 1_customer readings'!J1037:J3435)</f>
        <v>0</v>
      </c>
    </row>
    <row r="1038" spans="1:8" x14ac:dyDescent="0.2">
      <c r="A1038" s="2" t="s">
        <v>11</v>
      </c>
      <c r="B1038" s="2">
        <v>15</v>
      </c>
      <c r="C1038" s="2">
        <v>3</v>
      </c>
      <c r="D1038" s="2">
        <v>2021</v>
      </c>
      <c r="E1038" s="2">
        <v>0</v>
      </c>
      <c r="F1038" s="2">
        <v>151.28</v>
      </c>
      <c r="H1038" s="1">
        <f>_xlfn.XLOOKUP('Data Source 1_customer readings'!A1038,'Data Source 1_customer readings'!A1038:A3436,'Data Source 1_customer readings'!J1038:J3436)</f>
        <v>0</v>
      </c>
    </row>
    <row r="1039" spans="1:8" x14ac:dyDescent="0.2">
      <c r="A1039" s="2" t="s">
        <v>19</v>
      </c>
      <c r="B1039" s="2">
        <v>24</v>
      </c>
      <c r="C1039" s="2">
        <v>3</v>
      </c>
      <c r="D1039" s="2">
        <v>2021</v>
      </c>
      <c r="E1039" s="2">
        <v>0</v>
      </c>
      <c r="F1039" s="2">
        <v>151.28</v>
      </c>
      <c r="H1039" s="1">
        <f>_xlfn.XLOOKUP('Data Source 1_customer readings'!A1039,'Data Source 1_customer readings'!A1039:A3437,'Data Source 1_customer readings'!J1039:J3437)</f>
        <v>0</v>
      </c>
    </row>
    <row r="1040" spans="1:8" x14ac:dyDescent="0.2">
      <c r="A1040" s="2" t="s">
        <v>1</v>
      </c>
      <c r="B1040" s="2">
        <v>21</v>
      </c>
      <c r="C1040" s="2">
        <v>11</v>
      </c>
      <c r="D1040" s="2">
        <v>2021</v>
      </c>
      <c r="E1040" s="2">
        <v>0</v>
      </c>
      <c r="F1040" s="2">
        <v>150.9</v>
      </c>
      <c r="H1040" s="1">
        <f>_xlfn.XLOOKUP('Data Source 1_customer readings'!A1040,'Data Source 1_customer readings'!A1040:A3438,'Data Source 1_customer readings'!J1040:J3438)</f>
        <v>0</v>
      </c>
    </row>
    <row r="1041" spans="1:8" x14ac:dyDescent="0.2">
      <c r="A1041" s="2" t="s">
        <v>7</v>
      </c>
      <c r="B1041" s="2">
        <v>20</v>
      </c>
      <c r="C1041" s="2">
        <v>10</v>
      </c>
      <c r="D1041" s="2">
        <v>2021</v>
      </c>
      <c r="E1041" s="2">
        <v>0</v>
      </c>
      <c r="F1041" s="2">
        <v>150.66</v>
      </c>
      <c r="H1041" s="1">
        <f>_xlfn.XLOOKUP('Data Source 1_customer readings'!A1041,'Data Source 1_customer readings'!A1041:A3439,'Data Source 1_customer readings'!J1041:J3439)</f>
        <v>0</v>
      </c>
    </row>
    <row r="1042" spans="1:8" x14ac:dyDescent="0.2">
      <c r="A1042" s="2" t="s">
        <v>27</v>
      </c>
      <c r="B1042" s="2">
        <v>1</v>
      </c>
      <c r="C1042" s="2">
        <v>8</v>
      </c>
      <c r="D1042" s="2">
        <v>2021</v>
      </c>
      <c r="E1042" s="2">
        <v>0</v>
      </c>
      <c r="F1042" s="2">
        <v>150.35</v>
      </c>
      <c r="H1042" s="1">
        <f>_xlfn.XLOOKUP('Data Source 1_customer readings'!A1042,'Data Source 1_customer readings'!A1042:A3440,'Data Source 1_customer readings'!J1042:J3440)</f>
        <v>0</v>
      </c>
    </row>
    <row r="1043" spans="1:8" x14ac:dyDescent="0.2">
      <c r="A1043" s="2" t="s">
        <v>9</v>
      </c>
      <c r="B1043" s="2">
        <v>22</v>
      </c>
      <c r="C1043" s="2">
        <v>10</v>
      </c>
      <c r="D1043" s="2">
        <v>2021</v>
      </c>
      <c r="E1043" s="2">
        <v>0</v>
      </c>
      <c r="F1043" s="2">
        <v>150.35</v>
      </c>
      <c r="H1043" s="1">
        <f>_xlfn.XLOOKUP('Data Source 1_customer readings'!A1043,'Data Source 1_customer readings'!A1043:A3441,'Data Source 1_customer readings'!J1043:J3441)</f>
        <v>0</v>
      </c>
    </row>
    <row r="1044" spans="1:8" x14ac:dyDescent="0.2">
      <c r="A1044" s="2" t="s">
        <v>17</v>
      </c>
      <c r="B1044" s="2">
        <v>8</v>
      </c>
      <c r="C1044" s="2">
        <v>10</v>
      </c>
      <c r="D1044" s="2">
        <v>2021</v>
      </c>
      <c r="E1044" s="2">
        <v>0</v>
      </c>
      <c r="F1044" s="2">
        <v>149.41999999999999</v>
      </c>
      <c r="H1044" s="1">
        <f>_xlfn.XLOOKUP('Data Source 1_customer readings'!A1044,'Data Source 1_customer readings'!A1044:A3442,'Data Source 1_customer readings'!J1044:J3442)</f>
        <v>0</v>
      </c>
    </row>
    <row r="1045" spans="1:8" x14ac:dyDescent="0.2">
      <c r="A1045" s="2" t="s">
        <v>26</v>
      </c>
      <c r="B1045" s="2">
        <v>22</v>
      </c>
      <c r="C1045" s="2">
        <v>9</v>
      </c>
      <c r="D1045" s="2">
        <v>2021</v>
      </c>
      <c r="E1045" s="2">
        <v>0</v>
      </c>
      <c r="F1045" s="2">
        <v>149.4</v>
      </c>
      <c r="H1045" s="1">
        <f>_xlfn.XLOOKUP('Data Source 1_customer readings'!A1045,'Data Source 1_customer readings'!A1045:A3443,'Data Source 1_customer readings'!J1045:J3443)</f>
        <v>0</v>
      </c>
    </row>
    <row r="1046" spans="1:8" x14ac:dyDescent="0.2">
      <c r="A1046" s="2" t="s">
        <v>17</v>
      </c>
      <c r="B1046" s="2">
        <v>8</v>
      </c>
      <c r="C1046" s="2">
        <v>3</v>
      </c>
      <c r="D1046" s="2">
        <v>2021</v>
      </c>
      <c r="E1046" s="2">
        <v>0</v>
      </c>
      <c r="F1046" s="2">
        <v>149.11000000000001</v>
      </c>
      <c r="H1046" s="1">
        <f>_xlfn.XLOOKUP('Data Source 1_customer readings'!A1046,'Data Source 1_customer readings'!A1046:A3444,'Data Source 1_customer readings'!J1046:J3444)</f>
        <v>0</v>
      </c>
    </row>
    <row r="1047" spans="1:8" x14ac:dyDescent="0.2">
      <c r="A1047" s="2" t="s">
        <v>21</v>
      </c>
      <c r="B1047" s="2">
        <v>15</v>
      </c>
      <c r="C1047" s="2">
        <v>3</v>
      </c>
      <c r="D1047" s="2">
        <v>2021</v>
      </c>
      <c r="E1047" s="2">
        <v>0</v>
      </c>
      <c r="F1047" s="2">
        <v>148.80000000000001</v>
      </c>
      <c r="H1047" s="1">
        <f>_xlfn.XLOOKUP('Data Source 1_customer readings'!A1047,'Data Source 1_customer readings'!A1047:A3445,'Data Source 1_customer readings'!J1047:J3445)</f>
        <v>0</v>
      </c>
    </row>
    <row r="1048" spans="1:8" x14ac:dyDescent="0.2">
      <c r="A1048" s="2" t="s">
        <v>30</v>
      </c>
      <c r="B1048" s="2">
        <v>2</v>
      </c>
      <c r="C1048" s="2">
        <v>5</v>
      </c>
      <c r="D1048" s="2">
        <v>2021</v>
      </c>
      <c r="E1048" s="2">
        <v>0</v>
      </c>
      <c r="F1048" s="2">
        <v>148.80000000000001</v>
      </c>
      <c r="H1048" s="1">
        <f>_xlfn.XLOOKUP('Data Source 1_customer readings'!A1048,'Data Source 1_customer readings'!A1048:A3446,'Data Source 1_customer readings'!J1048:J3446)</f>
        <v>0</v>
      </c>
    </row>
    <row r="1049" spans="1:8" x14ac:dyDescent="0.2">
      <c r="A1049" s="2" t="s">
        <v>5</v>
      </c>
      <c r="B1049" s="2">
        <v>7</v>
      </c>
      <c r="C1049" s="2">
        <v>4</v>
      </c>
      <c r="D1049" s="2">
        <v>2021</v>
      </c>
      <c r="E1049" s="2">
        <v>0</v>
      </c>
      <c r="F1049" s="2">
        <v>148.5</v>
      </c>
      <c r="H1049" s="1">
        <f>_xlfn.XLOOKUP('Data Source 1_customer readings'!A1049,'Data Source 1_customer readings'!A1049:A3447,'Data Source 1_customer readings'!J1049:J3447)</f>
        <v>0</v>
      </c>
    </row>
    <row r="1050" spans="1:8" x14ac:dyDescent="0.2">
      <c r="A1050" s="2" t="s">
        <v>6</v>
      </c>
      <c r="B1050" s="2">
        <v>7</v>
      </c>
      <c r="C1050" s="2">
        <v>3</v>
      </c>
      <c r="D1050" s="2">
        <v>2021</v>
      </c>
      <c r="E1050" s="2">
        <v>0</v>
      </c>
      <c r="F1050" s="2">
        <v>148.49</v>
      </c>
      <c r="H1050" s="1">
        <f>_xlfn.XLOOKUP('Data Source 1_customer readings'!A1050,'Data Source 1_customer readings'!A1050:A3448,'Data Source 1_customer readings'!J1050:J3448)</f>
        <v>0</v>
      </c>
    </row>
    <row r="1051" spans="1:8" x14ac:dyDescent="0.2">
      <c r="A1051" s="2" t="s">
        <v>1</v>
      </c>
      <c r="B1051" s="2">
        <v>21</v>
      </c>
      <c r="C1051" s="2">
        <v>2</v>
      </c>
      <c r="D1051" s="2">
        <v>2021</v>
      </c>
      <c r="E1051" s="2">
        <v>0</v>
      </c>
      <c r="F1051" s="2">
        <v>148.12</v>
      </c>
      <c r="H1051" s="1">
        <f>_xlfn.XLOOKUP('Data Source 1_customer readings'!A1051,'Data Source 1_customer readings'!A1051:A3449,'Data Source 1_customer readings'!J1051:J3449)</f>
        <v>0</v>
      </c>
    </row>
    <row r="1052" spans="1:8" x14ac:dyDescent="0.2">
      <c r="A1052" s="2" t="s">
        <v>17</v>
      </c>
      <c r="B1052" s="2">
        <v>8</v>
      </c>
      <c r="C1052" s="2">
        <v>4</v>
      </c>
      <c r="D1052" s="2">
        <v>2021</v>
      </c>
      <c r="E1052" s="2">
        <v>0</v>
      </c>
      <c r="F1052" s="2">
        <v>147.9</v>
      </c>
      <c r="H1052" s="1">
        <f>_xlfn.XLOOKUP('Data Source 1_customer readings'!A1052,'Data Source 1_customer readings'!A1052:A3450,'Data Source 1_customer readings'!J1052:J3450)</f>
        <v>0</v>
      </c>
    </row>
    <row r="1053" spans="1:8" x14ac:dyDescent="0.2">
      <c r="A1053" s="2" t="s">
        <v>19</v>
      </c>
      <c r="B1053" s="2">
        <v>24</v>
      </c>
      <c r="C1053" s="2">
        <v>4</v>
      </c>
      <c r="D1053" s="2">
        <v>2021</v>
      </c>
      <c r="E1053" s="2">
        <v>0</v>
      </c>
      <c r="F1053" s="2">
        <v>147.9</v>
      </c>
      <c r="H1053" s="1">
        <f>_xlfn.XLOOKUP('Data Source 1_customer readings'!A1053,'Data Source 1_customer readings'!A1053:A3451,'Data Source 1_customer readings'!J1053:J3451)</f>
        <v>0</v>
      </c>
    </row>
    <row r="1054" spans="1:8" x14ac:dyDescent="0.2">
      <c r="A1054" s="2" t="s">
        <v>11</v>
      </c>
      <c r="B1054" s="2">
        <v>15</v>
      </c>
      <c r="C1054" s="2">
        <v>10</v>
      </c>
      <c r="D1054" s="2">
        <v>2021</v>
      </c>
      <c r="E1054" s="2">
        <v>0</v>
      </c>
      <c r="F1054" s="2">
        <v>146.32</v>
      </c>
      <c r="H1054" s="1">
        <f>_xlfn.XLOOKUP('Data Source 1_customer readings'!A1054,'Data Source 1_customer readings'!A1054:A3452,'Data Source 1_customer readings'!J1054:J3452)</f>
        <v>0</v>
      </c>
    </row>
    <row r="1055" spans="1:8" x14ac:dyDescent="0.2">
      <c r="A1055" s="2" t="s">
        <v>14</v>
      </c>
      <c r="B1055" s="2">
        <v>10</v>
      </c>
      <c r="C1055" s="2">
        <v>4</v>
      </c>
      <c r="D1055" s="2">
        <v>2021</v>
      </c>
      <c r="E1055" s="2">
        <v>0</v>
      </c>
      <c r="F1055" s="2">
        <v>145.80000000000001</v>
      </c>
      <c r="H1055" s="1">
        <f>_xlfn.XLOOKUP('Data Source 1_customer readings'!A1055,'Data Source 1_customer readings'!A1055:A3453,'Data Source 1_customer readings'!J1055:J3453)</f>
        <v>0</v>
      </c>
    </row>
    <row r="1056" spans="1:8" x14ac:dyDescent="0.2">
      <c r="A1056" s="2" t="s">
        <v>27</v>
      </c>
      <c r="B1056" s="2">
        <v>1</v>
      </c>
      <c r="C1056" s="2">
        <v>5</v>
      </c>
      <c r="D1056" s="2">
        <v>2021</v>
      </c>
      <c r="E1056" s="2">
        <v>0</v>
      </c>
      <c r="F1056" s="2">
        <v>144.77000000000001</v>
      </c>
      <c r="H1056" s="1">
        <f>_xlfn.XLOOKUP('Data Source 1_customer readings'!A1056,'Data Source 1_customer readings'!A1056:A3454,'Data Source 1_customer readings'!J1056:J3454)</f>
        <v>0</v>
      </c>
    </row>
    <row r="1057" spans="1:8" x14ac:dyDescent="0.2">
      <c r="A1057" s="2" t="s">
        <v>4</v>
      </c>
      <c r="B1057" s="2">
        <v>1</v>
      </c>
      <c r="C1057" s="2">
        <v>1</v>
      </c>
      <c r="D1057" s="2">
        <v>2021</v>
      </c>
      <c r="E1057" s="2">
        <v>0</v>
      </c>
      <c r="F1057" s="2">
        <v>144.15</v>
      </c>
      <c r="H1057" s="1">
        <f>_xlfn.XLOOKUP('Data Source 1_customer readings'!A1057,'Data Source 1_customer readings'!A1057:A3455,'Data Source 1_customer readings'!J1057:J3455)</f>
        <v>0</v>
      </c>
    </row>
    <row r="1058" spans="1:8" x14ac:dyDescent="0.2">
      <c r="A1058" s="2" t="s">
        <v>18</v>
      </c>
      <c r="B1058" s="2">
        <v>5</v>
      </c>
      <c r="C1058" s="2">
        <v>10</v>
      </c>
      <c r="D1058" s="2">
        <v>2021</v>
      </c>
      <c r="E1058" s="2">
        <v>0</v>
      </c>
      <c r="F1058" s="2">
        <v>143.84</v>
      </c>
      <c r="H1058" s="1">
        <f>_xlfn.XLOOKUP('Data Source 1_customer readings'!A1058,'Data Source 1_customer readings'!A1058:A3456,'Data Source 1_customer readings'!J1058:J3456)</f>
        <v>0</v>
      </c>
    </row>
    <row r="1059" spans="1:8" x14ac:dyDescent="0.2">
      <c r="A1059" s="2" t="s">
        <v>30</v>
      </c>
      <c r="B1059" s="2">
        <v>2</v>
      </c>
      <c r="C1059" s="2">
        <v>8</v>
      </c>
      <c r="D1059" s="2">
        <v>2021</v>
      </c>
      <c r="E1059" s="2">
        <v>0</v>
      </c>
      <c r="F1059" s="2">
        <v>143.22</v>
      </c>
      <c r="H1059" s="1">
        <f>_xlfn.XLOOKUP('Data Source 1_customer readings'!A1059,'Data Source 1_customer readings'!A1059:A3457,'Data Source 1_customer readings'!J1059:J3457)</f>
        <v>0</v>
      </c>
    </row>
    <row r="1060" spans="1:8" x14ac:dyDescent="0.2">
      <c r="A1060" s="2" t="s">
        <v>19</v>
      </c>
      <c r="B1060" s="2">
        <v>24</v>
      </c>
      <c r="C1060" s="2">
        <v>10</v>
      </c>
      <c r="D1060" s="2">
        <v>2021</v>
      </c>
      <c r="E1060" s="2">
        <v>0</v>
      </c>
      <c r="F1060" s="2">
        <v>142.6</v>
      </c>
      <c r="H1060" s="1">
        <f>_xlfn.XLOOKUP('Data Source 1_customer readings'!A1060,'Data Source 1_customer readings'!A1060:A3458,'Data Source 1_customer readings'!J1060:J3458)</f>
        <v>0</v>
      </c>
    </row>
    <row r="1061" spans="1:8" x14ac:dyDescent="0.2">
      <c r="A1061" s="2" t="s">
        <v>23</v>
      </c>
      <c r="B1061" s="2">
        <v>5</v>
      </c>
      <c r="C1061" s="2">
        <v>5</v>
      </c>
      <c r="D1061" s="2">
        <v>2021</v>
      </c>
      <c r="E1061" s="2">
        <v>0</v>
      </c>
      <c r="F1061" s="2">
        <v>142.29</v>
      </c>
      <c r="H1061" s="1">
        <f>_xlfn.XLOOKUP('Data Source 1_customer readings'!A1061,'Data Source 1_customer readings'!A1061:A3459,'Data Source 1_customer readings'!J1061:J3459)</f>
        <v>0</v>
      </c>
    </row>
    <row r="1062" spans="1:8" x14ac:dyDescent="0.2">
      <c r="A1062" s="2" t="s">
        <v>1</v>
      </c>
      <c r="B1062" s="2">
        <v>21</v>
      </c>
      <c r="C1062" s="2">
        <v>1</v>
      </c>
      <c r="D1062" s="2">
        <v>2021</v>
      </c>
      <c r="E1062" s="2">
        <v>0</v>
      </c>
      <c r="F1062" s="2">
        <v>141.66999999999999</v>
      </c>
      <c r="H1062" s="1">
        <f>_xlfn.XLOOKUP('Data Source 1_customer readings'!A1062,'Data Source 1_customer readings'!A1062:A3460,'Data Source 1_customer readings'!J1062:J3460)</f>
        <v>0</v>
      </c>
    </row>
    <row r="1063" spans="1:8" x14ac:dyDescent="0.2">
      <c r="A1063" s="2" t="s">
        <v>10</v>
      </c>
      <c r="B1063" s="2">
        <v>18</v>
      </c>
      <c r="C1063" s="2">
        <v>4</v>
      </c>
      <c r="D1063" s="2">
        <v>2021</v>
      </c>
      <c r="E1063" s="2">
        <v>0</v>
      </c>
      <c r="F1063" s="2">
        <v>141.30000000000001</v>
      </c>
      <c r="H1063" s="1">
        <f>_xlfn.XLOOKUP('Data Source 1_customer readings'!A1063,'Data Source 1_customer readings'!A1063:A3461,'Data Source 1_customer readings'!J1063:J3461)</f>
        <v>0</v>
      </c>
    </row>
    <row r="1064" spans="1:8" x14ac:dyDescent="0.2">
      <c r="A1064" s="2" t="s">
        <v>11</v>
      </c>
      <c r="B1064" s="2">
        <v>15</v>
      </c>
      <c r="C1064" s="2">
        <v>9</v>
      </c>
      <c r="D1064" s="2">
        <v>2021</v>
      </c>
      <c r="E1064" s="2">
        <v>0</v>
      </c>
      <c r="F1064" s="2">
        <v>141.30000000000001</v>
      </c>
      <c r="H1064" s="1">
        <f>_xlfn.XLOOKUP('Data Source 1_customer readings'!A1064,'Data Source 1_customer readings'!A1064:A3462,'Data Source 1_customer readings'!J1064:J3462)</f>
        <v>0</v>
      </c>
    </row>
    <row r="1065" spans="1:8" x14ac:dyDescent="0.2">
      <c r="A1065" s="2" t="s">
        <v>29</v>
      </c>
      <c r="B1065" s="2">
        <v>20</v>
      </c>
      <c r="C1065" s="2">
        <v>5</v>
      </c>
      <c r="D1065" s="2">
        <v>2021</v>
      </c>
      <c r="E1065" s="2">
        <v>0</v>
      </c>
      <c r="F1065" s="2">
        <v>141.05000000000001</v>
      </c>
      <c r="H1065" s="1">
        <f>_xlfn.XLOOKUP('Data Source 1_customer readings'!A1065,'Data Source 1_customer readings'!A1065:A3463,'Data Source 1_customer readings'!J1065:J3463)</f>
        <v>0</v>
      </c>
    </row>
    <row r="1066" spans="1:8" x14ac:dyDescent="0.2">
      <c r="A1066" s="2" t="s">
        <v>29</v>
      </c>
      <c r="B1066" s="2">
        <v>20</v>
      </c>
      <c r="C1066" s="2">
        <v>7</v>
      </c>
      <c r="D1066" s="2">
        <v>2021</v>
      </c>
      <c r="E1066" s="2">
        <v>0</v>
      </c>
      <c r="F1066" s="2">
        <v>141.05000000000001</v>
      </c>
      <c r="H1066" s="1">
        <f>_xlfn.XLOOKUP('Data Source 1_customer readings'!A1066,'Data Source 1_customer readings'!A1066:A3464,'Data Source 1_customer readings'!J1066:J3464)</f>
        <v>0</v>
      </c>
    </row>
    <row r="1067" spans="1:8" x14ac:dyDescent="0.2">
      <c r="A1067" s="2" t="s">
        <v>12</v>
      </c>
      <c r="B1067" s="2">
        <v>2</v>
      </c>
      <c r="C1067" s="2">
        <v>10</v>
      </c>
      <c r="D1067" s="2">
        <v>2021</v>
      </c>
      <c r="E1067" s="2">
        <v>0</v>
      </c>
      <c r="F1067" s="2">
        <v>141.05000000000001</v>
      </c>
      <c r="H1067" s="1">
        <f>_xlfn.XLOOKUP('Data Source 1_customer readings'!A1067,'Data Source 1_customer readings'!A1067:A3465,'Data Source 1_customer readings'!J1067:J3465)</f>
        <v>0</v>
      </c>
    </row>
    <row r="1068" spans="1:8" x14ac:dyDescent="0.2">
      <c r="A1068" s="2" t="s">
        <v>9</v>
      </c>
      <c r="B1068" s="2">
        <v>22</v>
      </c>
      <c r="C1068" s="2">
        <v>3</v>
      </c>
      <c r="D1068" s="2">
        <v>2021</v>
      </c>
      <c r="E1068" s="2">
        <v>0</v>
      </c>
      <c r="F1068" s="2">
        <v>140.74</v>
      </c>
      <c r="H1068" s="1">
        <f>_xlfn.XLOOKUP('Data Source 1_customer readings'!A1068,'Data Source 1_customer readings'!A1068:A3466,'Data Source 1_customer readings'!J1068:J3466)</f>
        <v>0</v>
      </c>
    </row>
    <row r="1069" spans="1:8" x14ac:dyDescent="0.2">
      <c r="A1069" s="2" t="s">
        <v>6</v>
      </c>
      <c r="B1069" s="2">
        <v>7</v>
      </c>
      <c r="C1069" s="2">
        <v>10</v>
      </c>
      <c r="D1069" s="2">
        <v>2021</v>
      </c>
      <c r="E1069" s="2">
        <v>0</v>
      </c>
      <c r="F1069" s="2">
        <v>140.43</v>
      </c>
      <c r="H1069" s="1">
        <f>_xlfn.XLOOKUP('Data Source 1_customer readings'!A1069,'Data Source 1_customer readings'!A1069:A3467,'Data Source 1_customer readings'!J1069:J3467)</f>
        <v>0</v>
      </c>
    </row>
    <row r="1070" spans="1:8" x14ac:dyDescent="0.2">
      <c r="A1070" s="2" t="s">
        <v>1</v>
      </c>
      <c r="B1070" s="2">
        <v>21</v>
      </c>
      <c r="C1070" s="2">
        <v>12</v>
      </c>
      <c r="D1070" s="2">
        <v>2021</v>
      </c>
      <c r="E1070" s="2">
        <v>0</v>
      </c>
      <c r="F1070" s="2">
        <v>140.43</v>
      </c>
      <c r="H1070" s="1">
        <f>_xlfn.XLOOKUP('Data Source 1_customer readings'!A1070,'Data Source 1_customer readings'!A1070:A3468,'Data Source 1_customer readings'!J1070:J3468)</f>
        <v>0</v>
      </c>
    </row>
    <row r="1071" spans="1:8" x14ac:dyDescent="0.2">
      <c r="A1071" s="2" t="s">
        <v>23</v>
      </c>
      <c r="B1071" s="2">
        <v>5</v>
      </c>
      <c r="C1071" s="2">
        <v>8</v>
      </c>
      <c r="D1071" s="2">
        <v>2021</v>
      </c>
      <c r="E1071" s="2">
        <v>0</v>
      </c>
      <c r="F1071" s="2">
        <v>140.12</v>
      </c>
      <c r="H1071" s="1">
        <f>_xlfn.XLOOKUP('Data Source 1_customer readings'!A1071,'Data Source 1_customer readings'!A1071:A3469,'Data Source 1_customer readings'!J1071:J3469)</f>
        <v>0</v>
      </c>
    </row>
    <row r="1072" spans="1:8" x14ac:dyDescent="0.2">
      <c r="A1072" s="2" t="s">
        <v>22</v>
      </c>
      <c r="B1072" s="2">
        <v>22</v>
      </c>
      <c r="C1072" s="2">
        <v>8</v>
      </c>
      <c r="D1072" s="2">
        <v>2021</v>
      </c>
      <c r="E1072" s="2">
        <v>0</v>
      </c>
      <c r="F1072" s="2">
        <v>139.81</v>
      </c>
      <c r="H1072" s="1">
        <f>_xlfn.XLOOKUP('Data Source 1_customer readings'!A1072,'Data Source 1_customer readings'!A1072:A3470,'Data Source 1_customer readings'!J1072:J3470)</f>
        <v>0</v>
      </c>
    </row>
    <row r="1073" spans="1:8" x14ac:dyDescent="0.2">
      <c r="A1073" s="2" t="s">
        <v>13</v>
      </c>
      <c r="B1073" s="2">
        <v>7</v>
      </c>
      <c r="C1073" s="2">
        <v>4</v>
      </c>
      <c r="D1073" s="2">
        <v>2021</v>
      </c>
      <c r="E1073" s="2">
        <v>0</v>
      </c>
      <c r="F1073" s="2">
        <v>139.5</v>
      </c>
      <c r="H1073" s="1">
        <f>_xlfn.XLOOKUP('Data Source 1_customer readings'!A1073,'Data Source 1_customer readings'!A1073:A3471,'Data Source 1_customer readings'!J1073:J3471)</f>
        <v>0</v>
      </c>
    </row>
    <row r="1074" spans="1:8" x14ac:dyDescent="0.2">
      <c r="A1074" s="2" t="s">
        <v>12</v>
      </c>
      <c r="B1074" s="2">
        <v>2</v>
      </c>
      <c r="C1074" s="2">
        <v>4</v>
      </c>
      <c r="D1074" s="2">
        <v>2021</v>
      </c>
      <c r="E1074" s="2">
        <v>0</v>
      </c>
      <c r="F1074" s="2">
        <v>138.9</v>
      </c>
      <c r="H1074" s="1">
        <f>_xlfn.XLOOKUP('Data Source 1_customer readings'!A1074,'Data Source 1_customer readings'!A1074:A3472,'Data Source 1_customer readings'!J1074:J3472)</f>
        <v>0</v>
      </c>
    </row>
    <row r="1075" spans="1:8" x14ac:dyDescent="0.2">
      <c r="A1075" s="2" t="s">
        <v>23</v>
      </c>
      <c r="B1075" s="2">
        <v>5</v>
      </c>
      <c r="C1075" s="2">
        <v>9</v>
      </c>
      <c r="D1075" s="2">
        <v>2021</v>
      </c>
      <c r="E1075" s="2">
        <v>0</v>
      </c>
      <c r="F1075" s="2">
        <v>138.9</v>
      </c>
      <c r="H1075" s="1">
        <f>_xlfn.XLOOKUP('Data Source 1_customer readings'!A1075,'Data Source 1_customer readings'!A1075:A3473,'Data Source 1_customer readings'!J1075:J3473)</f>
        <v>0</v>
      </c>
    </row>
    <row r="1076" spans="1:8" x14ac:dyDescent="0.2">
      <c r="A1076" s="2" t="s">
        <v>29</v>
      </c>
      <c r="B1076" s="2">
        <v>20</v>
      </c>
      <c r="C1076" s="2">
        <v>9</v>
      </c>
      <c r="D1076" s="2">
        <v>2021</v>
      </c>
      <c r="E1076" s="2">
        <v>0</v>
      </c>
      <c r="F1076" s="2">
        <v>138.9</v>
      </c>
      <c r="H1076" s="1">
        <f>_xlfn.XLOOKUP('Data Source 1_customer readings'!A1076,'Data Source 1_customer readings'!A1076:A3474,'Data Source 1_customer readings'!J1076:J3474)</f>
        <v>0</v>
      </c>
    </row>
    <row r="1077" spans="1:8" x14ac:dyDescent="0.2">
      <c r="A1077" s="2" t="s">
        <v>21</v>
      </c>
      <c r="B1077" s="2">
        <v>15</v>
      </c>
      <c r="C1077" s="2">
        <v>5</v>
      </c>
      <c r="D1077" s="2">
        <v>2021</v>
      </c>
      <c r="E1077" s="2">
        <v>0</v>
      </c>
      <c r="F1077" s="2">
        <v>138.57</v>
      </c>
      <c r="H1077" s="1">
        <f>_xlfn.XLOOKUP('Data Source 1_customer readings'!A1077,'Data Source 1_customer readings'!A1077:A3475,'Data Source 1_customer readings'!J1077:J3475)</f>
        <v>0</v>
      </c>
    </row>
    <row r="1078" spans="1:8" x14ac:dyDescent="0.2">
      <c r="A1078" s="2" t="s">
        <v>19</v>
      </c>
      <c r="B1078" s="2">
        <v>24</v>
      </c>
      <c r="C1078" s="2">
        <v>5</v>
      </c>
      <c r="D1078" s="2">
        <v>2021</v>
      </c>
      <c r="E1078" s="2">
        <v>0</v>
      </c>
      <c r="F1078" s="2">
        <v>138.57</v>
      </c>
      <c r="H1078" s="1">
        <f>_xlfn.XLOOKUP('Data Source 1_customer readings'!A1078,'Data Source 1_customer readings'!A1078:A3476,'Data Source 1_customer readings'!J1078:J3476)</f>
        <v>0</v>
      </c>
    </row>
    <row r="1079" spans="1:8" x14ac:dyDescent="0.2">
      <c r="A1079" s="2" t="s">
        <v>8</v>
      </c>
      <c r="B1079" s="2">
        <v>5</v>
      </c>
      <c r="C1079" s="2">
        <v>7</v>
      </c>
      <c r="D1079" s="2">
        <v>2021</v>
      </c>
      <c r="E1079" s="2">
        <v>0</v>
      </c>
      <c r="F1079" s="2">
        <v>138.57</v>
      </c>
      <c r="H1079" s="1">
        <f>_xlfn.XLOOKUP('Data Source 1_customer readings'!A1079,'Data Source 1_customer readings'!A1079:A3477,'Data Source 1_customer readings'!J1079:J3477)</f>
        <v>0</v>
      </c>
    </row>
    <row r="1080" spans="1:8" x14ac:dyDescent="0.2">
      <c r="A1080" s="2" t="s">
        <v>8</v>
      </c>
      <c r="B1080" s="2">
        <v>5</v>
      </c>
      <c r="C1080" s="2">
        <v>5</v>
      </c>
      <c r="D1080" s="2">
        <v>2021</v>
      </c>
      <c r="E1080" s="2">
        <v>0</v>
      </c>
      <c r="F1080" s="2">
        <v>137.94999999999999</v>
      </c>
      <c r="H1080" s="1">
        <f>_xlfn.XLOOKUP('Data Source 1_customer readings'!A1080,'Data Source 1_customer readings'!A1080:A3478,'Data Source 1_customer readings'!J1080:J3478)</f>
        <v>0</v>
      </c>
    </row>
    <row r="1081" spans="1:8" x14ac:dyDescent="0.2">
      <c r="A1081" s="2" t="s">
        <v>27</v>
      </c>
      <c r="B1081" s="2">
        <v>1</v>
      </c>
      <c r="C1081" s="2">
        <v>6</v>
      </c>
      <c r="D1081" s="2">
        <v>2021</v>
      </c>
      <c r="E1081" s="2">
        <v>0</v>
      </c>
      <c r="F1081" s="2">
        <v>137.69999999999999</v>
      </c>
      <c r="H1081" s="1">
        <f>_xlfn.XLOOKUP('Data Source 1_customer readings'!A1081,'Data Source 1_customer readings'!A1081:A3479,'Data Source 1_customer readings'!J1081:J3479)</f>
        <v>0</v>
      </c>
    </row>
    <row r="1082" spans="1:8" x14ac:dyDescent="0.2">
      <c r="A1082" s="2" t="s">
        <v>20</v>
      </c>
      <c r="B1082" s="2">
        <v>12</v>
      </c>
      <c r="C1082" s="2">
        <v>8</v>
      </c>
      <c r="D1082" s="2">
        <v>2021</v>
      </c>
      <c r="E1082" s="2">
        <v>0</v>
      </c>
      <c r="F1082" s="2">
        <v>137.33000000000001</v>
      </c>
      <c r="H1082" s="1">
        <f>_xlfn.XLOOKUP('Data Source 1_customer readings'!A1082,'Data Source 1_customer readings'!A1082:A3480,'Data Source 1_customer readings'!J1082:J3480)</f>
        <v>0</v>
      </c>
    </row>
    <row r="1083" spans="1:8" x14ac:dyDescent="0.2">
      <c r="A1083" s="2" t="s">
        <v>17</v>
      </c>
      <c r="B1083" s="2">
        <v>8</v>
      </c>
      <c r="C1083" s="2">
        <v>7</v>
      </c>
      <c r="D1083" s="2">
        <v>2021</v>
      </c>
      <c r="E1083" s="2">
        <v>0</v>
      </c>
      <c r="F1083" s="2">
        <v>137.02000000000001</v>
      </c>
      <c r="H1083" s="1">
        <f>_xlfn.XLOOKUP('Data Source 1_customer readings'!A1083,'Data Source 1_customer readings'!A1083:A3481,'Data Source 1_customer readings'!J1083:J3481)</f>
        <v>0</v>
      </c>
    </row>
    <row r="1084" spans="1:8" x14ac:dyDescent="0.2">
      <c r="A1084" s="2" t="s">
        <v>25</v>
      </c>
      <c r="B1084" s="2">
        <v>8</v>
      </c>
      <c r="C1084" s="2">
        <v>8</v>
      </c>
      <c r="D1084" s="2">
        <v>2021</v>
      </c>
      <c r="E1084" s="2">
        <v>0</v>
      </c>
      <c r="F1084" s="2">
        <v>137.02000000000001</v>
      </c>
      <c r="H1084" s="1">
        <f>_xlfn.XLOOKUP('Data Source 1_customer readings'!A1084,'Data Source 1_customer readings'!A1084:A3482,'Data Source 1_customer readings'!J1084:J3482)</f>
        <v>0</v>
      </c>
    </row>
    <row r="1085" spans="1:8" x14ac:dyDescent="0.2">
      <c r="A1085" s="2" t="s">
        <v>29</v>
      </c>
      <c r="B1085" s="2">
        <v>20</v>
      </c>
      <c r="C1085" s="2">
        <v>8</v>
      </c>
      <c r="D1085" s="2">
        <v>2021</v>
      </c>
      <c r="E1085" s="2">
        <v>0</v>
      </c>
      <c r="F1085" s="2">
        <v>137.02000000000001</v>
      </c>
      <c r="H1085" s="1">
        <f>_xlfn.XLOOKUP('Data Source 1_customer readings'!A1085,'Data Source 1_customer readings'!A1085:A3483,'Data Source 1_customer readings'!J1085:J3483)</f>
        <v>0</v>
      </c>
    </row>
    <row r="1086" spans="1:8" x14ac:dyDescent="0.2">
      <c r="A1086" s="2" t="s">
        <v>14</v>
      </c>
      <c r="B1086" s="2">
        <v>10</v>
      </c>
      <c r="C1086" s="2">
        <v>10</v>
      </c>
      <c r="D1086" s="2">
        <v>2021</v>
      </c>
      <c r="E1086" s="2">
        <v>0</v>
      </c>
      <c r="F1086" s="2">
        <v>136.4</v>
      </c>
      <c r="H1086" s="1">
        <f>_xlfn.XLOOKUP('Data Source 1_customer readings'!A1086,'Data Source 1_customer readings'!A1086:A3484,'Data Source 1_customer readings'!J1086:J3484)</f>
        <v>0</v>
      </c>
    </row>
    <row r="1087" spans="1:8" x14ac:dyDescent="0.2">
      <c r="A1087" s="2" t="s">
        <v>26</v>
      </c>
      <c r="B1087" s="2">
        <v>22</v>
      </c>
      <c r="C1087" s="2">
        <v>8</v>
      </c>
      <c r="D1087" s="2">
        <v>2021</v>
      </c>
      <c r="E1087" s="2">
        <v>0</v>
      </c>
      <c r="F1087" s="2">
        <v>136.09</v>
      </c>
      <c r="H1087" s="1">
        <f>_xlfn.XLOOKUP('Data Source 1_customer readings'!A1087,'Data Source 1_customer readings'!A1087:A3485,'Data Source 1_customer readings'!J1087:J3485)</f>
        <v>0</v>
      </c>
    </row>
    <row r="1088" spans="1:8" x14ac:dyDescent="0.2">
      <c r="A1088" s="2" t="s">
        <v>18</v>
      </c>
      <c r="B1088" s="2">
        <v>5</v>
      </c>
      <c r="C1088" s="2">
        <v>6</v>
      </c>
      <c r="D1088" s="2">
        <v>2021</v>
      </c>
      <c r="E1088" s="2">
        <v>0</v>
      </c>
      <c r="F1088" s="2">
        <v>134.69999999999999</v>
      </c>
      <c r="H1088" s="1">
        <f>_xlfn.XLOOKUP('Data Source 1_customer readings'!A1088,'Data Source 1_customer readings'!A1088:A3486,'Data Source 1_customer readings'!J1088:J3486)</f>
        <v>0</v>
      </c>
    </row>
    <row r="1089" spans="1:8" x14ac:dyDescent="0.2">
      <c r="A1089" s="2" t="s">
        <v>3</v>
      </c>
      <c r="B1089" s="2">
        <v>25</v>
      </c>
      <c r="C1089" s="2">
        <v>10</v>
      </c>
      <c r="D1089" s="2">
        <v>2021</v>
      </c>
      <c r="E1089" s="2">
        <v>0</v>
      </c>
      <c r="F1089" s="2">
        <v>134.54</v>
      </c>
      <c r="H1089" s="1">
        <f>_xlfn.XLOOKUP('Data Source 1_customer readings'!A1089,'Data Source 1_customer readings'!A1089:A3487,'Data Source 1_customer readings'!J1089:J3487)</f>
        <v>0</v>
      </c>
    </row>
    <row r="1090" spans="1:8" x14ac:dyDescent="0.2">
      <c r="A1090" s="2" t="s">
        <v>10</v>
      </c>
      <c r="B1090" s="2">
        <v>18</v>
      </c>
      <c r="C1090" s="2">
        <v>3</v>
      </c>
      <c r="D1090" s="2">
        <v>2021</v>
      </c>
      <c r="E1090" s="2">
        <v>0</v>
      </c>
      <c r="F1090" s="2">
        <v>134.22999999999999</v>
      </c>
      <c r="H1090" s="1">
        <f>_xlfn.XLOOKUP('Data Source 1_customer readings'!A1090,'Data Source 1_customer readings'!A1090:A3488,'Data Source 1_customer readings'!J1090:J3488)</f>
        <v>0</v>
      </c>
    </row>
    <row r="1091" spans="1:8" x14ac:dyDescent="0.2">
      <c r="A1091" s="2" t="s">
        <v>23</v>
      </c>
      <c r="B1091" s="2">
        <v>5</v>
      </c>
      <c r="C1091" s="2">
        <v>7</v>
      </c>
      <c r="D1091" s="2">
        <v>2021</v>
      </c>
      <c r="E1091" s="2">
        <v>0</v>
      </c>
      <c r="F1091" s="2">
        <v>133.91999999999999</v>
      </c>
      <c r="H1091" s="1">
        <f>_xlfn.XLOOKUP('Data Source 1_customer readings'!A1091,'Data Source 1_customer readings'!A1091:A3489,'Data Source 1_customer readings'!J1091:J3489)</f>
        <v>0</v>
      </c>
    </row>
    <row r="1092" spans="1:8" x14ac:dyDescent="0.2">
      <c r="A1092" s="2" t="s">
        <v>29</v>
      </c>
      <c r="B1092" s="2">
        <v>20</v>
      </c>
      <c r="C1092" s="2">
        <v>6</v>
      </c>
      <c r="D1092" s="2">
        <v>2021</v>
      </c>
      <c r="E1092" s="2">
        <v>0</v>
      </c>
      <c r="F1092" s="2">
        <v>133.80000000000001</v>
      </c>
      <c r="H1092" s="1">
        <f>_xlfn.XLOOKUP('Data Source 1_customer readings'!A1092,'Data Source 1_customer readings'!A1092:A3490,'Data Source 1_customer readings'!J1092:J3490)</f>
        <v>0</v>
      </c>
    </row>
    <row r="1093" spans="1:8" x14ac:dyDescent="0.2">
      <c r="A1093" s="2" t="s">
        <v>20</v>
      </c>
      <c r="B1093" s="2">
        <v>12</v>
      </c>
      <c r="C1093" s="2">
        <v>9</v>
      </c>
      <c r="D1093" s="2">
        <v>2021</v>
      </c>
      <c r="E1093" s="2">
        <v>0</v>
      </c>
      <c r="F1093" s="2">
        <v>133.5</v>
      </c>
      <c r="H1093" s="1">
        <f>_xlfn.XLOOKUP('Data Source 1_customer readings'!A1093,'Data Source 1_customer readings'!A1093:A3491,'Data Source 1_customer readings'!J1093:J3491)</f>
        <v>0</v>
      </c>
    </row>
    <row r="1094" spans="1:8" x14ac:dyDescent="0.2">
      <c r="A1094" s="2" t="s">
        <v>21</v>
      </c>
      <c r="B1094" s="2">
        <v>15</v>
      </c>
      <c r="C1094" s="2">
        <v>4</v>
      </c>
      <c r="D1094" s="2">
        <v>2021</v>
      </c>
      <c r="E1094" s="2">
        <v>0</v>
      </c>
      <c r="F1094" s="2">
        <v>133.19999999999999</v>
      </c>
      <c r="H1094" s="1">
        <f>_xlfn.XLOOKUP('Data Source 1_customer readings'!A1094,'Data Source 1_customer readings'!A1094:A3492,'Data Source 1_customer readings'!J1094:J3492)</f>
        <v>0</v>
      </c>
    </row>
    <row r="1095" spans="1:8" x14ac:dyDescent="0.2">
      <c r="A1095" s="2" t="s">
        <v>3</v>
      </c>
      <c r="B1095" s="2">
        <v>25</v>
      </c>
      <c r="C1095" s="2">
        <v>3</v>
      </c>
      <c r="D1095" s="2">
        <v>2021</v>
      </c>
      <c r="E1095" s="2">
        <v>0</v>
      </c>
      <c r="F1095" s="2">
        <v>132.99</v>
      </c>
      <c r="H1095" s="1">
        <f>_xlfn.XLOOKUP('Data Source 1_customer readings'!A1095,'Data Source 1_customer readings'!A1095:A3493,'Data Source 1_customer readings'!J1095:J3493)</f>
        <v>0</v>
      </c>
    </row>
    <row r="1096" spans="1:8" x14ac:dyDescent="0.2">
      <c r="A1096" s="2" t="s">
        <v>14</v>
      </c>
      <c r="B1096" s="2">
        <v>10</v>
      </c>
      <c r="C1096" s="2">
        <v>9</v>
      </c>
      <c r="D1096" s="2">
        <v>2021</v>
      </c>
      <c r="E1096" s="2">
        <v>0</v>
      </c>
      <c r="F1096" s="2">
        <v>132.9</v>
      </c>
      <c r="H1096" s="1">
        <f>_xlfn.XLOOKUP('Data Source 1_customer readings'!A1096,'Data Source 1_customer readings'!A1096:A3494,'Data Source 1_customer readings'!J1096:J3494)</f>
        <v>0</v>
      </c>
    </row>
    <row r="1097" spans="1:8" x14ac:dyDescent="0.2">
      <c r="A1097" s="2" t="s">
        <v>25</v>
      </c>
      <c r="B1097" s="2">
        <v>8</v>
      </c>
      <c r="C1097" s="2">
        <v>5</v>
      </c>
      <c r="D1097" s="2">
        <v>2021</v>
      </c>
      <c r="E1097" s="2">
        <v>0</v>
      </c>
      <c r="F1097" s="2">
        <v>132.68</v>
      </c>
      <c r="H1097" s="1">
        <f>_xlfn.XLOOKUP('Data Source 1_customer readings'!A1097,'Data Source 1_customer readings'!A1097:A3495,'Data Source 1_customer readings'!J1097:J3495)</f>
        <v>0</v>
      </c>
    </row>
    <row r="1098" spans="1:8" x14ac:dyDescent="0.2">
      <c r="A1098" s="2" t="s">
        <v>21</v>
      </c>
      <c r="B1098" s="2">
        <v>15</v>
      </c>
      <c r="C1098" s="2">
        <v>8</v>
      </c>
      <c r="D1098" s="2">
        <v>2021</v>
      </c>
      <c r="E1098" s="2">
        <v>0</v>
      </c>
      <c r="F1098" s="2">
        <v>132.37</v>
      </c>
      <c r="H1098" s="1">
        <f>_xlfn.XLOOKUP('Data Source 1_customer readings'!A1098,'Data Source 1_customer readings'!A1098:A3496,'Data Source 1_customer readings'!J1098:J3496)</f>
        <v>0</v>
      </c>
    </row>
    <row r="1099" spans="1:8" x14ac:dyDescent="0.2">
      <c r="A1099" s="2" t="s">
        <v>11</v>
      </c>
      <c r="B1099" s="2">
        <v>15</v>
      </c>
      <c r="C1099" s="2">
        <v>4</v>
      </c>
      <c r="D1099" s="2">
        <v>2021</v>
      </c>
      <c r="E1099" s="2">
        <v>0</v>
      </c>
      <c r="F1099" s="2">
        <v>132.30000000000001</v>
      </c>
      <c r="H1099" s="1">
        <f>_xlfn.XLOOKUP('Data Source 1_customer readings'!A1099,'Data Source 1_customer readings'!A1099:A3497,'Data Source 1_customer readings'!J1099:J3497)</f>
        <v>0</v>
      </c>
    </row>
    <row r="1100" spans="1:8" x14ac:dyDescent="0.2">
      <c r="A1100" s="2" t="s">
        <v>5</v>
      </c>
      <c r="B1100" s="2">
        <v>7</v>
      </c>
      <c r="C1100" s="2">
        <v>5</v>
      </c>
      <c r="D1100" s="2">
        <v>2021</v>
      </c>
      <c r="E1100" s="2">
        <v>0</v>
      </c>
      <c r="F1100" s="2">
        <v>131.44</v>
      </c>
      <c r="H1100" s="1">
        <f>_xlfn.XLOOKUP('Data Source 1_customer readings'!A1100,'Data Source 1_customer readings'!A1100:A3498,'Data Source 1_customer readings'!J1100:J3498)</f>
        <v>0</v>
      </c>
    </row>
    <row r="1101" spans="1:8" x14ac:dyDescent="0.2">
      <c r="A1101" s="2" t="s">
        <v>10</v>
      </c>
      <c r="B1101" s="2">
        <v>18</v>
      </c>
      <c r="C1101" s="2">
        <v>10</v>
      </c>
      <c r="D1101" s="2">
        <v>2021</v>
      </c>
      <c r="E1101" s="2">
        <v>0</v>
      </c>
      <c r="F1101" s="2">
        <v>131.44</v>
      </c>
      <c r="H1101" s="1">
        <f>_xlfn.XLOOKUP('Data Source 1_customer readings'!A1101,'Data Source 1_customer readings'!A1101:A3499,'Data Source 1_customer readings'!J1101:J3499)</f>
        <v>0</v>
      </c>
    </row>
    <row r="1102" spans="1:8" x14ac:dyDescent="0.2">
      <c r="A1102" s="2" t="s">
        <v>4</v>
      </c>
      <c r="B1102" s="2">
        <v>1</v>
      </c>
      <c r="C1102" s="2">
        <v>10</v>
      </c>
      <c r="D1102" s="2">
        <v>2021</v>
      </c>
      <c r="E1102" s="2">
        <v>0</v>
      </c>
      <c r="F1102" s="2">
        <v>131.13</v>
      </c>
      <c r="H1102" s="1">
        <f>_xlfn.XLOOKUP('Data Source 1_customer readings'!A1102,'Data Source 1_customer readings'!A1102:A3500,'Data Source 1_customer readings'!J1102:J3500)</f>
        <v>0</v>
      </c>
    </row>
    <row r="1103" spans="1:8" x14ac:dyDescent="0.2">
      <c r="A1103" s="2" t="s">
        <v>20</v>
      </c>
      <c r="B1103" s="2">
        <v>12</v>
      </c>
      <c r="C1103" s="2">
        <v>5</v>
      </c>
      <c r="D1103" s="2">
        <v>2021</v>
      </c>
      <c r="E1103" s="2">
        <v>0</v>
      </c>
      <c r="F1103" s="2">
        <v>130.51</v>
      </c>
      <c r="H1103" s="1">
        <f>_xlfn.XLOOKUP('Data Source 1_customer readings'!A1103,'Data Source 1_customer readings'!A1103:A3501,'Data Source 1_customer readings'!J1103:J3501)</f>
        <v>0</v>
      </c>
    </row>
    <row r="1104" spans="1:8" x14ac:dyDescent="0.2">
      <c r="A1104" s="2" t="s">
        <v>7</v>
      </c>
      <c r="B1104" s="2">
        <v>20</v>
      </c>
      <c r="C1104" s="2">
        <v>5</v>
      </c>
      <c r="D1104" s="2">
        <v>2021</v>
      </c>
      <c r="E1104" s="2">
        <v>0</v>
      </c>
      <c r="F1104" s="2">
        <v>130.51</v>
      </c>
      <c r="H1104" s="1">
        <f>_xlfn.XLOOKUP('Data Source 1_customer readings'!A1104,'Data Source 1_customer readings'!A1104:A3502,'Data Source 1_customer readings'!J1104:J3502)</f>
        <v>0</v>
      </c>
    </row>
    <row r="1105" spans="1:8" x14ac:dyDescent="0.2">
      <c r="A1105" s="2" t="s">
        <v>3</v>
      </c>
      <c r="B1105" s="2">
        <v>25</v>
      </c>
      <c r="C1105" s="2">
        <v>4</v>
      </c>
      <c r="D1105" s="2">
        <v>2021</v>
      </c>
      <c r="E1105" s="2">
        <v>0</v>
      </c>
      <c r="F1105" s="2">
        <v>130.5</v>
      </c>
      <c r="H1105" s="1">
        <f>_xlfn.XLOOKUP('Data Source 1_customer readings'!A1105,'Data Source 1_customer readings'!A1105:A3503,'Data Source 1_customer readings'!J1105:J3503)</f>
        <v>0</v>
      </c>
    </row>
    <row r="1106" spans="1:8" x14ac:dyDescent="0.2">
      <c r="A1106" s="2" t="s">
        <v>18</v>
      </c>
      <c r="B1106" s="2">
        <v>5</v>
      </c>
      <c r="C1106" s="2">
        <v>5</v>
      </c>
      <c r="D1106" s="2">
        <v>2021</v>
      </c>
      <c r="E1106" s="2">
        <v>0</v>
      </c>
      <c r="F1106" s="2">
        <v>130.19999999999999</v>
      </c>
      <c r="H1106" s="1">
        <f>_xlfn.XLOOKUP('Data Source 1_customer readings'!A1106,'Data Source 1_customer readings'!A1106:A3504,'Data Source 1_customer readings'!J1106:J3504)</f>
        <v>0</v>
      </c>
    </row>
    <row r="1107" spans="1:8" x14ac:dyDescent="0.2">
      <c r="A1107" s="2" t="s">
        <v>25</v>
      </c>
      <c r="B1107" s="2">
        <v>8</v>
      </c>
      <c r="C1107" s="2">
        <v>7</v>
      </c>
      <c r="D1107" s="2">
        <v>2021</v>
      </c>
      <c r="E1107" s="2">
        <v>0</v>
      </c>
      <c r="F1107" s="2">
        <v>129.88999999999999</v>
      </c>
      <c r="H1107" s="1">
        <f>_xlfn.XLOOKUP('Data Source 1_customer readings'!A1107,'Data Source 1_customer readings'!A1107:A3505,'Data Source 1_customer readings'!J1107:J3505)</f>
        <v>0</v>
      </c>
    </row>
    <row r="1108" spans="1:8" x14ac:dyDescent="0.2">
      <c r="A1108" s="2" t="s">
        <v>24</v>
      </c>
      <c r="B1108" s="2">
        <v>22</v>
      </c>
      <c r="C1108" s="2">
        <v>6</v>
      </c>
      <c r="D1108" s="2">
        <v>2021</v>
      </c>
      <c r="E1108" s="2">
        <v>0</v>
      </c>
      <c r="F1108" s="2">
        <v>129.6</v>
      </c>
      <c r="H1108" s="1">
        <f>_xlfn.XLOOKUP('Data Source 1_customer readings'!A1108,'Data Source 1_customer readings'!A1108:A3506,'Data Source 1_customer readings'!J1108:J3506)</f>
        <v>0</v>
      </c>
    </row>
    <row r="1109" spans="1:8" x14ac:dyDescent="0.2">
      <c r="A1109" s="2" t="s">
        <v>1</v>
      </c>
      <c r="B1109" s="2">
        <v>21</v>
      </c>
      <c r="C1109" s="2">
        <v>10</v>
      </c>
      <c r="D1109" s="2">
        <v>2021</v>
      </c>
      <c r="E1109" s="2">
        <v>0</v>
      </c>
      <c r="F1109" s="2">
        <v>129.27000000000001</v>
      </c>
      <c r="H1109" s="1">
        <f>_xlfn.XLOOKUP('Data Source 1_customer readings'!A1109,'Data Source 1_customer readings'!A1109:A3507,'Data Source 1_customer readings'!J1109:J3507)</f>
        <v>0</v>
      </c>
    </row>
    <row r="1110" spans="1:8" x14ac:dyDescent="0.2">
      <c r="A1110" s="2" t="s">
        <v>6</v>
      </c>
      <c r="B1110" s="2">
        <v>7</v>
      </c>
      <c r="C1110" s="2">
        <v>4</v>
      </c>
      <c r="D1110" s="2">
        <v>2021</v>
      </c>
      <c r="E1110" s="2">
        <v>0</v>
      </c>
      <c r="F1110" s="2">
        <v>129</v>
      </c>
      <c r="H1110" s="1">
        <f>_xlfn.XLOOKUP('Data Source 1_customer readings'!A1110,'Data Source 1_customer readings'!A1110:A3508,'Data Source 1_customer readings'!J1110:J3508)</f>
        <v>0</v>
      </c>
    </row>
    <row r="1111" spans="1:8" x14ac:dyDescent="0.2">
      <c r="A1111" s="2" t="s">
        <v>11</v>
      </c>
      <c r="B1111" s="2">
        <v>15</v>
      </c>
      <c r="C1111" s="2">
        <v>7</v>
      </c>
      <c r="D1111" s="2">
        <v>2021</v>
      </c>
      <c r="E1111" s="2">
        <v>0</v>
      </c>
      <c r="F1111" s="2">
        <v>127.72</v>
      </c>
      <c r="H1111" s="1">
        <f>_xlfn.XLOOKUP('Data Source 1_customer readings'!A1111,'Data Source 1_customer readings'!A1111:A3509,'Data Source 1_customer readings'!J1111:J3509)</f>
        <v>0</v>
      </c>
    </row>
    <row r="1112" spans="1:8" x14ac:dyDescent="0.2">
      <c r="A1112" s="2" t="s">
        <v>20</v>
      </c>
      <c r="B1112" s="2">
        <v>12</v>
      </c>
      <c r="C1112" s="2">
        <v>7</v>
      </c>
      <c r="D1112" s="2">
        <v>2021</v>
      </c>
      <c r="E1112" s="2">
        <v>0</v>
      </c>
      <c r="F1112" s="2">
        <v>127.1</v>
      </c>
      <c r="H1112" s="1">
        <f>_xlfn.XLOOKUP('Data Source 1_customer readings'!A1112,'Data Source 1_customer readings'!A1112:A3510,'Data Source 1_customer readings'!J1112:J3510)</f>
        <v>0</v>
      </c>
    </row>
    <row r="1113" spans="1:8" x14ac:dyDescent="0.2">
      <c r="A1113" s="2" t="s">
        <v>9</v>
      </c>
      <c r="B1113" s="2">
        <v>22</v>
      </c>
      <c r="C1113" s="2">
        <v>8</v>
      </c>
      <c r="D1113" s="2">
        <v>2021</v>
      </c>
      <c r="E1113" s="2">
        <v>0</v>
      </c>
      <c r="F1113" s="2">
        <v>127.1</v>
      </c>
      <c r="H1113" s="1">
        <f>_xlfn.XLOOKUP('Data Source 1_customer readings'!A1113,'Data Source 1_customer readings'!A1113:A3511,'Data Source 1_customer readings'!J1113:J3511)</f>
        <v>0</v>
      </c>
    </row>
    <row r="1114" spans="1:8" x14ac:dyDescent="0.2">
      <c r="A1114" s="2" t="s">
        <v>19</v>
      </c>
      <c r="B1114" s="2">
        <v>24</v>
      </c>
      <c r="C1114" s="2">
        <v>8</v>
      </c>
      <c r="D1114" s="2">
        <v>2021</v>
      </c>
      <c r="E1114" s="2">
        <v>0</v>
      </c>
      <c r="F1114" s="2">
        <v>126.79</v>
      </c>
      <c r="H1114" s="1">
        <f>_xlfn.XLOOKUP('Data Source 1_customer readings'!A1114,'Data Source 1_customer readings'!A1114:A3512,'Data Source 1_customer readings'!J1114:J3512)</f>
        <v>0</v>
      </c>
    </row>
    <row r="1115" spans="1:8" x14ac:dyDescent="0.2">
      <c r="A1115" s="2" t="s">
        <v>11</v>
      </c>
      <c r="B1115" s="2">
        <v>15</v>
      </c>
      <c r="C1115" s="2">
        <v>5</v>
      </c>
      <c r="D1115" s="2">
        <v>2021</v>
      </c>
      <c r="E1115" s="2">
        <v>0</v>
      </c>
      <c r="F1115" s="2">
        <v>126.17</v>
      </c>
      <c r="H1115" s="1">
        <f>_xlfn.XLOOKUP('Data Source 1_customer readings'!A1115,'Data Source 1_customer readings'!A1115:A3513,'Data Source 1_customer readings'!J1115:J3513)</f>
        <v>0</v>
      </c>
    </row>
    <row r="1116" spans="1:8" x14ac:dyDescent="0.2">
      <c r="A1116" s="2" t="s">
        <v>21</v>
      </c>
      <c r="B1116" s="2">
        <v>15</v>
      </c>
      <c r="C1116" s="2">
        <v>7</v>
      </c>
      <c r="D1116" s="2">
        <v>2021</v>
      </c>
      <c r="E1116" s="2">
        <v>0</v>
      </c>
      <c r="F1116" s="2">
        <v>126.17</v>
      </c>
      <c r="H1116" s="1">
        <f>_xlfn.XLOOKUP('Data Source 1_customer readings'!A1116,'Data Source 1_customer readings'!A1116:A3514,'Data Source 1_customer readings'!J1116:J3514)</f>
        <v>0</v>
      </c>
    </row>
    <row r="1117" spans="1:8" x14ac:dyDescent="0.2">
      <c r="A1117" s="2" t="s">
        <v>13</v>
      </c>
      <c r="B1117" s="2">
        <v>7</v>
      </c>
      <c r="C1117" s="2">
        <v>8</v>
      </c>
      <c r="D1117" s="2">
        <v>2021</v>
      </c>
      <c r="E1117" s="2">
        <v>0</v>
      </c>
      <c r="F1117" s="2">
        <v>125.86</v>
      </c>
      <c r="H1117" s="1">
        <f>_xlfn.XLOOKUP('Data Source 1_customer readings'!A1117,'Data Source 1_customer readings'!A1117:A3515,'Data Source 1_customer readings'!J1117:J3515)</f>
        <v>0</v>
      </c>
    </row>
    <row r="1118" spans="1:8" x14ac:dyDescent="0.2">
      <c r="A1118" s="2" t="s">
        <v>4</v>
      </c>
      <c r="B1118" s="2">
        <v>1</v>
      </c>
      <c r="C1118" s="2">
        <v>4</v>
      </c>
      <c r="D1118" s="2">
        <v>2021</v>
      </c>
      <c r="E1118" s="2">
        <v>0</v>
      </c>
      <c r="F1118" s="2">
        <v>125.7</v>
      </c>
      <c r="H1118" s="1">
        <f>_xlfn.XLOOKUP('Data Source 1_customer readings'!A1118,'Data Source 1_customer readings'!A1118:A3516,'Data Source 1_customer readings'!J1118:J3516)</f>
        <v>0</v>
      </c>
    </row>
    <row r="1119" spans="1:8" x14ac:dyDescent="0.2">
      <c r="A1119" s="2" t="s">
        <v>2</v>
      </c>
      <c r="B1119" s="2">
        <v>18</v>
      </c>
      <c r="C1119" s="2">
        <v>3</v>
      </c>
      <c r="D1119" s="2">
        <v>2021</v>
      </c>
      <c r="E1119" s="2">
        <v>0</v>
      </c>
      <c r="F1119" s="2">
        <v>125.55</v>
      </c>
      <c r="H1119" s="1">
        <f>_xlfn.XLOOKUP('Data Source 1_customer readings'!A1119,'Data Source 1_customer readings'!A1119:A3517,'Data Source 1_customer readings'!J1119:J3517)</f>
        <v>0</v>
      </c>
    </row>
    <row r="1120" spans="1:8" x14ac:dyDescent="0.2">
      <c r="A1120" s="2" t="s">
        <v>25</v>
      </c>
      <c r="B1120" s="2">
        <v>8</v>
      </c>
      <c r="C1120" s="2">
        <v>6</v>
      </c>
      <c r="D1120" s="2">
        <v>2021</v>
      </c>
      <c r="E1120" s="2">
        <v>0</v>
      </c>
      <c r="F1120" s="2">
        <v>125.1</v>
      </c>
      <c r="H1120" s="1">
        <f>_xlfn.XLOOKUP('Data Source 1_customer readings'!A1120,'Data Source 1_customer readings'!A1120:A3518,'Data Source 1_customer readings'!J1120:J3518)</f>
        <v>0</v>
      </c>
    </row>
    <row r="1121" spans="1:8" x14ac:dyDescent="0.2">
      <c r="A1121" s="2" t="s">
        <v>12</v>
      </c>
      <c r="B1121" s="2">
        <v>2</v>
      </c>
      <c r="C1121" s="2">
        <v>5</v>
      </c>
      <c r="D1121" s="2">
        <v>2021</v>
      </c>
      <c r="E1121" s="2">
        <v>0</v>
      </c>
      <c r="F1121" s="2">
        <v>124.93</v>
      </c>
      <c r="H1121" s="1">
        <f>_xlfn.XLOOKUP('Data Source 1_customer readings'!A1121,'Data Source 1_customer readings'!A1121:A3519,'Data Source 1_customer readings'!J1121:J3519)</f>
        <v>0</v>
      </c>
    </row>
    <row r="1122" spans="1:8" x14ac:dyDescent="0.2">
      <c r="A1122" s="2" t="s">
        <v>23</v>
      </c>
      <c r="B1122" s="2">
        <v>5</v>
      </c>
      <c r="C1122" s="2">
        <v>6</v>
      </c>
      <c r="D1122" s="2">
        <v>2021</v>
      </c>
      <c r="E1122" s="2">
        <v>0</v>
      </c>
      <c r="F1122" s="2">
        <v>124.8</v>
      </c>
      <c r="H1122" s="1">
        <f>_xlfn.XLOOKUP('Data Source 1_customer readings'!A1122,'Data Source 1_customer readings'!A1122:A3520,'Data Source 1_customer readings'!J1122:J3520)</f>
        <v>0</v>
      </c>
    </row>
    <row r="1123" spans="1:8" x14ac:dyDescent="0.2">
      <c r="A1123" s="2" t="s">
        <v>1</v>
      </c>
      <c r="B1123" s="2">
        <v>21</v>
      </c>
      <c r="C1123" s="2">
        <v>4</v>
      </c>
      <c r="D1123" s="2">
        <v>2021</v>
      </c>
      <c r="E1123" s="2">
        <v>0</v>
      </c>
      <c r="F1123" s="2">
        <v>124.2</v>
      </c>
      <c r="H1123" s="1">
        <f>_xlfn.XLOOKUP('Data Source 1_customer readings'!A1123,'Data Source 1_customer readings'!A1123:A3521,'Data Source 1_customer readings'!J1123:J3521)</f>
        <v>0</v>
      </c>
    </row>
    <row r="1124" spans="1:8" x14ac:dyDescent="0.2">
      <c r="A1124" s="2" t="s">
        <v>6</v>
      </c>
      <c r="B1124" s="2">
        <v>7</v>
      </c>
      <c r="C1124" s="2">
        <v>9</v>
      </c>
      <c r="D1124" s="2">
        <v>2021</v>
      </c>
      <c r="E1124" s="2">
        <v>0</v>
      </c>
      <c r="F1124" s="2">
        <v>124.2</v>
      </c>
      <c r="H1124" s="1">
        <f>_xlfn.XLOOKUP('Data Source 1_customer readings'!A1124,'Data Source 1_customer readings'!A1124:A3522,'Data Source 1_customer readings'!J1124:J3522)</f>
        <v>0</v>
      </c>
    </row>
    <row r="1125" spans="1:8" x14ac:dyDescent="0.2">
      <c r="A1125" s="2" t="s">
        <v>14</v>
      </c>
      <c r="B1125" s="2">
        <v>10</v>
      </c>
      <c r="C1125" s="2">
        <v>5</v>
      </c>
      <c r="D1125" s="2">
        <v>2021</v>
      </c>
      <c r="E1125" s="2">
        <v>0</v>
      </c>
      <c r="F1125" s="2">
        <v>124</v>
      </c>
      <c r="H1125" s="1">
        <f>_xlfn.XLOOKUP('Data Source 1_customer readings'!A1125,'Data Source 1_customer readings'!A1125:A3523,'Data Source 1_customer readings'!J1125:J3523)</f>
        <v>0</v>
      </c>
    </row>
    <row r="1126" spans="1:8" x14ac:dyDescent="0.2">
      <c r="A1126" s="2" t="s">
        <v>24</v>
      </c>
      <c r="B1126" s="2">
        <v>22</v>
      </c>
      <c r="C1126" s="2">
        <v>5</v>
      </c>
      <c r="D1126" s="2">
        <v>2021</v>
      </c>
      <c r="E1126" s="2">
        <v>0</v>
      </c>
      <c r="F1126" s="2">
        <v>124</v>
      </c>
      <c r="H1126" s="1">
        <f>_xlfn.XLOOKUP('Data Source 1_customer readings'!A1126,'Data Source 1_customer readings'!A1126:A3524,'Data Source 1_customer readings'!J1126:J3524)</f>
        <v>0</v>
      </c>
    </row>
    <row r="1127" spans="1:8" x14ac:dyDescent="0.2">
      <c r="A1127" s="2" t="s">
        <v>9</v>
      </c>
      <c r="B1127" s="2">
        <v>22</v>
      </c>
      <c r="C1127" s="2">
        <v>5</v>
      </c>
      <c r="D1127" s="2">
        <v>2021</v>
      </c>
      <c r="E1127" s="2">
        <v>0</v>
      </c>
      <c r="F1127" s="2">
        <v>123.69</v>
      </c>
      <c r="H1127" s="1">
        <f>_xlfn.XLOOKUP('Data Source 1_customer readings'!A1127,'Data Source 1_customer readings'!A1127:A3525,'Data Source 1_customer readings'!J1127:J3525)</f>
        <v>0</v>
      </c>
    </row>
    <row r="1128" spans="1:8" x14ac:dyDescent="0.2">
      <c r="A1128" s="2" t="s">
        <v>18</v>
      </c>
      <c r="B1128" s="2">
        <v>5</v>
      </c>
      <c r="C1128" s="2">
        <v>7</v>
      </c>
      <c r="D1128" s="2">
        <v>2021</v>
      </c>
      <c r="E1128" s="2">
        <v>0</v>
      </c>
      <c r="F1128" s="2">
        <v>123.69</v>
      </c>
      <c r="H1128" s="1">
        <f>_xlfn.XLOOKUP('Data Source 1_customer readings'!A1128,'Data Source 1_customer readings'!A1128:A3526,'Data Source 1_customer readings'!J1128:J3526)</f>
        <v>0</v>
      </c>
    </row>
    <row r="1129" spans="1:8" x14ac:dyDescent="0.2">
      <c r="A1129" s="2" t="s">
        <v>7</v>
      </c>
      <c r="B1129" s="2">
        <v>20</v>
      </c>
      <c r="C1129" s="2">
        <v>4</v>
      </c>
      <c r="D1129" s="2">
        <v>2021</v>
      </c>
      <c r="E1129" s="2">
        <v>0</v>
      </c>
      <c r="F1129" s="2">
        <v>123.6</v>
      </c>
      <c r="H1129" s="1">
        <f>_xlfn.XLOOKUP('Data Source 1_customer readings'!A1129,'Data Source 1_customer readings'!A1129:A3527,'Data Source 1_customer readings'!J1129:J3527)</f>
        <v>0</v>
      </c>
    </row>
    <row r="1130" spans="1:8" x14ac:dyDescent="0.2">
      <c r="A1130" s="2" t="s">
        <v>15</v>
      </c>
      <c r="B1130" s="2">
        <v>5</v>
      </c>
      <c r="C1130" s="2">
        <v>9</v>
      </c>
      <c r="D1130" s="2">
        <v>2021</v>
      </c>
      <c r="E1130" s="2">
        <v>0</v>
      </c>
      <c r="F1130" s="2">
        <v>123.6</v>
      </c>
      <c r="H1130" s="1">
        <f>_xlfn.XLOOKUP('Data Source 1_customer readings'!A1130,'Data Source 1_customer readings'!A1130:A3528,'Data Source 1_customer readings'!J1130:J3528)</f>
        <v>0</v>
      </c>
    </row>
    <row r="1131" spans="1:8" x14ac:dyDescent="0.2">
      <c r="A1131" s="2" t="s">
        <v>10</v>
      </c>
      <c r="B1131" s="2">
        <v>18</v>
      </c>
      <c r="C1131" s="2">
        <v>7</v>
      </c>
      <c r="D1131" s="2">
        <v>2021</v>
      </c>
      <c r="E1131" s="2">
        <v>0</v>
      </c>
      <c r="F1131" s="2">
        <v>123.38</v>
      </c>
      <c r="H1131" s="1">
        <f>_xlfn.XLOOKUP('Data Source 1_customer readings'!A1131,'Data Source 1_customer readings'!A1131:A3529,'Data Source 1_customer readings'!J1131:J3529)</f>
        <v>0</v>
      </c>
    </row>
    <row r="1132" spans="1:8" x14ac:dyDescent="0.2">
      <c r="A1132" s="2" t="s">
        <v>24</v>
      </c>
      <c r="B1132" s="2">
        <v>22</v>
      </c>
      <c r="C1132" s="2">
        <v>8</v>
      </c>
      <c r="D1132" s="2">
        <v>2021</v>
      </c>
      <c r="E1132" s="2">
        <v>0</v>
      </c>
      <c r="F1132" s="2">
        <v>123.38</v>
      </c>
      <c r="H1132" s="1">
        <f>_xlfn.XLOOKUP('Data Source 1_customer readings'!A1132,'Data Source 1_customer readings'!A1132:A3530,'Data Source 1_customer readings'!J1132:J3530)</f>
        <v>0</v>
      </c>
    </row>
    <row r="1133" spans="1:8" x14ac:dyDescent="0.2">
      <c r="A1133" s="2" t="s">
        <v>14</v>
      </c>
      <c r="B1133" s="2">
        <v>10</v>
      </c>
      <c r="C1133" s="2">
        <v>7</v>
      </c>
      <c r="D1133" s="2">
        <v>2021</v>
      </c>
      <c r="E1133" s="2">
        <v>0</v>
      </c>
      <c r="F1133" s="2">
        <v>123.07</v>
      </c>
      <c r="H1133" s="1">
        <f>_xlfn.XLOOKUP('Data Source 1_customer readings'!A1133,'Data Source 1_customer readings'!A1133:A3531,'Data Source 1_customer readings'!J1133:J3531)</f>
        <v>0</v>
      </c>
    </row>
    <row r="1134" spans="1:8" x14ac:dyDescent="0.2">
      <c r="A1134" s="2" t="s">
        <v>26</v>
      </c>
      <c r="B1134" s="2">
        <v>22</v>
      </c>
      <c r="C1134" s="2">
        <v>6</v>
      </c>
      <c r="D1134" s="2">
        <v>2021</v>
      </c>
      <c r="E1134" s="2">
        <v>0</v>
      </c>
      <c r="F1134" s="2">
        <v>122.7</v>
      </c>
      <c r="H1134" s="1">
        <f>_xlfn.XLOOKUP('Data Source 1_customer readings'!A1134,'Data Source 1_customer readings'!A1134:A3532,'Data Source 1_customer readings'!J1134:J3532)</f>
        <v>0</v>
      </c>
    </row>
    <row r="1135" spans="1:8" x14ac:dyDescent="0.2">
      <c r="A1135" s="2" t="s">
        <v>25</v>
      </c>
      <c r="B1135" s="2">
        <v>8</v>
      </c>
      <c r="C1135" s="2">
        <v>9</v>
      </c>
      <c r="D1135" s="2">
        <v>2021</v>
      </c>
      <c r="E1135" s="2">
        <v>0</v>
      </c>
      <c r="F1135" s="2">
        <v>122.7</v>
      </c>
      <c r="H1135" s="1">
        <f>_xlfn.XLOOKUP('Data Source 1_customer readings'!A1135,'Data Source 1_customer readings'!A1135:A3533,'Data Source 1_customer readings'!J1135:J3533)</f>
        <v>0</v>
      </c>
    </row>
    <row r="1136" spans="1:8" x14ac:dyDescent="0.2">
      <c r="A1136" s="2" t="s">
        <v>19</v>
      </c>
      <c r="B1136" s="2">
        <v>24</v>
      </c>
      <c r="C1136" s="2">
        <v>9</v>
      </c>
      <c r="D1136" s="2">
        <v>2021</v>
      </c>
      <c r="E1136" s="2">
        <v>0</v>
      </c>
      <c r="F1136" s="2">
        <v>122.1</v>
      </c>
      <c r="H1136" s="1">
        <f>_xlfn.XLOOKUP('Data Source 1_customer readings'!A1136,'Data Source 1_customer readings'!A1136:A3534,'Data Source 1_customer readings'!J1136:J3534)</f>
        <v>0</v>
      </c>
    </row>
    <row r="1137" spans="1:8" x14ac:dyDescent="0.2">
      <c r="A1137" s="2" t="s">
        <v>22</v>
      </c>
      <c r="B1137" s="2">
        <v>22</v>
      </c>
      <c r="C1137" s="2">
        <v>7</v>
      </c>
      <c r="D1137" s="2">
        <v>2021</v>
      </c>
      <c r="E1137" s="2">
        <v>0</v>
      </c>
      <c r="F1137" s="2">
        <v>121.83</v>
      </c>
      <c r="H1137" s="1">
        <f>_xlfn.XLOOKUP('Data Source 1_customer readings'!A1137,'Data Source 1_customer readings'!A1137:A3535,'Data Source 1_customer readings'!J1137:J3535)</f>
        <v>0</v>
      </c>
    </row>
    <row r="1138" spans="1:8" x14ac:dyDescent="0.2">
      <c r="A1138" s="2" t="s">
        <v>4</v>
      </c>
      <c r="B1138" s="2">
        <v>1</v>
      </c>
      <c r="C1138" s="2">
        <v>3</v>
      </c>
      <c r="D1138" s="2">
        <v>2021</v>
      </c>
      <c r="E1138" s="2">
        <v>0</v>
      </c>
      <c r="F1138" s="2">
        <v>121.52</v>
      </c>
      <c r="H1138" s="1">
        <f>_xlfn.XLOOKUP('Data Source 1_customer readings'!A1138,'Data Source 1_customer readings'!A1138:A3536,'Data Source 1_customer readings'!J1138:J3536)</f>
        <v>0</v>
      </c>
    </row>
    <row r="1139" spans="1:8" x14ac:dyDescent="0.2">
      <c r="A1139" s="2" t="s">
        <v>24</v>
      </c>
      <c r="B1139" s="2">
        <v>22</v>
      </c>
      <c r="C1139" s="2">
        <v>7</v>
      </c>
      <c r="D1139" s="2">
        <v>2021</v>
      </c>
      <c r="E1139" s="2">
        <v>0</v>
      </c>
      <c r="F1139" s="2">
        <v>120.59</v>
      </c>
      <c r="H1139" s="1">
        <f>_xlfn.XLOOKUP('Data Source 1_customer readings'!A1139,'Data Source 1_customer readings'!A1139:A3537,'Data Source 1_customer readings'!J1139:J3537)</f>
        <v>0</v>
      </c>
    </row>
    <row r="1140" spans="1:8" x14ac:dyDescent="0.2">
      <c r="A1140" s="2" t="s">
        <v>2</v>
      </c>
      <c r="B1140" s="2">
        <v>18</v>
      </c>
      <c r="C1140" s="2">
        <v>4</v>
      </c>
      <c r="D1140" s="2">
        <v>2021</v>
      </c>
      <c r="E1140" s="2">
        <v>0</v>
      </c>
      <c r="F1140" s="2">
        <v>120</v>
      </c>
      <c r="H1140" s="1">
        <f>_xlfn.XLOOKUP('Data Source 1_customer readings'!A1140,'Data Source 1_customer readings'!A1140:A3538,'Data Source 1_customer readings'!J1140:J3538)</f>
        <v>0</v>
      </c>
    </row>
    <row r="1141" spans="1:8" x14ac:dyDescent="0.2">
      <c r="A1141" s="2" t="s">
        <v>1</v>
      </c>
      <c r="B1141" s="2">
        <v>21</v>
      </c>
      <c r="C1141" s="2">
        <v>3</v>
      </c>
      <c r="D1141" s="2">
        <v>2021</v>
      </c>
      <c r="E1141" s="2">
        <v>0</v>
      </c>
      <c r="F1141" s="2">
        <v>119.97</v>
      </c>
      <c r="H1141" s="1">
        <f>_xlfn.XLOOKUP('Data Source 1_customer readings'!A1141,'Data Source 1_customer readings'!A1141:A3539,'Data Source 1_customer readings'!J1141:J3539)</f>
        <v>0</v>
      </c>
    </row>
    <row r="1142" spans="1:8" x14ac:dyDescent="0.2">
      <c r="A1142" s="2" t="s">
        <v>7</v>
      </c>
      <c r="B1142" s="2">
        <v>20</v>
      </c>
      <c r="C1142" s="2">
        <v>8</v>
      </c>
      <c r="D1142" s="2">
        <v>2021</v>
      </c>
      <c r="E1142" s="2">
        <v>0</v>
      </c>
      <c r="F1142" s="2">
        <v>119.97</v>
      </c>
      <c r="H1142" s="1">
        <f>_xlfn.XLOOKUP('Data Source 1_customer readings'!A1142,'Data Source 1_customer readings'!A1142:A3540,'Data Source 1_customer readings'!J1142:J3540)</f>
        <v>0</v>
      </c>
    </row>
    <row r="1143" spans="1:8" x14ac:dyDescent="0.2">
      <c r="A1143" s="2" t="s">
        <v>8</v>
      </c>
      <c r="B1143" s="2">
        <v>5</v>
      </c>
      <c r="C1143" s="2">
        <v>9</v>
      </c>
      <c r="D1143" s="2">
        <v>2021</v>
      </c>
      <c r="E1143" s="2">
        <v>0</v>
      </c>
      <c r="F1143" s="2">
        <v>119.4</v>
      </c>
      <c r="H1143" s="1">
        <f>_xlfn.XLOOKUP('Data Source 1_customer readings'!A1143,'Data Source 1_customer readings'!A1143:A3541,'Data Source 1_customer readings'!J1143:J3541)</f>
        <v>0</v>
      </c>
    </row>
    <row r="1144" spans="1:8" x14ac:dyDescent="0.2">
      <c r="A1144" s="2" t="s">
        <v>20</v>
      </c>
      <c r="B1144" s="2">
        <v>12</v>
      </c>
      <c r="C1144" s="2">
        <v>6</v>
      </c>
      <c r="D1144" s="2">
        <v>2021</v>
      </c>
      <c r="E1144" s="2">
        <v>0</v>
      </c>
      <c r="F1144" s="2">
        <v>119.1</v>
      </c>
      <c r="H1144" s="1">
        <f>_xlfn.XLOOKUP('Data Source 1_customer readings'!A1144,'Data Source 1_customer readings'!A1144:A3542,'Data Source 1_customer readings'!J1144:J3542)</f>
        <v>0</v>
      </c>
    </row>
    <row r="1145" spans="1:8" x14ac:dyDescent="0.2">
      <c r="A1145" s="2" t="s">
        <v>14</v>
      </c>
      <c r="B1145" s="2">
        <v>10</v>
      </c>
      <c r="C1145" s="2">
        <v>8</v>
      </c>
      <c r="D1145" s="2">
        <v>2021</v>
      </c>
      <c r="E1145" s="2">
        <v>0</v>
      </c>
      <c r="F1145" s="2">
        <v>119.04</v>
      </c>
      <c r="H1145" s="1">
        <f>_xlfn.XLOOKUP('Data Source 1_customer readings'!A1145,'Data Source 1_customer readings'!A1145:A3543,'Data Source 1_customer readings'!J1145:J3543)</f>
        <v>0</v>
      </c>
    </row>
    <row r="1146" spans="1:8" x14ac:dyDescent="0.2">
      <c r="A1146" s="2" t="s">
        <v>16</v>
      </c>
      <c r="B1146" s="2">
        <v>14</v>
      </c>
      <c r="C1146" s="2">
        <v>8</v>
      </c>
      <c r="D1146" s="2">
        <v>2021</v>
      </c>
      <c r="E1146" s="2">
        <v>0</v>
      </c>
      <c r="F1146" s="2">
        <v>118.73</v>
      </c>
      <c r="H1146" s="1">
        <f>_xlfn.XLOOKUP('Data Source 1_customer readings'!A1146,'Data Source 1_customer readings'!A1146:A3544,'Data Source 1_customer readings'!J1146:J3544)</f>
        <v>0</v>
      </c>
    </row>
    <row r="1147" spans="1:8" x14ac:dyDescent="0.2">
      <c r="A1147" s="2" t="s">
        <v>22</v>
      </c>
      <c r="B1147" s="2">
        <v>22</v>
      </c>
      <c r="C1147" s="2">
        <v>6</v>
      </c>
      <c r="D1147" s="2">
        <v>2021</v>
      </c>
      <c r="E1147" s="2">
        <v>0</v>
      </c>
      <c r="F1147" s="2">
        <v>118.2</v>
      </c>
      <c r="H1147" s="1">
        <f>_xlfn.XLOOKUP('Data Source 1_customer readings'!A1147,'Data Source 1_customer readings'!A1147:A3545,'Data Source 1_customer readings'!J1147:J3545)</f>
        <v>0</v>
      </c>
    </row>
    <row r="1148" spans="1:8" x14ac:dyDescent="0.2">
      <c r="A1148" s="2" t="s">
        <v>12</v>
      </c>
      <c r="B1148" s="2">
        <v>2</v>
      </c>
      <c r="C1148" s="2">
        <v>7</v>
      </c>
      <c r="D1148" s="2">
        <v>2021</v>
      </c>
      <c r="E1148" s="2">
        <v>0</v>
      </c>
      <c r="F1148" s="2">
        <v>118.11</v>
      </c>
      <c r="H1148" s="1">
        <f>_xlfn.XLOOKUP('Data Source 1_customer readings'!A1148,'Data Source 1_customer readings'!A1148:A3546,'Data Source 1_customer readings'!J1148:J3546)</f>
        <v>0</v>
      </c>
    </row>
    <row r="1149" spans="1:8" x14ac:dyDescent="0.2">
      <c r="A1149" s="2" t="s">
        <v>15</v>
      </c>
      <c r="B1149" s="2">
        <v>5</v>
      </c>
      <c r="C1149" s="2">
        <v>6</v>
      </c>
      <c r="D1149" s="2">
        <v>2021</v>
      </c>
      <c r="E1149" s="2">
        <v>0</v>
      </c>
      <c r="F1149" s="2">
        <v>117.3</v>
      </c>
      <c r="H1149" s="1">
        <f>_xlfn.XLOOKUP('Data Source 1_customer readings'!A1149,'Data Source 1_customer readings'!A1149:A3547,'Data Source 1_customer readings'!J1149:J3547)</f>
        <v>0</v>
      </c>
    </row>
    <row r="1150" spans="1:8" x14ac:dyDescent="0.2">
      <c r="A1150" s="2" t="s">
        <v>17</v>
      </c>
      <c r="B1150" s="2">
        <v>8</v>
      </c>
      <c r="C1150" s="2">
        <v>5</v>
      </c>
      <c r="D1150" s="2">
        <v>2021</v>
      </c>
      <c r="E1150" s="2">
        <v>0</v>
      </c>
      <c r="F1150" s="2">
        <v>116.87</v>
      </c>
      <c r="H1150" s="1">
        <f>_xlfn.XLOOKUP('Data Source 1_customer readings'!A1150,'Data Source 1_customer readings'!A1150:A3548,'Data Source 1_customer readings'!J1150:J3548)</f>
        <v>0</v>
      </c>
    </row>
    <row r="1151" spans="1:8" x14ac:dyDescent="0.2">
      <c r="A1151" s="2" t="s">
        <v>15</v>
      </c>
      <c r="B1151" s="2">
        <v>5</v>
      </c>
      <c r="C1151" s="2">
        <v>5</v>
      </c>
      <c r="D1151" s="2">
        <v>2021</v>
      </c>
      <c r="E1151" s="2">
        <v>0</v>
      </c>
      <c r="F1151" s="2">
        <v>116.56</v>
      </c>
      <c r="H1151" s="1">
        <f>_xlfn.XLOOKUP('Data Source 1_customer readings'!A1151,'Data Source 1_customer readings'!A1151:A3549,'Data Source 1_customer readings'!J1151:J3549)</f>
        <v>0</v>
      </c>
    </row>
    <row r="1152" spans="1:8" x14ac:dyDescent="0.2">
      <c r="A1152" s="2" t="s">
        <v>3</v>
      </c>
      <c r="B1152" s="2">
        <v>25</v>
      </c>
      <c r="C1152" s="2">
        <v>8</v>
      </c>
      <c r="D1152" s="2">
        <v>2021</v>
      </c>
      <c r="E1152" s="2">
        <v>0</v>
      </c>
      <c r="F1152" s="2">
        <v>115.63</v>
      </c>
      <c r="H1152" s="1">
        <f>_xlfn.XLOOKUP('Data Source 1_customer readings'!A1152,'Data Source 1_customer readings'!A1152:A3550,'Data Source 1_customer readings'!J1152:J3550)</f>
        <v>0</v>
      </c>
    </row>
    <row r="1153" spans="1:8" x14ac:dyDescent="0.2">
      <c r="A1153" s="2" t="s">
        <v>13</v>
      </c>
      <c r="B1153" s="2">
        <v>7</v>
      </c>
      <c r="C1153" s="2">
        <v>9</v>
      </c>
      <c r="D1153" s="2">
        <v>2021</v>
      </c>
      <c r="E1153" s="2">
        <v>0</v>
      </c>
      <c r="F1153" s="2">
        <v>115.2</v>
      </c>
      <c r="H1153" s="1">
        <f>_xlfn.XLOOKUP('Data Source 1_customer readings'!A1153,'Data Source 1_customer readings'!A1153:A3551,'Data Source 1_customer readings'!J1153:J3551)</f>
        <v>0</v>
      </c>
    </row>
    <row r="1154" spans="1:8" x14ac:dyDescent="0.2">
      <c r="A1154" s="2" t="s">
        <v>3</v>
      </c>
      <c r="B1154" s="2">
        <v>25</v>
      </c>
      <c r="C1154" s="2">
        <v>9</v>
      </c>
      <c r="D1154" s="2">
        <v>2021</v>
      </c>
      <c r="E1154" s="2">
        <v>0</v>
      </c>
      <c r="F1154" s="2">
        <v>115.2</v>
      </c>
      <c r="H1154" s="1">
        <f>_xlfn.XLOOKUP('Data Source 1_customer readings'!A1154,'Data Source 1_customer readings'!A1154:A3552,'Data Source 1_customer readings'!J1154:J3552)</f>
        <v>0</v>
      </c>
    </row>
    <row r="1155" spans="1:8" x14ac:dyDescent="0.2">
      <c r="A1155" s="2" t="s">
        <v>15</v>
      </c>
      <c r="B1155" s="2">
        <v>5</v>
      </c>
      <c r="C1155" s="2">
        <v>8</v>
      </c>
      <c r="D1155" s="2">
        <v>2021</v>
      </c>
      <c r="E1155" s="2">
        <v>0</v>
      </c>
      <c r="F1155" s="2">
        <v>114.08</v>
      </c>
      <c r="H1155" s="1">
        <f>_xlfn.XLOOKUP('Data Source 1_customer readings'!A1155,'Data Source 1_customer readings'!A1155:A3553,'Data Source 1_customer readings'!J1155:J3553)</f>
        <v>0</v>
      </c>
    </row>
    <row r="1156" spans="1:8" x14ac:dyDescent="0.2">
      <c r="A1156" s="2" t="s">
        <v>5</v>
      </c>
      <c r="B1156" s="2">
        <v>7</v>
      </c>
      <c r="C1156" s="2">
        <v>8</v>
      </c>
      <c r="D1156" s="2">
        <v>2021</v>
      </c>
      <c r="E1156" s="2">
        <v>0</v>
      </c>
      <c r="F1156" s="2">
        <v>113.77</v>
      </c>
      <c r="H1156" s="1">
        <f>_xlfn.XLOOKUP('Data Source 1_customer readings'!A1156,'Data Source 1_customer readings'!A1156:A3554,'Data Source 1_customer readings'!J1156:J3554)</f>
        <v>0</v>
      </c>
    </row>
    <row r="1157" spans="1:8" x14ac:dyDescent="0.2">
      <c r="A1157" s="2" t="s">
        <v>6</v>
      </c>
      <c r="B1157" s="2">
        <v>7</v>
      </c>
      <c r="C1157" s="2">
        <v>5</v>
      </c>
      <c r="D1157" s="2">
        <v>2021</v>
      </c>
      <c r="E1157" s="2">
        <v>0</v>
      </c>
      <c r="F1157" s="2">
        <v>113.15</v>
      </c>
      <c r="H1157" s="1">
        <f>_xlfn.XLOOKUP('Data Source 1_customer readings'!A1157,'Data Source 1_customer readings'!A1157:A3555,'Data Source 1_customer readings'!J1157:J3555)</f>
        <v>0</v>
      </c>
    </row>
    <row r="1158" spans="1:8" x14ac:dyDescent="0.2">
      <c r="A1158" s="2" t="s">
        <v>9</v>
      </c>
      <c r="B1158" s="2">
        <v>22</v>
      </c>
      <c r="C1158" s="2">
        <v>9</v>
      </c>
      <c r="D1158" s="2">
        <v>2021</v>
      </c>
      <c r="E1158" s="2">
        <v>0</v>
      </c>
      <c r="F1158" s="2">
        <v>113.1</v>
      </c>
      <c r="H1158" s="1">
        <f>_xlfn.XLOOKUP('Data Source 1_customer readings'!A1158,'Data Source 1_customer readings'!A1158:A3556,'Data Source 1_customer readings'!J1158:J3556)</f>
        <v>0</v>
      </c>
    </row>
    <row r="1159" spans="1:8" x14ac:dyDescent="0.2">
      <c r="A1159" s="2" t="s">
        <v>2</v>
      </c>
      <c r="B1159" s="2">
        <v>18</v>
      </c>
      <c r="C1159" s="2">
        <v>10</v>
      </c>
      <c r="D1159" s="2">
        <v>2021</v>
      </c>
      <c r="E1159" s="2">
        <v>0</v>
      </c>
      <c r="F1159" s="2">
        <v>112.84</v>
      </c>
      <c r="H1159" s="1">
        <f>_xlfn.XLOOKUP('Data Source 1_customer readings'!A1159,'Data Source 1_customer readings'!A1159:A3557,'Data Source 1_customer readings'!J1159:J3557)</f>
        <v>0</v>
      </c>
    </row>
    <row r="1160" spans="1:8" x14ac:dyDescent="0.2">
      <c r="A1160" s="2" t="s">
        <v>3</v>
      </c>
      <c r="B1160" s="2">
        <v>25</v>
      </c>
      <c r="C1160" s="2">
        <v>7</v>
      </c>
      <c r="D1160" s="2">
        <v>2021</v>
      </c>
      <c r="E1160" s="2">
        <v>0</v>
      </c>
      <c r="F1160" s="2">
        <v>112.22</v>
      </c>
      <c r="H1160" s="1">
        <f>_xlfn.XLOOKUP('Data Source 1_customer readings'!A1160,'Data Source 1_customer readings'!A1160:A3558,'Data Source 1_customer readings'!J1160:J3558)</f>
        <v>0</v>
      </c>
    </row>
    <row r="1161" spans="1:8" x14ac:dyDescent="0.2">
      <c r="A1161" s="2" t="s">
        <v>12</v>
      </c>
      <c r="B1161" s="2">
        <v>2</v>
      </c>
      <c r="C1161" s="2">
        <v>9</v>
      </c>
      <c r="D1161" s="2">
        <v>2021</v>
      </c>
      <c r="E1161" s="2">
        <v>0</v>
      </c>
      <c r="F1161" s="2">
        <v>112.2</v>
      </c>
      <c r="H1161" s="1">
        <f>_xlfn.XLOOKUP('Data Source 1_customer readings'!A1161,'Data Source 1_customer readings'!A1161:A3559,'Data Source 1_customer readings'!J1161:J3559)</f>
        <v>0</v>
      </c>
    </row>
    <row r="1162" spans="1:8" x14ac:dyDescent="0.2">
      <c r="A1162" s="2" t="s">
        <v>9</v>
      </c>
      <c r="B1162" s="2">
        <v>22</v>
      </c>
      <c r="C1162" s="2">
        <v>7</v>
      </c>
      <c r="D1162" s="2">
        <v>2021</v>
      </c>
      <c r="E1162" s="2">
        <v>0</v>
      </c>
      <c r="F1162" s="2">
        <v>111.91</v>
      </c>
      <c r="H1162" s="1">
        <f>_xlfn.XLOOKUP('Data Source 1_customer readings'!A1162,'Data Source 1_customer readings'!A1162:A3560,'Data Source 1_customer readings'!J1162:J3560)</f>
        <v>0</v>
      </c>
    </row>
    <row r="1163" spans="1:8" x14ac:dyDescent="0.2">
      <c r="A1163" s="2" t="s">
        <v>4</v>
      </c>
      <c r="B1163" s="2">
        <v>1</v>
      </c>
      <c r="C1163" s="2">
        <v>8</v>
      </c>
      <c r="D1163" s="2">
        <v>2021</v>
      </c>
      <c r="E1163" s="2">
        <v>0</v>
      </c>
      <c r="F1163" s="2">
        <v>111.91</v>
      </c>
      <c r="H1163" s="1">
        <f>_xlfn.XLOOKUP('Data Source 1_customer readings'!A1163,'Data Source 1_customer readings'!A1163:A3561,'Data Source 1_customer readings'!J1163:J3561)</f>
        <v>0</v>
      </c>
    </row>
    <row r="1164" spans="1:8" x14ac:dyDescent="0.2">
      <c r="A1164" s="2" t="s">
        <v>5</v>
      </c>
      <c r="B1164" s="2">
        <v>7</v>
      </c>
      <c r="C1164" s="2">
        <v>9</v>
      </c>
      <c r="D1164" s="2">
        <v>2021</v>
      </c>
      <c r="E1164" s="2">
        <v>0</v>
      </c>
      <c r="F1164" s="2">
        <v>111.6</v>
      </c>
      <c r="H1164" s="1">
        <f>_xlfn.XLOOKUP('Data Source 1_customer readings'!A1164,'Data Source 1_customer readings'!A1164:A3562,'Data Source 1_customer readings'!J1164:J3562)</f>
        <v>0</v>
      </c>
    </row>
    <row r="1165" spans="1:8" x14ac:dyDescent="0.2">
      <c r="A1165" s="2" t="s">
        <v>3</v>
      </c>
      <c r="B1165" s="2">
        <v>25</v>
      </c>
      <c r="C1165" s="2">
        <v>6</v>
      </c>
      <c r="D1165" s="2">
        <v>2021</v>
      </c>
      <c r="E1165" s="2">
        <v>0</v>
      </c>
      <c r="F1165" s="2">
        <v>111.3</v>
      </c>
      <c r="H1165" s="1">
        <f>_xlfn.XLOOKUP('Data Source 1_customer readings'!A1165,'Data Source 1_customer readings'!A1165:A3563,'Data Source 1_customer readings'!J1165:J3563)</f>
        <v>0</v>
      </c>
    </row>
    <row r="1166" spans="1:8" x14ac:dyDescent="0.2">
      <c r="A1166" s="2" t="s">
        <v>12</v>
      </c>
      <c r="B1166" s="2">
        <v>2</v>
      </c>
      <c r="C1166" s="2">
        <v>8</v>
      </c>
      <c r="D1166" s="2">
        <v>2021</v>
      </c>
      <c r="E1166" s="2">
        <v>0</v>
      </c>
      <c r="F1166" s="2">
        <v>110.98</v>
      </c>
      <c r="H1166" s="1">
        <f>_xlfn.XLOOKUP('Data Source 1_customer readings'!A1166,'Data Source 1_customer readings'!A1166:A3564,'Data Source 1_customer readings'!J1166:J3564)</f>
        <v>0</v>
      </c>
    </row>
    <row r="1167" spans="1:8" x14ac:dyDescent="0.2">
      <c r="A1167" s="2" t="s">
        <v>11</v>
      </c>
      <c r="B1167" s="2">
        <v>15</v>
      </c>
      <c r="C1167" s="2">
        <v>8</v>
      </c>
      <c r="D1167" s="2">
        <v>2021</v>
      </c>
      <c r="E1167" s="2">
        <v>0</v>
      </c>
      <c r="F1167" s="2">
        <v>110.98</v>
      </c>
      <c r="H1167" s="1">
        <f>_xlfn.XLOOKUP('Data Source 1_customer readings'!A1167,'Data Source 1_customer readings'!A1167:A3565,'Data Source 1_customer readings'!J1167:J3565)</f>
        <v>0</v>
      </c>
    </row>
    <row r="1168" spans="1:8" x14ac:dyDescent="0.2">
      <c r="A1168" s="2" t="s">
        <v>4</v>
      </c>
      <c r="B1168" s="2">
        <v>1</v>
      </c>
      <c r="C1168" s="2">
        <v>5</v>
      </c>
      <c r="D1168" s="2">
        <v>2021</v>
      </c>
      <c r="E1168" s="2">
        <v>0</v>
      </c>
      <c r="F1168" s="2">
        <v>110.05</v>
      </c>
      <c r="H1168" s="1">
        <f>_xlfn.XLOOKUP('Data Source 1_customer readings'!A1168,'Data Source 1_customer readings'!A1168:A3566,'Data Source 1_customer readings'!J1168:J3566)</f>
        <v>0</v>
      </c>
    </row>
    <row r="1169" spans="1:8" x14ac:dyDescent="0.2">
      <c r="A1169" s="2" t="s">
        <v>13</v>
      </c>
      <c r="B1169" s="2">
        <v>7</v>
      </c>
      <c r="C1169" s="2">
        <v>6</v>
      </c>
      <c r="D1169" s="2">
        <v>2021</v>
      </c>
      <c r="E1169" s="2">
        <v>0</v>
      </c>
      <c r="F1169" s="2">
        <v>109.8</v>
      </c>
      <c r="H1169" s="1">
        <f>_xlfn.XLOOKUP('Data Source 1_customer readings'!A1169,'Data Source 1_customer readings'!A1169:A3567,'Data Source 1_customer readings'!J1169:J3567)</f>
        <v>0</v>
      </c>
    </row>
    <row r="1170" spans="1:8" x14ac:dyDescent="0.2">
      <c r="A1170" s="2" t="s">
        <v>7</v>
      </c>
      <c r="B1170" s="2">
        <v>20</v>
      </c>
      <c r="C1170" s="2">
        <v>7</v>
      </c>
      <c r="D1170" s="2">
        <v>2021</v>
      </c>
      <c r="E1170" s="2">
        <v>0</v>
      </c>
      <c r="F1170" s="2">
        <v>109.74</v>
      </c>
      <c r="H1170" s="1">
        <f>_xlfn.XLOOKUP('Data Source 1_customer readings'!A1170,'Data Source 1_customer readings'!A1170:A3568,'Data Source 1_customer readings'!J1170:J3568)</f>
        <v>0</v>
      </c>
    </row>
    <row r="1171" spans="1:8" x14ac:dyDescent="0.2">
      <c r="A1171" s="2" t="s">
        <v>12</v>
      </c>
      <c r="B1171" s="2">
        <v>2</v>
      </c>
      <c r="C1171" s="2">
        <v>6</v>
      </c>
      <c r="D1171" s="2">
        <v>2021</v>
      </c>
      <c r="E1171" s="2">
        <v>0</v>
      </c>
      <c r="F1171" s="2">
        <v>108.9</v>
      </c>
      <c r="H1171" s="1">
        <f>_xlfn.XLOOKUP('Data Source 1_customer readings'!A1171,'Data Source 1_customer readings'!A1171:A3569,'Data Source 1_customer readings'!J1171:J3569)</f>
        <v>0</v>
      </c>
    </row>
    <row r="1172" spans="1:8" x14ac:dyDescent="0.2">
      <c r="A1172" s="2" t="s">
        <v>16</v>
      </c>
      <c r="B1172" s="2">
        <v>14</v>
      </c>
      <c r="C1172" s="2">
        <v>6</v>
      </c>
      <c r="D1172" s="2">
        <v>2021</v>
      </c>
      <c r="E1172" s="2">
        <v>0</v>
      </c>
      <c r="F1172" s="2">
        <v>108.9</v>
      </c>
      <c r="H1172" s="1">
        <f>_xlfn.XLOOKUP('Data Source 1_customer readings'!A1172,'Data Source 1_customer readings'!A1172:A3570,'Data Source 1_customer readings'!J1172:J3570)</f>
        <v>0</v>
      </c>
    </row>
    <row r="1173" spans="1:8" x14ac:dyDescent="0.2">
      <c r="A1173" s="2" t="s">
        <v>21</v>
      </c>
      <c r="B1173" s="2">
        <v>15</v>
      </c>
      <c r="C1173" s="2">
        <v>6</v>
      </c>
      <c r="D1173" s="2">
        <v>2021</v>
      </c>
      <c r="E1173" s="2">
        <v>0</v>
      </c>
      <c r="F1173" s="2">
        <v>108.9</v>
      </c>
      <c r="H1173" s="1">
        <f>_xlfn.XLOOKUP('Data Source 1_customer readings'!A1173,'Data Source 1_customer readings'!A1173:A3571,'Data Source 1_customer readings'!J1173:J3571)</f>
        <v>0</v>
      </c>
    </row>
    <row r="1174" spans="1:8" x14ac:dyDescent="0.2">
      <c r="A1174" s="2" t="s">
        <v>18</v>
      </c>
      <c r="B1174" s="2">
        <v>5</v>
      </c>
      <c r="C1174" s="2">
        <v>8</v>
      </c>
      <c r="D1174" s="2">
        <v>2021</v>
      </c>
      <c r="E1174" s="2">
        <v>0</v>
      </c>
      <c r="F1174" s="2">
        <v>108.81</v>
      </c>
      <c r="H1174" s="1">
        <f>_xlfn.XLOOKUP('Data Source 1_customer readings'!A1174,'Data Source 1_customer readings'!A1174:A3572,'Data Source 1_customer readings'!J1174:J3572)</f>
        <v>0</v>
      </c>
    </row>
    <row r="1175" spans="1:8" x14ac:dyDescent="0.2">
      <c r="A1175" s="2" t="s">
        <v>9</v>
      </c>
      <c r="B1175" s="2">
        <v>22</v>
      </c>
      <c r="C1175" s="2">
        <v>6</v>
      </c>
      <c r="D1175" s="2">
        <v>2021</v>
      </c>
      <c r="E1175" s="2">
        <v>0</v>
      </c>
      <c r="F1175" s="2">
        <v>108.3</v>
      </c>
      <c r="H1175" s="1">
        <f>_xlfn.XLOOKUP('Data Source 1_customer readings'!A1175,'Data Source 1_customer readings'!A1175:A3573,'Data Source 1_customer readings'!J1175:J3573)</f>
        <v>0</v>
      </c>
    </row>
    <row r="1176" spans="1:8" x14ac:dyDescent="0.2">
      <c r="A1176" s="2" t="s">
        <v>19</v>
      </c>
      <c r="B1176" s="2">
        <v>24</v>
      </c>
      <c r="C1176" s="2">
        <v>6</v>
      </c>
      <c r="D1176" s="2">
        <v>2021</v>
      </c>
      <c r="E1176" s="2">
        <v>0</v>
      </c>
      <c r="F1176" s="2">
        <v>108.3</v>
      </c>
      <c r="H1176" s="1">
        <f>_xlfn.XLOOKUP('Data Source 1_customer readings'!A1176,'Data Source 1_customer readings'!A1176:A3574,'Data Source 1_customer readings'!J1176:J3574)</f>
        <v>0</v>
      </c>
    </row>
    <row r="1177" spans="1:8" x14ac:dyDescent="0.2">
      <c r="A1177" s="2" t="s">
        <v>16</v>
      </c>
      <c r="B1177" s="2">
        <v>14</v>
      </c>
      <c r="C1177" s="2">
        <v>9</v>
      </c>
      <c r="D1177" s="2">
        <v>2021</v>
      </c>
      <c r="E1177" s="2">
        <v>0</v>
      </c>
      <c r="F1177" s="2">
        <v>108.3</v>
      </c>
      <c r="H1177" s="1">
        <f>_xlfn.XLOOKUP('Data Source 1_customer readings'!A1177,'Data Source 1_customer readings'!A1177:A3575,'Data Source 1_customer readings'!J1177:J3575)</f>
        <v>0</v>
      </c>
    </row>
    <row r="1178" spans="1:8" x14ac:dyDescent="0.2">
      <c r="A1178" s="2" t="s">
        <v>17</v>
      </c>
      <c r="B1178" s="2">
        <v>8</v>
      </c>
      <c r="C1178" s="2">
        <v>8</v>
      </c>
      <c r="D1178" s="2">
        <v>2021</v>
      </c>
      <c r="E1178" s="2">
        <v>0</v>
      </c>
      <c r="F1178" s="2">
        <v>108.19</v>
      </c>
      <c r="H1178" s="1">
        <f>_xlfn.XLOOKUP('Data Source 1_customer readings'!A1178,'Data Source 1_customer readings'!A1178:A3576,'Data Source 1_customer readings'!J1178:J3576)</f>
        <v>0</v>
      </c>
    </row>
    <row r="1179" spans="1:8" x14ac:dyDescent="0.2">
      <c r="A1179" s="2" t="s">
        <v>10</v>
      </c>
      <c r="B1179" s="2">
        <v>18</v>
      </c>
      <c r="C1179" s="2">
        <v>9</v>
      </c>
      <c r="D1179" s="2">
        <v>2021</v>
      </c>
      <c r="E1179" s="2">
        <v>0</v>
      </c>
      <c r="F1179" s="2">
        <v>107.7</v>
      </c>
      <c r="H1179" s="1">
        <f>_xlfn.XLOOKUP('Data Source 1_customer readings'!A1179,'Data Source 1_customer readings'!A1179:A3577,'Data Source 1_customer readings'!J1179:J3577)</f>
        <v>0</v>
      </c>
    </row>
    <row r="1180" spans="1:8" x14ac:dyDescent="0.2">
      <c r="A1180" s="2" t="s">
        <v>5</v>
      </c>
      <c r="B1180" s="2">
        <v>7</v>
      </c>
      <c r="C1180" s="2">
        <v>7</v>
      </c>
      <c r="D1180" s="2">
        <v>2021</v>
      </c>
      <c r="E1180" s="2">
        <v>0</v>
      </c>
      <c r="F1180" s="2">
        <v>107.57</v>
      </c>
      <c r="H1180" s="1">
        <f>_xlfn.XLOOKUP('Data Source 1_customer readings'!A1180,'Data Source 1_customer readings'!A1180:A3578,'Data Source 1_customer readings'!J1180:J3578)</f>
        <v>0</v>
      </c>
    </row>
    <row r="1181" spans="1:8" x14ac:dyDescent="0.2">
      <c r="A1181" s="2" t="s">
        <v>13</v>
      </c>
      <c r="B1181" s="2">
        <v>7</v>
      </c>
      <c r="C1181" s="2">
        <v>5</v>
      </c>
      <c r="D1181" s="2">
        <v>2021</v>
      </c>
      <c r="E1181" s="2">
        <v>0</v>
      </c>
      <c r="F1181" s="2">
        <v>106.64</v>
      </c>
      <c r="H1181" s="1">
        <f>_xlfn.XLOOKUP('Data Source 1_customer readings'!A1181,'Data Source 1_customer readings'!A1181:A3579,'Data Source 1_customer readings'!J1181:J3579)</f>
        <v>0</v>
      </c>
    </row>
    <row r="1182" spans="1:8" x14ac:dyDescent="0.2">
      <c r="A1182" s="2" t="s">
        <v>13</v>
      </c>
      <c r="B1182" s="2">
        <v>7</v>
      </c>
      <c r="C1182" s="2">
        <v>7</v>
      </c>
      <c r="D1182" s="2">
        <v>2021</v>
      </c>
      <c r="E1182" s="2">
        <v>0</v>
      </c>
      <c r="F1182" s="2">
        <v>106.02</v>
      </c>
      <c r="H1182" s="1">
        <f>_xlfn.XLOOKUP('Data Source 1_customer readings'!A1182,'Data Source 1_customer readings'!A1182:A3580,'Data Source 1_customer readings'!J1182:J3580)</f>
        <v>0</v>
      </c>
    </row>
    <row r="1183" spans="1:8" x14ac:dyDescent="0.2">
      <c r="A1183" s="2" t="s">
        <v>6</v>
      </c>
      <c r="B1183" s="2">
        <v>7</v>
      </c>
      <c r="C1183" s="2">
        <v>8</v>
      </c>
      <c r="D1183" s="2">
        <v>2021</v>
      </c>
      <c r="E1183" s="2">
        <v>0</v>
      </c>
      <c r="F1183" s="2">
        <v>106.02</v>
      </c>
      <c r="H1183" s="1">
        <f>_xlfn.XLOOKUP('Data Source 1_customer readings'!A1183,'Data Source 1_customer readings'!A1183:A3581,'Data Source 1_customer readings'!J1183:J3581)</f>
        <v>0</v>
      </c>
    </row>
    <row r="1184" spans="1:8" x14ac:dyDescent="0.2">
      <c r="A1184" s="2" t="s">
        <v>16</v>
      </c>
      <c r="B1184" s="2">
        <v>14</v>
      </c>
      <c r="C1184" s="2">
        <v>7</v>
      </c>
      <c r="D1184" s="2">
        <v>2021</v>
      </c>
      <c r="E1184" s="2">
        <v>0</v>
      </c>
      <c r="F1184" s="2">
        <v>105.4</v>
      </c>
      <c r="H1184" s="1">
        <f>_xlfn.XLOOKUP('Data Source 1_customer readings'!A1184,'Data Source 1_customer readings'!A1184:A3582,'Data Source 1_customer readings'!J1184:J3582)</f>
        <v>0</v>
      </c>
    </row>
    <row r="1185" spans="1:8" x14ac:dyDescent="0.2">
      <c r="A1185" s="2" t="s">
        <v>10</v>
      </c>
      <c r="B1185" s="2">
        <v>18</v>
      </c>
      <c r="C1185" s="2">
        <v>8</v>
      </c>
      <c r="D1185" s="2">
        <v>2021</v>
      </c>
      <c r="E1185" s="2">
        <v>0</v>
      </c>
      <c r="F1185" s="2">
        <v>105.4</v>
      </c>
      <c r="H1185" s="1">
        <f>_xlfn.XLOOKUP('Data Source 1_customer readings'!A1185,'Data Source 1_customer readings'!A1185:A3583,'Data Source 1_customer readings'!J1185:J3583)</f>
        <v>0</v>
      </c>
    </row>
    <row r="1186" spans="1:8" x14ac:dyDescent="0.2">
      <c r="A1186" s="2" t="s">
        <v>14</v>
      </c>
      <c r="B1186" s="2">
        <v>10</v>
      </c>
      <c r="C1186" s="2">
        <v>6</v>
      </c>
      <c r="D1186" s="2">
        <v>2021</v>
      </c>
      <c r="E1186" s="2">
        <v>0</v>
      </c>
      <c r="F1186" s="2">
        <v>105.3</v>
      </c>
      <c r="H1186" s="1">
        <f>_xlfn.XLOOKUP('Data Source 1_customer readings'!A1186,'Data Source 1_customer readings'!A1186:A3584,'Data Source 1_customer readings'!J1186:J3584)</f>
        <v>0</v>
      </c>
    </row>
    <row r="1187" spans="1:8" x14ac:dyDescent="0.2">
      <c r="A1187" s="2" t="s">
        <v>5</v>
      </c>
      <c r="B1187" s="2">
        <v>7</v>
      </c>
      <c r="C1187" s="2">
        <v>6</v>
      </c>
      <c r="D1187" s="2">
        <v>2021</v>
      </c>
      <c r="E1187" s="2">
        <v>0</v>
      </c>
      <c r="F1187" s="2">
        <v>104.1</v>
      </c>
      <c r="H1187" s="1">
        <f>_xlfn.XLOOKUP('Data Source 1_customer readings'!A1187,'Data Source 1_customer readings'!A1187:A3585,'Data Source 1_customer readings'!J1187:J3585)</f>
        <v>0</v>
      </c>
    </row>
    <row r="1188" spans="1:8" x14ac:dyDescent="0.2">
      <c r="A1188" s="2" t="s">
        <v>11</v>
      </c>
      <c r="B1188" s="2">
        <v>15</v>
      </c>
      <c r="C1188" s="2">
        <v>6</v>
      </c>
      <c r="D1188" s="2">
        <v>2021</v>
      </c>
      <c r="E1188" s="2">
        <v>0</v>
      </c>
      <c r="F1188" s="2">
        <v>102.6</v>
      </c>
      <c r="H1188" s="1">
        <f>_xlfn.XLOOKUP('Data Source 1_customer readings'!A1188,'Data Source 1_customer readings'!A1188:A3586,'Data Source 1_customer readings'!J1188:J3586)</f>
        <v>0</v>
      </c>
    </row>
    <row r="1189" spans="1:8" x14ac:dyDescent="0.2">
      <c r="A1189" s="2" t="s">
        <v>10</v>
      </c>
      <c r="B1189" s="2">
        <v>18</v>
      </c>
      <c r="C1189" s="2">
        <v>6</v>
      </c>
      <c r="D1189" s="2">
        <v>2021</v>
      </c>
      <c r="E1189" s="2">
        <v>0</v>
      </c>
      <c r="F1189" s="2">
        <v>102</v>
      </c>
      <c r="H1189" s="1">
        <f>_xlfn.XLOOKUP('Data Source 1_customer readings'!A1189,'Data Source 1_customer readings'!A1189:A3587,'Data Source 1_customer readings'!J1189:J3587)</f>
        <v>0</v>
      </c>
    </row>
    <row r="1190" spans="1:8" x14ac:dyDescent="0.2">
      <c r="A1190" s="2" t="s">
        <v>7</v>
      </c>
      <c r="B1190" s="2">
        <v>20</v>
      </c>
      <c r="C1190" s="2">
        <v>9</v>
      </c>
      <c r="D1190" s="2">
        <v>2021</v>
      </c>
      <c r="E1190" s="2">
        <v>0</v>
      </c>
      <c r="F1190" s="2">
        <v>102</v>
      </c>
      <c r="H1190" s="1">
        <f>_xlfn.XLOOKUP('Data Source 1_customer readings'!A1190,'Data Source 1_customer readings'!A1190:A3588,'Data Source 1_customer readings'!J1190:J3588)</f>
        <v>0</v>
      </c>
    </row>
    <row r="1191" spans="1:8" x14ac:dyDescent="0.2">
      <c r="A1191" s="2" t="s">
        <v>2</v>
      </c>
      <c r="B1191" s="2">
        <v>18</v>
      </c>
      <c r="C1191" s="2">
        <v>5</v>
      </c>
      <c r="D1191" s="2">
        <v>2021</v>
      </c>
      <c r="E1191" s="2">
        <v>0</v>
      </c>
      <c r="F1191" s="2">
        <v>101.99</v>
      </c>
      <c r="H1191" s="1">
        <f>_xlfn.XLOOKUP('Data Source 1_customer readings'!A1191,'Data Source 1_customer readings'!A1191:A3589,'Data Source 1_customer readings'!J1191:J3589)</f>
        <v>0</v>
      </c>
    </row>
    <row r="1192" spans="1:8" x14ac:dyDescent="0.2">
      <c r="A1192" s="2" t="s">
        <v>7</v>
      </c>
      <c r="B1192" s="2">
        <v>20</v>
      </c>
      <c r="C1192" s="2">
        <v>6</v>
      </c>
      <c r="D1192" s="2">
        <v>2021</v>
      </c>
      <c r="E1192" s="2">
        <v>0</v>
      </c>
      <c r="F1192" s="2">
        <v>99.9</v>
      </c>
      <c r="H1192" s="1">
        <f>_xlfn.XLOOKUP('Data Source 1_customer readings'!A1192,'Data Source 1_customer readings'!A1192:A3590,'Data Source 1_customer readings'!J1192:J3590)</f>
        <v>0</v>
      </c>
    </row>
    <row r="1193" spans="1:8" x14ac:dyDescent="0.2">
      <c r="A1193" s="2" t="s">
        <v>6</v>
      </c>
      <c r="B1193" s="2">
        <v>7</v>
      </c>
      <c r="C1193" s="2">
        <v>6</v>
      </c>
      <c r="D1193" s="2">
        <v>2021</v>
      </c>
      <c r="E1193" s="2">
        <v>0</v>
      </c>
      <c r="F1193" s="2">
        <v>99.6</v>
      </c>
      <c r="H1193" s="1">
        <f>_xlfn.XLOOKUP('Data Source 1_customer readings'!A1193,'Data Source 1_customer readings'!A1193:A3591,'Data Source 1_customer readings'!J1193:J3591)</f>
        <v>0</v>
      </c>
    </row>
    <row r="1194" spans="1:8" x14ac:dyDescent="0.2">
      <c r="A1194" s="2" t="s">
        <v>1</v>
      </c>
      <c r="B1194" s="2">
        <v>21</v>
      </c>
      <c r="C1194" s="2">
        <v>9</v>
      </c>
      <c r="D1194" s="2">
        <v>2021</v>
      </c>
      <c r="E1194" s="2">
        <v>0</v>
      </c>
      <c r="F1194" s="2">
        <v>98.7</v>
      </c>
      <c r="H1194" s="1">
        <f>_xlfn.XLOOKUP('Data Source 1_customer readings'!A1194,'Data Source 1_customer readings'!A1194:A3592,'Data Source 1_customer readings'!J1194:J3592)</f>
        <v>0</v>
      </c>
    </row>
    <row r="1195" spans="1:8" x14ac:dyDescent="0.2">
      <c r="A1195" s="2" t="s">
        <v>2</v>
      </c>
      <c r="B1195" s="2">
        <v>18</v>
      </c>
      <c r="C1195" s="2">
        <v>7</v>
      </c>
      <c r="D1195" s="2">
        <v>2021</v>
      </c>
      <c r="E1195" s="2">
        <v>0</v>
      </c>
      <c r="F1195" s="2">
        <v>97.34</v>
      </c>
      <c r="H1195" s="1">
        <f>_xlfn.XLOOKUP('Data Source 1_customer readings'!A1195,'Data Source 1_customer readings'!A1195:A3593,'Data Source 1_customer readings'!J1195:J3593)</f>
        <v>0</v>
      </c>
    </row>
    <row r="1196" spans="1:8" x14ac:dyDescent="0.2">
      <c r="A1196" s="2" t="s">
        <v>1</v>
      </c>
      <c r="B1196" s="2">
        <v>21</v>
      </c>
      <c r="C1196" s="2">
        <v>5</v>
      </c>
      <c r="D1196" s="2">
        <v>2021</v>
      </c>
      <c r="E1196" s="2">
        <v>0</v>
      </c>
      <c r="F1196" s="2">
        <v>96.1</v>
      </c>
      <c r="H1196" s="1">
        <f>_xlfn.XLOOKUP('Data Source 1_customer readings'!A1196,'Data Source 1_customer readings'!A1196:A3594,'Data Source 1_customer readings'!J1196:J3594)</f>
        <v>0</v>
      </c>
    </row>
    <row r="1197" spans="1:8" x14ac:dyDescent="0.2">
      <c r="A1197" s="2" t="s">
        <v>1</v>
      </c>
      <c r="B1197" s="2">
        <v>21</v>
      </c>
      <c r="C1197" s="2">
        <v>7</v>
      </c>
      <c r="D1197" s="2">
        <v>2021</v>
      </c>
      <c r="E1197" s="2">
        <v>0</v>
      </c>
      <c r="F1197" s="2">
        <v>95.48</v>
      </c>
      <c r="H1197" s="1">
        <f>_xlfn.XLOOKUP('Data Source 1_customer readings'!A1197,'Data Source 1_customer readings'!A1197:A3595,'Data Source 1_customer readings'!J1197:J3595)</f>
        <v>0</v>
      </c>
    </row>
    <row r="1198" spans="1:8" x14ac:dyDescent="0.2">
      <c r="A1198" s="2" t="s">
        <v>4</v>
      </c>
      <c r="B1198" s="2">
        <v>1</v>
      </c>
      <c r="C1198" s="2">
        <v>7</v>
      </c>
      <c r="D1198" s="2">
        <v>2021</v>
      </c>
      <c r="E1198" s="2">
        <v>0</v>
      </c>
      <c r="F1198" s="2">
        <v>91.76</v>
      </c>
      <c r="H1198" s="1">
        <f>_xlfn.XLOOKUP('Data Source 1_customer readings'!A1198,'Data Source 1_customer readings'!A1198:A3596,'Data Source 1_customer readings'!J1198:J3596)</f>
        <v>0</v>
      </c>
    </row>
    <row r="1199" spans="1:8" x14ac:dyDescent="0.2">
      <c r="A1199" s="2" t="s">
        <v>2</v>
      </c>
      <c r="B1199" s="2">
        <v>18</v>
      </c>
      <c r="C1199" s="2">
        <v>8</v>
      </c>
      <c r="D1199" s="2">
        <v>2021</v>
      </c>
      <c r="E1199" s="2">
        <v>0</v>
      </c>
      <c r="F1199" s="2">
        <v>88.66</v>
      </c>
      <c r="H1199" s="1">
        <f>_xlfn.XLOOKUP('Data Source 1_customer readings'!A1199,'Data Source 1_customer readings'!A1199:A3597,'Data Source 1_customer readings'!J1199:J3597)</f>
        <v>0</v>
      </c>
    </row>
    <row r="1200" spans="1:8" x14ac:dyDescent="0.2">
      <c r="A1200" s="2" t="s">
        <v>2</v>
      </c>
      <c r="B1200" s="2">
        <v>18</v>
      </c>
      <c r="C1200" s="2">
        <v>6</v>
      </c>
      <c r="D1200" s="2">
        <v>2021</v>
      </c>
      <c r="E1200" s="2">
        <v>0</v>
      </c>
      <c r="F1200" s="2">
        <v>88.5</v>
      </c>
      <c r="H1200" s="1">
        <f>_xlfn.XLOOKUP('Data Source 1_customer readings'!A1200,'Data Source 1_customer readings'!A1200:A3598,'Data Source 1_customer readings'!J1200:J3598)</f>
        <v>0</v>
      </c>
    </row>
    <row r="1201" spans="1:8" x14ac:dyDescent="0.2">
      <c r="A1201" s="2" t="s">
        <v>1</v>
      </c>
      <c r="B1201" s="2">
        <v>21</v>
      </c>
      <c r="C1201" s="2">
        <v>6</v>
      </c>
      <c r="D1201" s="2">
        <v>2021</v>
      </c>
      <c r="E1201" s="2">
        <v>0</v>
      </c>
      <c r="F1201" s="2">
        <v>85.2</v>
      </c>
      <c r="H1201" s="1">
        <f>_xlfn.XLOOKUP('Data Source 1_customer readings'!A1201,'Data Source 1_customer readings'!A1201:A3599,'Data Source 1_customer readings'!J1201:J3599)</f>
        <v>0</v>
      </c>
    </row>
    <row r="1203" spans="1:8" x14ac:dyDescent="0.2">
      <c r="E1203" s="1">
        <f>SUM(E139:E1202)</f>
        <v>56839.770000000004</v>
      </c>
      <c r="F1203" s="1">
        <f>SUM(F2:F1202)</f>
        <v>130566.16000000011</v>
      </c>
    </row>
    <row r="1207" spans="1:8" x14ac:dyDescent="0.2">
      <c r="A1207" s="1">
        <f>COUNTA(_xlfn.UNIQUE(A2:A1201))</f>
        <v>100</v>
      </c>
    </row>
  </sheetData>
  <conditionalFormatting sqref="H1:H1048576">
    <cfRule type="containsText" dxfId="0" priority="1" operator="containsText" text="TRUE">
      <formula>NOT(ISERROR(SEARCH("TRUE",H1)))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Source 1_customer readings</vt:lpstr>
      <vt:lpstr>Customer Info</vt:lpstr>
      <vt:lpstr>2020</vt:lpstr>
      <vt:lpstr>double check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Amirah Patel</dc:creator>
  <cp:lastModifiedBy>Amirah Patel</cp:lastModifiedBy>
  <dcterms:created xsi:type="dcterms:W3CDTF">2026-08-19T14:42:46Z</dcterms:created>
  <dcterms:modified xsi:type="dcterms:W3CDTF">2026-08-19T20:11:57Z</dcterms:modified>
</cp:coreProperties>
</file>